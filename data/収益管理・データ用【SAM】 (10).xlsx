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プロバイダー" sheetId="1" r:id="rId5"/>
    <sheet state="visible" name="ログイン情報" sheetId="2" r:id="rId6"/>
    <sheet state="visible" name="営業データ" sheetId="3" r:id="rId7"/>
    <sheet state="visible" name="シートまとめ" sheetId="4" r:id="rId8"/>
    <sheet state="visible" name="TOTAL" sheetId="5" r:id="rId9"/>
    <sheet state="visible" name="2026年1月収益" sheetId="6" r:id="rId10"/>
    <sheet state="visible" name="2025年12月収益" sheetId="7" r:id="rId11"/>
    <sheet state="visible" name="2025年11月収益" sheetId="8" r:id="rId12"/>
    <sheet state="visible" name="2025年10月収益" sheetId="9" r:id="rId13"/>
    <sheet state="visible" name="2025年9月収益" sheetId="10" r:id="rId14"/>
    <sheet state="visible" name="2025年9月収益D" sheetId="11" r:id="rId15"/>
    <sheet state="visible" name="import_必達" sheetId="12" r:id="rId16"/>
    <sheet state="visible" name="import_9月収益" sheetId="13" r:id="rId17"/>
    <sheet state="visible" name="import_顧客リスト" sheetId="14" r:id="rId18"/>
    <sheet state="visible" name="2025年8月収益" sheetId="15" r:id="rId19"/>
    <sheet state="visible" name="2025年8月収益D" sheetId="16" r:id="rId20"/>
    <sheet state="visible" name="2025年7月収益" sheetId="17" r:id="rId21"/>
    <sheet state="visible" name="2025年7月収益D" sheetId="18" r:id="rId22"/>
    <sheet state="visible" name="2025年6月収益" sheetId="19" r:id="rId23"/>
    <sheet state="visible" name="2025年5月収益" sheetId="20" r:id="rId24"/>
    <sheet state="visible" name="2025年4月収益" sheetId="21" r:id="rId25"/>
    <sheet state="visible" name="2025年3月収益" sheetId="22" r:id="rId26"/>
    <sheet state="visible" name="2025年2月収益" sheetId="23" r:id="rId27"/>
    <sheet state="visible" name="2025年1月収益" sheetId="24" r:id="rId28"/>
    <sheet state="visible" name="2024年12月収益" sheetId="25" r:id="rId29"/>
    <sheet state="visible" name="2024年11月収益" sheetId="26" r:id="rId30"/>
    <sheet state="visible" name="2024年10月収益" sheetId="27" r:id="rId31"/>
    <sheet state="visible" name="2024年9月収益" sheetId="28" r:id="rId32"/>
    <sheet state="visible" name="2024年8月収益" sheetId="29" r:id="rId33"/>
    <sheet state="visible" name="2024年7月収益" sheetId="30" r:id="rId34"/>
    <sheet state="visible" name="データテンプレート" sheetId="31" r:id="rId35"/>
    <sheet state="visible" name="シート8" sheetId="32" r:id="rId3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tc={0653a514-5fea-4d58-9ef6-22c57b92bf9b}</author>
    <author>tc={1b69c464-fb5e-4094-840c-b67f6cc1a9e4}</author>
    <author>tc={20cd58d4-2557-4da8-b511-c1408f1cafe6}</author>
    <author>tc={215b50b7-00b7-488f-bf9e-fb76a7c99141}</author>
    <author>tc={23b71c0d-1793-48e0-b868-c40c9e7ce161}</author>
    <author>tc={25e9b802-bca5-4ba3-be85-bf088304d90f}</author>
    <author>tc={35bbd6cd-c890-4298-89a0-837a8298ba8c}</author>
    <author>tc={3696d15a-c431-4c40-bffd-c9e9c47313bd}</author>
    <author>tc={45e79ad2-6648-4cc5-bb8b-28fb1b7f91bb}</author>
    <author>tc={47a0045c-8f0d-4c9a-b044-e7da82f307d0}</author>
    <author>tc={4c5dd864-e9c6-488d-aa50-1e0cfb5fa729}</author>
    <author>tc={56cc424d-8ee5-4e08-8d7d-467c17b09200}</author>
    <author>tc={7c9ad1dc-fe8f-4d77-af53-2703541dd69c}</author>
    <author>tc={80db1bbb-02c4-410e-bca1-af8699db5e21}</author>
    <author>tc={8477f6c6-2b67-49af-8b5a-1d02699e70d6}</author>
    <author>tc={89acbe9c-79a1-4e9b-bd21-1a1c9016316b}</author>
    <author>tc={8ed5cd79-08c7-41db-8db4-6c28393dee4f}</author>
    <author>tc={9938beae-3166-4bca-a82d-0db4bd4e0918}</author>
    <author>tc={b799126d-60a0-4c76-ae3f-cd434e863bb4}</author>
    <author>tc={baa1bd7c-366b-4468-89f1-202980f7b049}</author>
    <author>tc={cd0a684e-ae99-4df7-ad98-f98fbdd51f08}</author>
  </authors>
  <commentList>
    <comment authorId="0" ref="AK29">
      <text>
        <t xml:space="preserve">未払い</t>
      </text>
    </comment>
    <comment authorId="1" xr:uid="{0653a514-5fea-4d58-9ef6-22c57b92bf9b}" ref="V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2" xr:uid="{1b69c464-fb5e-4094-840c-b67f6cc1a9e4}" ref="AK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3" xr:uid="{20cd58d4-2557-4da8-b511-c1408f1cafe6}" ref="AK29">
      <text>
        <t xml:space="preserve">[Threaded comment]
 Your version of Excel allows you to read this threaded comment; however, any edits to it will get removed if the file is opened in a newer version of Excel. Learn more: https://go.microsoft.com/fwlink/?linkid=870924
Comment:
	未払い
</t>
      </text>
    </comment>
    <comment authorId="4" xr:uid="{215b50b7-00b7-488f-bf9e-fb76a7c99141}" ref="V28">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5" xr:uid="{23b71c0d-1793-48e0-b868-c40c9e7ce161}" ref="Y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6" xr:uid="{25e9b802-bca5-4ba3-be85-bf088304d90f}" ref="AH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7" xr:uid="{35bbd6cd-c890-4298-89a0-837a8298ba8c}" ref="Y28">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8" xr:uid="{3696d15a-c431-4c40-bffd-c9e9c47313bd}" ref="AN30">
      <text>
        <t xml:space="preserve">[Threaded comment]
 Your version of Excel allows you to read this threaded comment; however, any edits to it will get removed if the file is opened in a newer version of Excel. Learn more: https://go.microsoft.com/fwlink/?linkid=870924
Comment:
	未払い
</t>
      </text>
    </comment>
    <comment authorId="9" xr:uid="{45e79ad2-6648-4cc5-bb8b-28fb1b7f91bb}" ref="AH29">
      <text>
        <t xml:space="preserve">[Threaded comment]
 Your version of Excel allows you to read this threaded comment; however, any edits to it will get removed if the file is opened in a newer version of Excel. Learn more: https://go.microsoft.com/fwlink/?linkid=870924
Comment:
	未払い
</t>
      </text>
    </comment>
    <comment authorId="10" xr:uid="{47a0045c-8f0d-4c9a-b044-e7da82f307d0}" ref="AK29">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1" xr:uid="{4c5dd864-e9c6-488d-aa50-1e0cfb5fa729}" ref="AE33">
      <text>
        <t xml:space="preserve">[Threaded comment]
 Your version of Excel allows you to read this threaded comment; however, any edits to it will get removed if the file is opened in a newer version of Excel. Learn more: https://go.microsoft.com/fwlink/?linkid=870924
Comment:
	マリさんPESO円行ミスによる修正
</t>
      </text>
    </comment>
    <comment authorId="12" xr:uid="{56cc424d-8ee5-4e08-8d7d-467c17b09200}" ref="AN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3" xr:uid="{7c9ad1dc-fe8f-4d77-af53-2703541dd69c}" ref="AB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4" xr:uid="{80db1bbb-02c4-410e-bca1-af8699db5e21}" ref="AK30">
      <text>
        <t xml:space="preserve">[Threaded comment]
 Your version of Excel allows you to read this threaded comment; however, any edits to it will get removed if the file is opened in a newer version of Excel. Learn more: https://go.microsoft.com/fwlink/?linkid=870924
Comment:
	未払い
</t>
      </text>
    </comment>
    <comment authorId="15" xr:uid="{8477f6c6-2b67-49af-8b5a-1d02699e70d6}" ref="V29">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6" xr:uid="{89acbe9c-79a1-4e9b-bd21-1a1c9016316b}" ref="AQ30">
      <text>
        <t xml:space="preserve">[Threaded comment]
 Your version of Excel allows you to read this threaded comment; however, any edits to it will get removed if the file is opened in a newer version of Excel. Learn more: https://go.microsoft.com/fwlink/?linkid=870924
Comment:
	未清算
</t>
      </text>
    </comment>
    <comment authorId="17" xr:uid="{8ed5cd79-08c7-41db-8db4-6c28393dee4f}" ref="AH29">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8" xr:uid="{9938beae-3166-4bca-a82d-0db4bd4e0918}" ref="AK29">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19" xr:uid="{b799126d-60a0-4c76-ae3f-cd434e863bb4}" ref="AH30">
      <text>
        <t xml:space="preserve">[Threaded comment]
 Your version of Excel allows you to read this threaded comment; however, any edits to it will get removed if the file is opened in a newer version of Excel. Learn more: https://go.microsoft.com/fwlink/?linkid=870924
Comment:
	未払い
</t>
      </text>
    </comment>
    <comment authorId="20" xr:uid="{baa1bd7c-366b-4468-89f1-202980f7b049}" ref="Y29">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 authorId="21" xr:uid="{cd0a684e-ae99-4df7-ad98-f98fbdd51f08}" ref="AE30">
      <text>
        <t xml:space="preserve">[Threaded comment]
 Your version of Excel allows you to read this threaded comment; however, any edits to it will get removed if the file is opened in a newer version of Excel. Learn more: https://go.microsoft.com/fwlink/?linkid=870924
Comment:
	未支払い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tc={128a88be-9c1f-4328-8fc8-714100bf8aa7}</author>
    <author>tc={a3f188fa-67cd-4350-8b87-992f82203662}</author>
  </authors>
  <commentList>
    <comment authorId="0" xr:uid="{128a88be-9c1f-4328-8fc8-714100bf8aa7}" ref="C29">
      <text>
        <t xml:space="preserve">[Threaded comment]
 Your version of Excel allows you to read this threaded comment; however, any edits to it will get removed if the file is opened in a newer version of Excel. Learn more: https://go.microsoft.com/fwlink/?linkid=870924
Comment:
	=211533+1918616.37
</t>
      </text>
    </comment>
    <comment authorId="1" xr:uid="{a3f188fa-67cd-4350-8b87-992f82203662}" ref="C34">
      <text>
        <t xml:space="preserve">[Threaded comment]
 Your version of Excel allows you to read this threaded comment; however, any edits to it will get removed if the file is opened in a newer version of Excel. Learn more: https://go.microsoft.com/fwlink/?linkid=870924
Comment:
	アフィリエイター+プロバイダー
</t>
      </text>
    </comment>
  </commentList>
</comments>
</file>

<file path=xl/sharedStrings.xml><?xml version="1.0" encoding="utf-8"?>
<sst xmlns="http://schemas.openxmlformats.org/spreadsheetml/2006/main" count="1735" uniqueCount="410">
  <si>
    <t>プロバイダー</t>
  </si>
  <si>
    <t>KA Gaming 5%</t>
  </si>
  <si>
    <t>Evolution 10%</t>
  </si>
  <si>
    <t>PlayNGo 7%</t>
  </si>
  <si>
    <t>Nolimit City 6%</t>
  </si>
  <si>
    <t>Hacksaw 7%</t>
  </si>
  <si>
    <t>Relax Gaming 5%</t>
  </si>
  <si>
    <t>AvatarUX 7%</t>
  </si>
  <si>
    <t>QuickSpin 6%</t>
  </si>
  <si>
    <t>Red Tiger 6%</t>
  </si>
  <si>
    <t>OctoPlay 6.5%</t>
  </si>
  <si>
    <t>SC（5%）</t>
  </si>
  <si>
    <t>-------------------------</t>
  </si>
  <si>
    <t>Habanero</t>
  </si>
  <si>
    <t>CQ9</t>
  </si>
  <si>
    <t>TP（4%）</t>
  </si>
  <si>
    <t>Pragmatic</t>
  </si>
  <si>
    <t>Booongo</t>
  </si>
  <si>
    <t>OMG（4%）</t>
  </si>
  <si>
    <t>Pocket Gaming</t>
  </si>
  <si>
    <t>JILI</t>
  </si>
  <si>
    <t>サイト名</t>
  </si>
  <si>
    <t>URL</t>
  </si>
  <si>
    <t>ID</t>
  </si>
  <si>
    <t>PASS</t>
  </si>
  <si>
    <t>備考</t>
  </si>
  <si>
    <t>稼働状況</t>
  </si>
  <si>
    <t>出金口座</t>
  </si>
  <si>
    <t>EC</t>
  </si>
  <si>
    <t>Moneytree</t>
  </si>
  <si>
    <t>https://app.getmoneytree.com/app/trends/net-worth</t>
  </si>
  <si>
    <t>amusevip@gmail.com</t>
  </si>
  <si>
    <t>Amuse1234</t>
  </si>
  <si>
    <t>LDCloud</t>
  </si>
  <si>
    <t>https://www.ldcloud.net/web/mobile/login</t>
  </si>
  <si>
    <t>amusevip2@gmail.com</t>
  </si>
  <si>
    <t>メールログイン</t>
  </si>
  <si>
    <t>稼働中</t>
  </si>
  <si>
    <t>ペライチ(Contens Store)</t>
  </si>
  <si>
    <t>https://peraichiapp.com/users/login/</t>
  </si>
  <si>
    <t>asamimizuno850@gmail.com</t>
  </si>
  <si>
    <t>清水</t>
  </si>
  <si>
    <t xml:space="preserve">https://hljxe.hp.peraichi.com/ </t>
  </si>
  <si>
    <t>停止中</t>
  </si>
  <si>
    <t>ペライチ(憲子の部屋)</t>
  </si>
  <si>
    <t>xianzineihai@gmail.com</t>
  </si>
  <si>
    <t>内海</t>
  </si>
  <si>
    <t>https://h1x0y.hp.peraichi.com/</t>
  </si>
  <si>
    <t>ペライチ(アフリエイトの虎)</t>
  </si>
  <si>
    <t>satoutsuyoshi1971@gmail.com</t>
  </si>
  <si>
    <t>佐藤</t>
  </si>
  <si>
    <t>https://bh7nd.hp.peraichi.com/</t>
  </si>
  <si>
    <t>出金制限中</t>
  </si>
  <si>
    <t>ペライチ(OGAWA DESIGN)</t>
  </si>
  <si>
    <t>ogawakanako09@gmail.com</t>
  </si>
  <si>
    <t>小川</t>
  </si>
  <si>
    <t>https://f4eqv.hp.peraichi.com/</t>
  </si>
  <si>
    <t>ペライチ(テンプレの龍)</t>
  </si>
  <si>
    <t xml:space="preserve">masaakihaizaki306@gmail.com
</t>
  </si>
  <si>
    <t>拝崎</t>
  </si>
  <si>
    <t>ペライチ（ひとみのイラスト）</t>
  </si>
  <si>
    <t xml:space="preserve">hitomiaraki55@gmail.com
</t>
  </si>
  <si>
    <t>荒木ひとみ</t>
  </si>
  <si>
    <t>https://7phz6.hp.peraichi.com</t>
  </si>
  <si>
    <t>Stores（Contens Corner）</t>
  </si>
  <si>
    <t>https://dashboard.stores.jp/report/?tab=remittance</t>
  </si>
  <si>
    <t>@Amuse12341234</t>
  </si>
  <si>
    <t>https://contentcorner.stores.jp/</t>
  </si>
  <si>
    <t>楽天エスティカ</t>
  </si>
  <si>
    <t>Stores(アフリエイトの虎)</t>
  </si>
  <si>
    <t>@Amuse123456</t>
  </si>
  <si>
    <t>https://aflitiger.stores.jp</t>
  </si>
  <si>
    <t>規約違反</t>
  </si>
  <si>
    <t>Stores(憲子の部屋)</t>
  </si>
  <si>
    <t>https://norikonoheya.stores.jp</t>
  </si>
  <si>
    <t>SBI　ストフラ</t>
  </si>
  <si>
    <t>メンバーペイ(憲子の部屋)</t>
  </si>
  <si>
    <t>https://app.memberpay.jp/dashboard</t>
  </si>
  <si>
    <t>https://norikonoheya.memberpay.jp/</t>
  </si>
  <si>
    <t>Stores (OGAWA DESIGN)</t>
  </si>
  <si>
    <t>https://ogawadesign.stores.jp</t>
  </si>
  <si>
    <t>楽天メイワ</t>
  </si>
  <si>
    <t>Stores(ひとみのイラスト)</t>
  </si>
  <si>
    <t>https://dashboard.stores.app/</t>
  </si>
  <si>
    <t>hitomiaraki55@gmail.com</t>
  </si>
  <si>
    <t>https://hitomidesign.stores.jp</t>
  </si>
  <si>
    <t>捨てアドURL</t>
  </si>
  <si>
    <t>https://m.kuku.lu/</t>
  </si>
  <si>
    <t>6ad#VBXi0r&amp;M</t>
  </si>
  <si>
    <t>テレグラム</t>
  </si>
  <si>
    <t>グループＩＤ</t>
  </si>
  <si>
    <t>プロモーション</t>
  </si>
  <si>
    <t>@Roomcheckkkbot プロモーション</t>
  </si>
  <si>
    <t>メンテナンス🖥</t>
  </si>
  <si>
    <t>@Roomcheckkkbot メンテ</t>
  </si>
  <si>
    <t>審査・アカウント作成</t>
  </si>
  <si>
    <t>@Roomcheckkkbot 審査</t>
  </si>
  <si>
    <t>ボーナス付与</t>
  </si>
  <si>
    <t>@Roomcheckkkbot ボーナス</t>
  </si>
  <si>
    <t>AMUSE×CS</t>
  </si>
  <si>
    <t>@Roomcheckkkbot CS</t>
  </si>
  <si>
    <t>PayPay</t>
  </si>
  <si>
    <t>@Roomcheckkkbot Paypay</t>
  </si>
  <si>
    <t>入金-仮想通貨</t>
  </si>
  <si>
    <t>@Roomcheckkkbot 仮想通貨</t>
  </si>
  <si>
    <t>入金</t>
  </si>
  <si>
    <t>@Roomcheckkkbot 銀行入金</t>
  </si>
  <si>
    <t>出金</t>
  </si>
  <si>
    <t>@Roomcheckkkbot 銀行出金</t>
  </si>
  <si>
    <t>返済</t>
  </si>
  <si>
    <t>@Roomcheckkkbot 返済自動アラート</t>
  </si>
  <si>
    <t>EC入金</t>
  </si>
  <si>
    <t>@Roomcheckkkbot EC入金</t>
  </si>
  <si>
    <t>A-team</t>
  </si>
  <si>
    <t>返済計画</t>
  </si>
  <si>
    <t>リスト別データ</t>
  </si>
  <si>
    <t>営業マン別データ</t>
  </si>
  <si>
    <t>Team-A</t>
  </si>
  <si>
    <t>Team-B</t>
  </si>
  <si>
    <t>Team-C</t>
  </si>
  <si>
    <t>--</t>
  </si>
  <si>
    <t>修正点</t>
  </si>
  <si>
    <t>O</t>
  </si>
  <si>
    <t>経費</t>
  </si>
  <si>
    <t>https://docs.google.com/spreadsheets/d/1T1trhXRLFLmvsw6NF2ctVVuwIVOBYo9gekGltVhcgf4/edit?gid=2089831337#gid=2089831337</t>
  </si>
  <si>
    <t>Paymentfee</t>
  </si>
  <si>
    <t>https://docs.google.com/spreadsheets/d/14XIjmVcs8qf6tS7n0A5FnYSYOV-msbbCaARCRnN4wc0/edit?gid=0#gid=0</t>
  </si>
  <si>
    <t>通信費</t>
  </si>
  <si>
    <t>https://docs.google.com/spreadsheets/d/19eD15JPI2SoHKLgnXs8hXbY1ZpP5huYLpI6fo8Mr8bk/edit?gid=441054899#gid=441054899</t>
  </si>
  <si>
    <t>インセンティブ</t>
  </si>
  <si>
    <t>https://docs.google.com/spreadsheets/d/1t2YDL0W_FSrPAtUBku2Z8HGiTZPLv8M1UVfIaROZ8Vc/edit?usp=sharing</t>
  </si>
  <si>
    <t>求人</t>
  </si>
  <si>
    <t>https://docs.google.com/spreadsheets/d/1DTUC32YJHSyBa8CTkg1se2r2AQ3xxkB4dVQorqRF3gM/edit?gid=0#gid=0</t>
  </si>
  <si>
    <t>Tarat　求人</t>
  </si>
  <si>
    <t>https://docs.google.com/spreadsheets/d/1IQ05Dc9TE4AMwJzFRQDEJSGFNYHLKOkxgx7Fz5DM9ck/edit?gid=0#gid=0</t>
  </si>
  <si>
    <t>人件費</t>
  </si>
  <si>
    <t>https://docs.google.com/spreadsheets/d/1-7D4xn7jPVWxK4Hv_jQ4ruRle9vkJvezFGDqi1GFnd4/edit?gid=0#gid=0</t>
  </si>
  <si>
    <t>https://docs.google.com/spreadsheets/d/14TMKG3wMlr7bVuDirYrw4abQ53_H-KZVarVgfXdR5pc/edit?gid=1563093964#gid=1563093964</t>
  </si>
  <si>
    <t>管理費(オフィス等)</t>
  </si>
  <si>
    <t>シフト</t>
  </si>
  <si>
    <t>https://docs.google.com/spreadsheets/d/1NzugtBxvrjbwprdJ3UJh-QfTIm61HxnySjCs2DhWXO0/edit?gid=1485379724#gid=1485379724</t>
  </si>
  <si>
    <t>エージェント</t>
  </si>
  <si>
    <t>https://docs.google.com/spreadsheets/d/18x6IWuQJn1ECOgQSNubEgXz8Xj1z6J9FHAFuT_pHK4I/edit?gid=619570511#gid=619570511</t>
  </si>
  <si>
    <t>データ</t>
  </si>
  <si>
    <t>https://docs.google.com/spreadsheets/d/1hs7lDEWl3aqZCNELOHJ3W4x_fICLInX1n9Up--SMMKw/edit?gid=992341450#gid=992341450</t>
  </si>
  <si>
    <t>https://docs.google.com/spreadsheets/d/1T1trhXRLFLmvsw6NF2ctVVuwIVOBYo9gekGltVhcgf4/edit?gid=1483108432#gid=1483108432</t>
  </si>
  <si>
    <t>停止銀行</t>
  </si>
  <si>
    <t>https://docs.google.com/spreadsheets/d/1MBNCLrFtp3uGvnqofQQR8vTd0o9xmYlSUaowMIKWNR8/edit?gid=0#gid=0</t>
  </si>
  <si>
    <t>ボーナス</t>
  </si>
  <si>
    <t>ボーナス付与可能金額</t>
  </si>
  <si>
    <t>顧客シートにまとめる</t>
  </si>
  <si>
    <t>必達</t>
  </si>
  <si>
    <t>必達管理＆営業資料-SAM</t>
  </si>
  <si>
    <t>必達管理＆営業資料</t>
  </si>
  <si>
    <t>https://docs.google.com/spreadsheets/d/12d14wcOMXJQGiE1SgOrroORQ6MNdgPTZ1Qx2EneljKA/edit?gid=1564874204#gid=1564874204</t>
  </si>
  <si>
    <t>CSマニュアル</t>
  </si>
  <si>
    <t>https://docs.google.com/document/d/18wThd2o5n6_G_G2thy-dTQUKm_0mT8hxHEpKluOo-m0/edit?tab=t.0#heading=h.ux0m98l75fsd</t>
  </si>
  <si>
    <t>SAM顧客管理シート</t>
  </si>
  <si>
    <t>https://docs.google.com/spreadsheets/d/1vYc4iTJ16E7R6SUnGhwdB4aOJULuweZOJUwnvK3B2Ug/edit?pli=1&amp;gid=69945731#gid=69945731</t>
  </si>
  <si>
    <t>電話用</t>
  </si>
  <si>
    <t>https://docs.google.com/spreadsheets/d/1EYW0axbvIM3_qW8F6fKNkPg29oWP2Ac4a0IadqE3zzI/edit?gid=0#gid=0</t>
  </si>
  <si>
    <t>リストBE</t>
  </si>
  <si>
    <t>https://docs.google.com/spreadsheets/d/1RU8MWWQqUe2qMkZwxm-pnHjLc1877wd4e299FV-zMfo/edit?usp=sharing</t>
  </si>
  <si>
    <t>リストＥ</t>
  </si>
  <si>
    <t>https://docs.google.com/spreadsheets/d/1xQfQPXYrNd8-wxyQ1Mk4c3xS5qARAPgI9yiS0K4mVLA/edit?usp=sharing</t>
  </si>
  <si>
    <t>リストＳ</t>
  </si>
  <si>
    <t>https://docs.google.com/spreadsheets/d/1JSq5IYiP3uXDsXhbDw28lYGEaJA3kFpB-8FUPJNc0WQ/edit?usp=sharing</t>
  </si>
  <si>
    <t>Japan call</t>
  </si>
  <si>
    <t>https://docs.google.com/spreadsheets/d/18s0zwW8MkvgGIWswb_5sDcp8eF_jfpRoV17r3xX6NO0/edit?gid=0#gid=0</t>
  </si>
  <si>
    <t>KYC待ちテスト</t>
  </si>
  <si>
    <t>https://docs.google.com/spreadsheets/d/1DlPYyHqALEXjVrIS8-NLSJqVyq7TkU4qIvYkU9GiNGY/edit?gid=0#gid=0</t>
  </si>
  <si>
    <t>そのほかリスト</t>
  </si>
  <si>
    <t>https://docs.google.com/spreadsheets/d/1p9ccg4xcnBW255bsb0SRlPfvuckiWZc3ag0YBAUdXrE/edit?gid=1680971485#gid=1680971485</t>
  </si>
  <si>
    <t>入出金履歴</t>
  </si>
  <si>
    <t>https://docs.google.com/spreadsheets/d/1wQNVMmuj-a4xpp5BuA75uVJ7tQLnllAFiullap81ALE/edit?usp=sharing</t>
  </si>
  <si>
    <t>VOISO</t>
  </si>
  <si>
    <t>https://docs.google.com/spreadsheets/d/1ESPRy1HoY4ufwKaRQLpUCpjQmdqYgquR/edit?gid=2055936698#gid=2055936698</t>
  </si>
  <si>
    <t>銀行・取引所</t>
  </si>
  <si>
    <t>https://docs.google.com/spreadsheets/d/18Y7q33TB_4CauTQemGNnS2A-1KkpAZKblBsyaJA7LR8/edit?gid=0#gid=0</t>
  </si>
  <si>
    <t>ＥＣプラットフォーム</t>
  </si>
  <si>
    <t>https://docs.google.com/spreadsheets/d/1NNJBI9h3MmZTIL92g0kjdX9FDu1aiobcH1jc4o4OlFE/edit?gid=0#gid=0</t>
  </si>
  <si>
    <t>ECサイト</t>
  </si>
  <si>
    <t>https://docs.google.com/spreadsheets/d/1G5jFwlM3dch0PGoau7_0JE7mCKeDG1EAV91dPdnwIs4/edit?gid=965343278#gid=965343278</t>
  </si>
  <si>
    <t>インボイス雛形</t>
  </si>
  <si>
    <t>https://docs.google.com/spreadsheets/d/1lOaRl54pl4wRVOvIhf1LCTPNHda5wroCvWyn69LNvvc/edit?gid=0#gid=0</t>
  </si>
  <si>
    <t>インボイス作成</t>
  </si>
  <si>
    <t>https://docs.google.com/spreadsheets/d/1lOaRl54pl4wRVOvIhf1LCTPNHda5wroCvWyn69LNvvc/edit?gid=1145697343#gid=1145697343</t>
  </si>
  <si>
    <t>インボイス送信</t>
  </si>
  <si>
    <t>https://docs.google.com/spreadsheets/d/1WpJvatgKuVTKS5YIEhTU9Vgi7BA7iMWx5g9niYmy39Y/edit?gid=0#gid=0</t>
  </si>
  <si>
    <t>EC着金確認</t>
  </si>
  <si>
    <t>https://docs.google.com/spreadsheets/d/1ZuAC4KXT1-OKMIGsWUWp2SWGqzrLpReJHH5K674-_gI/edit?gid=0#gid=0</t>
  </si>
  <si>
    <t>仮想通貨</t>
  </si>
  <si>
    <t>https://docs.google.com/spreadsheets/d/1VcXpGxVCx038wKjMbsraIWMYYjCtSqAkBRLyxtEH7B8/edit?gid=1369730177#gid=1369730177</t>
  </si>
  <si>
    <t>https://docs.google.com/spreadsheets/d/1rIjVoas-Lzbw17abcKggB9y2Lg6BuRUY9J9vbYX3BTo/edit?gid=976302755#gid=976302755</t>
  </si>
  <si>
    <t>トータルデータ</t>
  </si>
  <si>
    <t>銀行</t>
  </si>
  <si>
    <t>https://docs.google.com/spreadsheets/d/1On-yzcYzVYX-SKOHMb-E87V8QJGjMyeJLAKoWRXg2Nk/edit?gid=1983021448#gid=1983021448</t>
  </si>
  <si>
    <t>銀行着金確認</t>
  </si>
  <si>
    <t>https://docs.google.com/spreadsheets/d/1TIxxGKXBgnByCOe5utZbNnHSF9mtAnXqzehBwE_NaGc/edit?gid=1259461157#gid=1259461157</t>
  </si>
  <si>
    <t>ペライチ状況確認</t>
  </si>
  <si>
    <t>https://docs.google.com/spreadsheets/d/1knAB2V53UxVX9M1NaCB6kA_OqzzvsMRmb50X7JoP5sg/edit?gid=704804644#gid=704804644</t>
  </si>
  <si>
    <t>銀行停止</t>
  </si>
  <si>
    <t>https://docs.google.com/spreadsheets/d/1GDKSYxnT4c0yRL_JS-fuzkEwkxgSVWmAQabQW5sXuaU/edit?gid=1732137804#gid=1732137804</t>
  </si>
  <si>
    <t>請求データ</t>
  </si>
  <si>
    <t>https://docs.google.com/spreadsheets/d/1VUWR1tThTkUsED6h4jYnLAFO7gJvv9tn10R872CwhK8/edit?gid=1145697343#gid=1145697343</t>
  </si>
  <si>
    <t>Aチーム</t>
  </si>
  <si>
    <t>https://docs.google.com/spreadsheets/d/1A1d8a4jCWo7o1QhIjoUgH-4nwne3vabOmU8diE3Fdu8/edit?gid=1650759560#gid=1650759560</t>
  </si>
  <si>
    <t>Bチーム</t>
  </si>
  <si>
    <t>https://docs.google.com/spreadsheets/d/1VvjVgZ258NB2UzIOdG2prPUY3Nsr5nHav4__ln1_q8U/edit?usp=sharing</t>
  </si>
  <si>
    <t>Cチーム</t>
  </si>
  <si>
    <t>https://docs.google.com/spreadsheets/d/1ZlDZNXdv9Z8Eyakxql4v5xhXJ-UgNQ6DS515lF3Ve4I/edit?usp=sharing</t>
  </si>
  <si>
    <t>営業マンイベント</t>
  </si>
  <si>
    <t>https://docs.google.com/spreadsheets/d/1Rg9hAgqy4FOBN0F9yEZFADMdmQl9xpNeFM5Z5Z99VZY/edit?gid=0#gid=0</t>
  </si>
  <si>
    <t>Paypay</t>
  </si>
  <si>
    <t>https://docs.google.com/spreadsheets/d/1JBTKhsX94elKRefCiHugurq7ZvyMoYZoBETqB62y2JM/edit?gid=0#gid=0</t>
  </si>
  <si>
    <t>遅れ回収シート</t>
  </si>
  <si>
    <t>https://docs.google.com/spreadsheets/d/1G9XLCqQPg-spKGJhMFKNHVI9M2mPNyccj9BJNg-8XN0/edit?gid=1388364056#gid=1388364056</t>
  </si>
  <si>
    <t>顧客テレグラム</t>
  </si>
  <si>
    <t>https://docs.google.com/spreadsheets/d/1u3fJuRwF0u4C04fdHqqjJ47A0bPy1JdtnH52FNlYFGU/edit?gid=0#gid=0</t>
  </si>
  <si>
    <t>SMS送信</t>
  </si>
  <si>
    <t>https://docs.google.com/spreadsheets/d/1w7p_hnmOPH9H6W5schndBstJUCo6GAzctOXp2jl6v9g/edit?gid=790450177#gid=790450177</t>
  </si>
  <si>
    <t>https://docs.google.com/spreadsheets/d/1rIjVoas-Lzbw17abcKggB9y2Lg6BuRUY9J9vbYX3BTo/edit?gid=0#gid=0</t>
  </si>
  <si>
    <t>LineList</t>
  </si>
  <si>
    <t>https://docs.google.com/spreadsheets/d/11tNWvhbn5fFEZKz61AoHibmPT1DVSUEjMDmBzkejwvU/edit?gid=0#gid=0</t>
  </si>
  <si>
    <t>リスト</t>
  </si>
  <si>
    <t>https://docs.google.com/spreadsheets/d/1Gyhs3_5MfzFDRg9sXSmq7y3joOcn_Mss40lhXBCL3CY/edit?gid=610707892#gid=610707892</t>
  </si>
  <si>
    <t>番号取得</t>
  </si>
  <si>
    <t>https://docs.google.com/spreadsheets/d/1Ez9pr71moWqVJXx3qQg3AHgh0PU5gItbCeElPQwl3rI/edit?usp=sharing</t>
  </si>
  <si>
    <t>統合用</t>
  </si>
  <si>
    <t>https://docs.google.com/spreadsheets/d/1arsroiMq9Zb6ILpjpg6D42dXVaUDZcSuoMitRNG9VCc/edit?gid=1786886565#gid=1786886565</t>
  </si>
  <si>
    <t>SMS集計</t>
  </si>
  <si>
    <t>https://docs.google.com/spreadsheets/d/1JjkwcfBiwWrKbDDPsfo8MeTL3Hs-cBXGLH2mDj5Q_R0/edit?usp=sharing</t>
  </si>
  <si>
    <t>別部署経費計算シート</t>
  </si>
  <si>
    <t>https://docs.google.com/spreadsheets/d/1fZMBNk5-kulRwASx2B9DPX82HYxD9_xsplXmQigsxSg/edit?usp=sharing</t>
  </si>
  <si>
    <t>TOTAL</t>
  </si>
  <si>
    <t>$1</t>
  </si>
  <si>
    <t xml:space="preserve">12月-December            </t>
  </si>
  <si>
    <t xml:space="preserve">11月-Nobember            </t>
  </si>
  <si>
    <t xml:space="preserve">10月-October            </t>
  </si>
  <si>
    <t xml:space="preserve">9月-September            </t>
  </si>
  <si>
    <t xml:space="preserve">8月-August            </t>
  </si>
  <si>
    <t xml:space="preserve">7月-July             </t>
  </si>
  <si>
    <t xml:space="preserve">6月-June             </t>
  </si>
  <si>
    <t xml:space="preserve">5月-May		</t>
  </si>
  <si>
    <t>4月-April</t>
  </si>
  <si>
    <t>3月-March</t>
  </si>
  <si>
    <t>2月-February</t>
  </si>
  <si>
    <t>1月-January</t>
  </si>
  <si>
    <t>12月-December</t>
  </si>
  <si>
    <t>11月-Nobember</t>
  </si>
  <si>
    <t>10月-October</t>
  </si>
  <si>
    <t>9月-September</t>
  </si>
  <si>
    <t>8月-August</t>
  </si>
  <si>
    <t>7月-July</t>
  </si>
  <si>
    <t>実数字</t>
  </si>
  <si>
    <t>KPI</t>
  </si>
  <si>
    <t>達成度</t>
  </si>
  <si>
    <t>リスト件数</t>
  </si>
  <si>
    <t>15000</t>
  </si>
  <si>
    <t>10000</t>
  </si>
  <si>
    <t>打電数</t>
  </si>
  <si>
    <t>着電数</t>
  </si>
  <si>
    <t>3600</t>
  </si>
  <si>
    <t>3200</t>
  </si>
  <si>
    <t>2800</t>
  </si>
  <si>
    <t>2400</t>
  </si>
  <si>
    <t>LINE登録数</t>
  </si>
  <si>
    <t>アカウント作成数</t>
  </si>
  <si>
    <t>640</t>
  </si>
  <si>
    <t>FTD数</t>
  </si>
  <si>
    <t>320</t>
  </si>
  <si>
    <t>240</t>
  </si>
  <si>
    <t>160</t>
  </si>
  <si>
    <t>前月リテンション数</t>
  </si>
  <si>
    <t>297</t>
  </si>
  <si>
    <t>220</t>
  </si>
  <si>
    <t>199</t>
  </si>
  <si>
    <t>159</t>
  </si>
  <si>
    <t>112</t>
  </si>
  <si>
    <t>90</t>
  </si>
  <si>
    <t>64</t>
  </si>
  <si>
    <t>0</t>
  </si>
  <si>
    <t>引継ぎプレイヤー数</t>
  </si>
  <si>
    <t>アクティブユーザー数</t>
  </si>
  <si>
    <t>617</t>
  </si>
  <si>
    <t>540</t>
  </si>
  <si>
    <t>439</t>
  </si>
  <si>
    <t>399</t>
  </si>
  <si>
    <t>352</t>
  </si>
  <si>
    <t>250</t>
  </si>
  <si>
    <t>224</t>
  </si>
  <si>
    <t>T/O</t>
  </si>
  <si>
    <t>勝利金</t>
  </si>
  <si>
    <t>RTP</t>
  </si>
  <si>
    <t>WIN/LOSE</t>
  </si>
  <si>
    <t>LTV(WIN/LOSE)</t>
  </si>
  <si>
    <t>回収予定金額</t>
  </si>
  <si>
    <t>回収金額</t>
  </si>
  <si>
    <t>回収率</t>
  </si>
  <si>
    <t>出金金額</t>
  </si>
  <si>
    <t>GGR</t>
  </si>
  <si>
    <t>LTV(GGR)</t>
  </si>
  <si>
    <t>プロバイダーフィー</t>
  </si>
  <si>
    <t>NGR</t>
  </si>
  <si>
    <t>date</t>
  </si>
  <si>
    <t>MS</t>
  </si>
  <si>
    <t>JP</t>
  </si>
  <si>
    <t>合計経費</t>
  </si>
  <si>
    <t>AMUSE利益</t>
  </si>
  <si>
    <t>最終TOTAL</t>
  </si>
  <si>
    <t>修正後</t>
  </si>
  <si>
    <t>BK</t>
  </si>
  <si>
    <t>C</t>
  </si>
  <si>
    <t>凍結資金</t>
  </si>
  <si>
    <t>一回目</t>
  </si>
  <si>
    <t>トータル</t>
  </si>
  <si>
    <t>リストから</t>
  </si>
  <si>
    <t>打電から</t>
  </si>
  <si>
    <t>着電から</t>
  </si>
  <si>
    <t>FTP数</t>
  </si>
  <si>
    <t>FTP率</t>
  </si>
  <si>
    <t>FTD率</t>
  </si>
  <si>
    <t>FTW数</t>
  </si>
  <si>
    <t>FTW率</t>
  </si>
  <si>
    <t>FTDW数</t>
  </si>
  <si>
    <t>FTDW率</t>
  </si>
  <si>
    <t>GGR（WIN/LOSE）</t>
  </si>
  <si>
    <t>回収率(全体)</t>
  </si>
  <si>
    <t>回収率(今月)</t>
  </si>
  <si>
    <t>付与ボーナス額</t>
  </si>
  <si>
    <t>GGR（回収金額-出金金額）</t>
  </si>
  <si>
    <t>ボーナス割合(WIN/LOSE)</t>
  </si>
  <si>
    <t>ボーナス割合(GGR)</t>
  </si>
  <si>
    <t>ボーナス割合(T/O)</t>
  </si>
  <si>
    <t>MS経費</t>
  </si>
  <si>
    <t>他経費</t>
  </si>
  <si>
    <t>ペイメントフィー</t>
  </si>
  <si>
    <t>雑費・福利厚生等</t>
  </si>
  <si>
    <t>利益</t>
  </si>
  <si>
    <t>死亡金</t>
  </si>
  <si>
    <t>実質回収金額</t>
  </si>
  <si>
    <t>凍結制限金</t>
  </si>
  <si>
    <t>スロ天経費</t>
  </si>
  <si>
    <t>管理費</t>
  </si>
  <si>
    <t>12</t>
  </si>
  <si>
    <t>31</t>
  </si>
  <si>
    <t>19</t>
  </si>
  <si>
    <t>DSC</t>
  </si>
  <si>
    <t>凍結/返済制限金差し引き後</t>
  </si>
  <si>
    <t>エージェントフィー</t>
  </si>
  <si>
    <t>リスト数</t>
  </si>
  <si>
    <t>リストデータ</t>
  </si>
  <si>
    <t>回線没(TOTAL)</t>
  </si>
  <si>
    <t>回線没(S)</t>
  </si>
  <si>
    <t>回線没(E)</t>
  </si>
  <si>
    <t>回線没(BE)</t>
  </si>
  <si>
    <t>打電数(TOTAL)</t>
  </si>
  <si>
    <t>打電数(S)</t>
  </si>
  <si>
    <t>打電数(E)</t>
  </si>
  <si>
    <t>打電数(BE)</t>
  </si>
  <si>
    <t>着電数(TOTAL)</t>
  </si>
  <si>
    <t>着電数(S)</t>
  </si>
  <si>
    <t>着電数(E)</t>
  </si>
  <si>
    <t>着電数(BE)</t>
  </si>
  <si>
    <t>LINE登録(TOTAL)</t>
  </si>
  <si>
    <t>LINE登録(S)</t>
  </si>
  <si>
    <t>LINE登録(E)</t>
  </si>
  <si>
    <t>LINE登録(BE)</t>
  </si>
  <si>
    <t>アカウント作成(TOTAL)</t>
  </si>
  <si>
    <t>アカウント作成(S)</t>
  </si>
  <si>
    <t>アカウント作成(E)</t>
  </si>
  <si>
    <t>アカウント作成(BE)</t>
  </si>
  <si>
    <t>営業マン数</t>
  </si>
  <si>
    <t>アクティブ数(S)</t>
  </si>
  <si>
    <t>アクティブ数(E)</t>
  </si>
  <si>
    <t>アクティブ数(BE)</t>
  </si>
  <si>
    <t>T/O(S)</t>
  </si>
  <si>
    <t>T/O(E)</t>
  </si>
  <si>
    <t>T/O(BE)</t>
  </si>
  <si>
    <t>GGR(S)</t>
  </si>
  <si>
    <t>GGR(E)</t>
  </si>
  <si>
    <t>GGR(BE)</t>
  </si>
  <si>
    <t>LTV(S)</t>
  </si>
  <si>
    <t>LTV(E)</t>
  </si>
  <si>
    <t>LTV(BE)</t>
  </si>
  <si>
    <t>登録数</t>
  </si>
  <si>
    <t>FTD</t>
  </si>
  <si>
    <t>リアクティベーション(前月)</t>
  </si>
  <si>
    <t>引継ぎプレイヤー</t>
  </si>
  <si>
    <t>前月引継ぎプレイヤー</t>
  </si>
  <si>
    <t>3か月以内引継ぎプレイヤー</t>
  </si>
  <si>
    <t>アクティブプレイヤー数</t>
  </si>
  <si>
    <t>非アクティブ数</t>
  </si>
  <si>
    <t>T/O(Live)</t>
  </si>
  <si>
    <t>T/O(LSlot</t>
  </si>
  <si>
    <t>T/O(Total)</t>
  </si>
  <si>
    <t>勝利金(Live)</t>
  </si>
  <si>
    <t>勝利金(Slot)</t>
  </si>
  <si>
    <t>勝利金(Total)</t>
  </si>
  <si>
    <t>GAME WIN/LOSE</t>
  </si>
  <si>
    <t>LTV WIN/LOSE</t>
  </si>
  <si>
    <t>総デポジット付与金額</t>
  </si>
  <si>
    <t>入金割合</t>
  </si>
  <si>
    <t>回収見込み金額</t>
  </si>
  <si>
    <t>出金割合</t>
  </si>
  <si>
    <t>出金見込み金額</t>
  </si>
  <si>
    <t>ボーナス付与金額</t>
  </si>
  <si>
    <t>ボーナス付与アカウント数</t>
  </si>
  <si>
    <t>ボーナス付与回数</t>
  </si>
  <si>
    <t>Last Bet Time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</si>
</sst>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411]#,##0"/>
    <numFmt numFmtId="165" formatCode="&quot;¥&quot;#,##0"/>
    <numFmt numFmtId="166" formatCode="&quot;¥&quot;#,##0.00"/>
    <numFmt numFmtId="167" formatCode="[$₱]#,##0"/>
    <numFmt numFmtId="168" formatCode="[$$]#,##0"/>
    <numFmt numFmtId="169" formatCode="[$$]#,##0.00"/>
    <numFmt numFmtId="170" formatCode="[$¥-411]#,##0.00"/>
    <numFmt numFmtId="171" formatCode="m月d日"/>
    <numFmt numFmtId="172" formatCode="m/d"/>
    <numFmt numFmtId="173" formatCode="yyyy-mm-dd h:mm:ss"/>
  </numFmts>
  <fonts count="51">
    <font>
      <sz val="10.0"/>
      <color rgb="FF000000"/>
      <name val="Arial"/>
      <scheme val="minor"/>
    </font>
    <font>
      <color theme="1"/>
      <name val="Arial"/>
      <scheme val="minor"/>
    </font>
    <font>
      <u/>
      <color rgb="FF0000FF"/>
    </font>
    <font>
      <color theme="1"/>
      <name val="Arial"/>
    </font>
    <font>
      <u/>
      <color rgb="FF0000FF"/>
    </font>
    <font>
      <u/>
      <color rgb="FF0000FF"/>
      <name val="Arial"/>
    </font>
    <font>
      <u/>
      <color rgb="FF0000FF"/>
      <name val="Arial"/>
    </font>
    <font>
      <u/>
      <color rgb="FF0000FF"/>
      <name val="Arial"/>
    </font>
    <font>
      <u/>
      <color rgb="FF0000FF"/>
      <name val="Arial"/>
    </font>
    <font>
      <u/>
      <color rgb="FF0000FF"/>
      <name val="Arial"/>
    </font>
    <font>
      <u/>
      <color rgb="FF0000FF"/>
    </font>
    <font>
      <u/>
      <color rgb="FF1155CC"/>
      <name val="Arial"/>
    </font>
    <font>
      <u/>
      <color rgb="FF1155CC"/>
      <name val="Arial"/>
    </font>
    <font>
      <u/>
      <color rgb="FF0000FF"/>
    </font>
    <font>
      <u/>
      <color rgb="FF0000FF"/>
      <name val="Arial"/>
    </font>
    <font>
      <u/>
      <color rgb="FF0000FF"/>
    </font>
    <font>
      <u/>
      <color rgb="FF0000FF"/>
    </font>
    <font>
      <u/>
      <color rgb="FF1155CC"/>
      <name val="Arial"/>
    </font>
    <font>
      <u/>
      <color rgb="FF1155CC"/>
      <name val="Arial"/>
    </font>
    <font>
      <sz val="17.0"/>
      <color theme="1"/>
      <name val="Arial"/>
      <scheme val="minor"/>
    </font>
    <font>
      <sz val="15.0"/>
      <color rgb="FFFFFFFF"/>
      <name val="Arial"/>
      <scheme val="minor"/>
    </font>
    <font/>
    <font>
      <sz val="13.0"/>
      <color theme="1"/>
      <name val="Arial"/>
      <scheme val="minor"/>
    </font>
    <font>
      <sz val="15.0"/>
      <color theme="1"/>
      <name val="Arial"/>
      <scheme val="minor"/>
    </font>
    <font>
      <sz val="12.0"/>
      <color theme="1"/>
      <name val="Arial"/>
      <scheme val="minor"/>
    </font>
    <font>
      <sz val="14.0"/>
      <color theme="1"/>
      <name val="Arial"/>
      <scheme val="minor"/>
    </font>
    <font>
      <sz val="13.0"/>
      <color rgb="FFFFFFFF"/>
      <name val="Arial"/>
      <scheme val="minor"/>
    </font>
    <font>
      <sz val="12.0"/>
      <color rgb="FFFFFFFF"/>
      <name val="Arial"/>
      <scheme val="minor"/>
    </font>
    <font>
      <color rgb="FFFFFFFF"/>
      <name val="Arial"/>
      <scheme val="minor"/>
    </font>
    <font>
      <sz val="13.0"/>
      <color rgb="FF000000"/>
      <name val="Arial"/>
      <scheme val="minor"/>
    </font>
    <font>
      <sz val="13.0"/>
      <color theme="1"/>
      <name val="Arial"/>
    </font>
    <font>
      <sz val="17.0"/>
      <color theme="1"/>
      <name val="Arial"/>
    </font>
    <font>
      <sz val="16.0"/>
      <color rgb="FFFFFFFF"/>
      <name val="Arial"/>
    </font>
    <font>
      <sz val="16.0"/>
      <color rgb="FFFFFFFF"/>
      <name val="Arial"/>
      <scheme val="minor"/>
    </font>
    <font>
      <sz val="16.0"/>
      <color theme="1"/>
      <name val="Arial"/>
    </font>
    <font>
      <sz val="16.0"/>
      <color theme="1"/>
      <name val="Arial"/>
      <scheme val="minor"/>
    </font>
    <font>
      <sz val="12.0"/>
      <color rgb="FF000000"/>
      <name val="Arial"/>
      <scheme val="minor"/>
    </font>
    <font>
      <color rgb="FF000000"/>
      <name val="Arial"/>
      <scheme val="minor"/>
    </font>
    <font>
      <u/>
      <color rgb="FF1155CC"/>
      <name val="Arial"/>
    </font>
    <font>
      <u/>
      <color rgb="FF0000FF"/>
      <name val="Arial"/>
    </font>
    <font>
      <u/>
      <color rgb="FF0000FF"/>
      <name val="Arial"/>
    </font>
    <font>
      <u/>
      <color rgb="FF0000FF"/>
      <name val="Arial"/>
    </font>
    <font>
      <u/>
      <color rgb="FF1155CC"/>
      <name val="Arial"/>
    </font>
    <font>
      <sz val="18.0"/>
      <color theme="1"/>
      <name val="Arial"/>
      <scheme val="minor"/>
    </font>
    <font>
      <u/>
      <color rgb="FF0000FF"/>
    </font>
    <font>
      <u/>
      <color rgb="FF0000FF"/>
    </font>
    <font>
      <sz val="11.0"/>
      <color theme="1"/>
      <name val="Calibri"/>
    </font>
    <font>
      <u/>
      <color rgb="FF0000FF"/>
    </font>
    <font>
      <sz val="11.0"/>
      <color rgb="FF303133"/>
      <name val="&quot;Helvetica Neue&quot;"/>
    </font>
    <font>
      <sz val="10.0"/>
      <color theme="1"/>
      <name val="Arial"/>
      <scheme val="minor"/>
    </font>
    <font>
      <sz val="11.0"/>
      <color rgb="FF000000"/>
      <name val="Calibri"/>
    </font>
  </fonts>
  <fills count="46">
    <fill>
      <patternFill patternType="none"/>
    </fill>
    <fill>
      <patternFill patternType="lightGray"/>
    </fill>
    <fill>
      <patternFill patternType="solid">
        <fgColor rgb="FFF3F3F3"/>
        <bgColor rgb="FFF3F3F3"/>
      </patternFill>
    </fill>
    <fill>
      <patternFill patternType="solid">
        <fgColor rgb="FFEEF7E3"/>
        <bgColor rgb="FFEEF7E3"/>
      </patternFill>
    </fill>
    <fill>
      <patternFill patternType="solid">
        <fgColor rgb="FF999999"/>
        <bgColor rgb="FF999999"/>
      </patternFill>
    </fill>
    <fill>
      <patternFill patternType="solid">
        <fgColor rgb="FFFFFFFF"/>
        <bgColor rgb="FFFFFFFF"/>
      </patternFill>
    </fill>
    <fill>
      <patternFill patternType="solid">
        <fgColor rgb="FFC9DAF8"/>
        <bgColor rgb="FFC9DAF8"/>
      </patternFill>
    </fill>
    <fill>
      <patternFill patternType="solid">
        <fgColor rgb="FF274E13"/>
        <bgColor rgb="FF274E13"/>
      </patternFill>
    </fill>
    <fill>
      <patternFill patternType="solid">
        <fgColor rgb="FF8BC34A"/>
        <bgColor rgb="FF8BC34A"/>
      </patternFill>
    </fill>
    <fill>
      <patternFill patternType="solid">
        <fgColor rgb="FF38761D"/>
        <bgColor rgb="FF38761D"/>
      </patternFill>
    </fill>
    <fill>
      <patternFill patternType="solid">
        <fgColor rgb="FFD9EAD3"/>
        <bgColor rgb="FFD9EAD3"/>
      </patternFill>
    </fill>
    <fill>
      <patternFill patternType="solid">
        <fgColor rgb="FFE5F3E0"/>
        <bgColor rgb="FFE5F3E0"/>
      </patternFill>
    </fill>
    <fill>
      <patternFill patternType="solid">
        <fgColor rgb="FFF7CB4D"/>
        <bgColor rgb="FFF7CB4D"/>
      </patternFill>
    </fill>
    <fill>
      <patternFill patternType="solid">
        <fgColor rgb="FF8989EB"/>
        <bgColor rgb="FF8989EB"/>
      </patternFill>
    </fill>
    <fill>
      <patternFill patternType="solid">
        <fgColor rgb="FFF46524"/>
        <bgColor rgb="FFF46524"/>
      </patternFill>
    </fill>
    <fill>
      <patternFill patternType="solid">
        <fgColor rgb="FF5B95F9"/>
        <bgColor rgb="FF5B95F9"/>
      </patternFill>
    </fill>
    <fill>
      <patternFill patternType="solid">
        <fgColor rgb="FF63D297"/>
        <bgColor rgb="FF63D297"/>
      </patternFill>
    </fill>
    <fill>
      <patternFill patternType="solid">
        <fgColor rgb="FFCCA677"/>
        <bgColor rgb="FFCCA677"/>
      </patternFill>
    </fill>
    <fill>
      <patternFill patternType="solid">
        <fgColor rgb="FF78909C"/>
        <bgColor rgb="FF78909C"/>
      </patternFill>
    </fill>
    <fill>
      <patternFill patternType="solid">
        <fgColor rgb="FFBDBDBD"/>
        <bgColor rgb="FFBDBDBD"/>
      </patternFill>
    </fill>
    <fill>
      <patternFill patternType="solid">
        <fgColor rgb="FFFEF8E3"/>
        <bgColor rgb="FFFEF8E3"/>
      </patternFill>
    </fill>
    <fill>
      <patternFill patternType="solid">
        <fgColor rgb="FFE8E7FC"/>
        <bgColor rgb="FFE8E7FC"/>
      </patternFill>
    </fill>
    <fill>
      <patternFill patternType="solid">
        <fgColor rgb="FFFFE6DD"/>
        <bgColor rgb="FFFFE6DD"/>
      </patternFill>
    </fill>
    <fill>
      <patternFill patternType="solid">
        <fgColor rgb="FFE8F0FE"/>
        <bgColor rgb="FFE8F0FE"/>
      </patternFill>
    </fill>
    <fill>
      <patternFill patternType="solid">
        <fgColor rgb="FFE7F9EF"/>
        <bgColor rgb="FFE7F9EF"/>
      </patternFill>
    </fill>
    <fill>
      <patternFill patternType="solid">
        <fgColor rgb="FFF8F2EB"/>
        <bgColor rgb="FFF8F2EB"/>
      </patternFill>
    </fill>
    <fill>
      <patternFill patternType="solid">
        <fgColor rgb="FFEBEFF1"/>
        <bgColor rgb="FFEBEFF1"/>
      </patternFill>
    </fill>
    <fill>
      <patternFill patternType="solid">
        <fgColor rgb="FF351C75"/>
        <bgColor rgb="FF351C75"/>
      </patternFill>
    </fill>
    <fill>
      <patternFill patternType="solid">
        <fgColor rgb="FF26A69A"/>
        <bgColor rgb="FF26A69A"/>
      </patternFill>
    </fill>
    <fill>
      <patternFill patternType="solid">
        <fgColor rgb="FF6AA84F"/>
        <bgColor rgb="FF6AA84F"/>
      </patternFill>
    </fill>
    <fill>
      <patternFill patternType="solid">
        <fgColor rgb="FF134F5C"/>
        <bgColor rgb="FF134F5C"/>
      </patternFill>
    </fill>
    <fill>
      <patternFill patternType="solid">
        <fgColor rgb="FF1155CC"/>
        <bgColor rgb="FF1155CC"/>
      </patternFill>
    </fill>
    <fill>
      <patternFill patternType="solid">
        <fgColor rgb="FF0B5394"/>
        <bgColor rgb="FF0B5394"/>
      </patternFill>
    </fill>
    <fill>
      <patternFill patternType="solid">
        <fgColor rgb="FF741B47"/>
        <bgColor rgb="FF741B47"/>
      </patternFill>
    </fill>
    <fill>
      <patternFill patternType="solid">
        <fgColor rgb="FF85200C"/>
        <bgColor rgb="FF85200C"/>
      </patternFill>
    </fill>
    <fill>
      <patternFill patternType="solid">
        <fgColor rgb="FF990000"/>
        <bgColor rgb="FF990000"/>
      </patternFill>
    </fill>
    <fill>
      <patternFill patternType="solid">
        <fgColor rgb="FFB45F06"/>
        <bgColor rgb="FFB45F06"/>
      </patternFill>
    </fill>
    <fill>
      <patternFill patternType="solid">
        <fgColor rgb="FFD9D2E9"/>
        <bgColor rgb="FFD9D2E9"/>
      </patternFill>
    </fill>
    <fill>
      <patternFill patternType="solid">
        <fgColor rgb="FFDDF2F0"/>
        <bgColor rgb="FFDDF2F0"/>
      </patternFill>
    </fill>
    <fill>
      <patternFill patternType="solid">
        <fgColor rgb="FFD0E0E3"/>
        <bgColor rgb="FFD0E0E3"/>
      </patternFill>
    </fill>
    <fill>
      <patternFill patternType="solid">
        <fgColor rgb="FFCFE2F3"/>
        <bgColor rgb="FFCFE2F3"/>
      </patternFill>
    </fill>
    <fill>
      <patternFill patternType="solid">
        <fgColor rgb="FFEAD1DC"/>
        <bgColor rgb="FFEAD1DC"/>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2F2F2"/>
        <bgColor rgb="FFF2F2F2"/>
      </patternFill>
    </fill>
  </fills>
  <borders count="29">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999999"/>
      </bottom>
    </border>
    <border>
      <left style="thin">
        <color rgb="FFB7B7B7"/>
      </left>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top style="thin">
        <color rgb="FF999999"/>
      </top>
    </border>
    <border>
      <top style="thin">
        <color rgb="FF999999"/>
      </top>
    </border>
    <border>
      <bottom style="thin">
        <color rgb="FFB7B7B7"/>
      </bottom>
    </border>
    <border>
      <left style="thin">
        <color rgb="FF999999"/>
      </left>
      <bottom style="thin">
        <color rgb="FF999999"/>
      </bottom>
    </border>
    <border>
      <right style="thin">
        <color rgb="FF999999"/>
      </right>
      <bottom style="thin">
        <color rgb="FF999999"/>
      </bottom>
    </border>
    <border>
      <left style="thin">
        <color rgb="FFB7B7B7"/>
      </left>
      <top style="thin">
        <color rgb="FFB7B7B7"/>
      </top>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right style="thin">
        <color rgb="FFB7B7B7"/>
      </right>
      <top style="thin">
        <color rgb="FFB7B7B7"/>
      </top>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000000"/>
      </left>
      <right style="thin">
        <color rgb="FF000000"/>
      </right>
      <top style="thin">
        <color rgb="FF000000"/>
      </top>
      <bottom style="thin">
        <color rgb="FF000000"/>
      </bottom>
    </border>
    <border>
      <top style="thin">
        <color rgb="FFB7B7B7"/>
      </top>
    </border>
  </borders>
  <cellStyleXfs count="1">
    <xf borderId="0" fillId="0" fontId="0" numFmtId="0" applyAlignment="1" applyFont="1"/>
  </cellStyleXfs>
  <cellXfs count="604">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0" fillId="0" fontId="1" numFmtId="0" xfId="0" applyAlignment="1" applyFont="1">
      <alignment readingOrder="0"/>
    </xf>
    <xf borderId="0" fillId="0" fontId="1" numFmtId="0" xfId="0" applyAlignment="1" applyFont="1">
      <alignment horizontal="center" readingOrder="0"/>
    </xf>
    <xf borderId="1" fillId="0" fontId="1" numFmtId="0" xfId="0" applyBorder="1" applyFont="1"/>
    <xf borderId="0" fillId="0" fontId="1" numFmtId="0" xfId="0" applyFont="1"/>
    <xf borderId="0" fillId="0" fontId="1" numFmtId="0" xfId="0" applyAlignment="1" applyFont="1">
      <alignment horizontal="center"/>
    </xf>
    <xf borderId="1" fillId="0" fontId="2" numFmtId="0" xfId="0" applyAlignment="1" applyBorder="1" applyFont="1">
      <alignment readingOrder="0"/>
    </xf>
    <xf borderId="0" fillId="0" fontId="1" numFmtId="0" xfId="0" applyAlignment="1" applyFont="1">
      <alignment horizontal="center" readingOrder="0"/>
    </xf>
    <xf borderId="1" fillId="0" fontId="3" numFmtId="0" xfId="0" applyAlignment="1" applyBorder="1" applyFont="1">
      <alignment readingOrder="0" vertical="bottom"/>
    </xf>
    <xf borderId="1" fillId="0" fontId="4" numFmtId="0" xfId="0" applyAlignment="1" applyBorder="1" applyFont="1">
      <alignment readingOrder="0"/>
    </xf>
    <xf borderId="1" fillId="0" fontId="3" numFmtId="0" xfId="0" applyAlignment="1" applyBorder="1" applyFont="1">
      <alignment vertical="bottom"/>
    </xf>
    <xf borderId="0" fillId="0" fontId="5"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horizontal="center" readingOrder="0" vertical="bottom"/>
    </xf>
    <xf borderId="0" fillId="0" fontId="3" numFmtId="0" xfId="0" applyAlignment="1" applyFont="1">
      <alignment horizontal="center" readingOrder="0" vertical="bottom"/>
    </xf>
    <xf borderId="0" fillId="0" fontId="6"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horizontal="center" readingOrder="0" vertical="bottom"/>
    </xf>
    <xf borderId="0" fillId="0" fontId="3" numFmtId="0" xfId="0" applyAlignment="1" applyFont="1">
      <alignment horizontal="center" readingOrder="0" vertical="bottom"/>
    </xf>
    <xf borderId="1" fillId="2" fontId="3" numFmtId="0" xfId="0" applyAlignment="1" applyBorder="1" applyFill="1" applyFont="1">
      <alignment vertical="bottom"/>
    </xf>
    <xf borderId="1" fillId="2" fontId="7" numFmtId="0" xfId="0" applyAlignment="1" applyBorder="1" applyFont="1">
      <alignment readingOrder="0" vertical="bottom"/>
    </xf>
    <xf borderId="0" fillId="2" fontId="8" numFmtId="0" xfId="0" applyAlignment="1" applyFont="1">
      <alignment readingOrder="0" vertical="bottom"/>
    </xf>
    <xf borderId="0" fillId="2" fontId="3" numFmtId="0" xfId="0" applyAlignment="1" applyFont="1">
      <alignment readingOrder="0" vertical="bottom"/>
    </xf>
    <xf borderId="0" fillId="2" fontId="3" numFmtId="0" xfId="0" applyAlignment="1" applyFont="1">
      <alignment horizontal="center" readingOrder="0" vertical="bottom"/>
    </xf>
    <xf borderId="0" fillId="2" fontId="3" numFmtId="0" xfId="0" applyAlignment="1" applyFont="1">
      <alignment horizontal="center" readingOrder="0" vertical="bottom"/>
    </xf>
    <xf borderId="1" fillId="0" fontId="9" numFmtId="0" xfId="0" applyAlignment="1" applyBorder="1" applyFont="1">
      <alignment readingOrder="0" vertical="bottom"/>
    </xf>
    <xf borderId="0" fillId="0" fontId="10" numFmtId="0" xfId="0" applyAlignment="1" applyFont="1">
      <alignment readingOrder="0"/>
    </xf>
    <xf borderId="1" fillId="3" fontId="3" numFmtId="0" xfId="0" applyAlignment="1" applyBorder="1" applyFill="1" applyFont="1">
      <alignment vertical="bottom"/>
    </xf>
    <xf borderId="1" fillId="3" fontId="11" numFmtId="0" xfId="0" applyAlignment="1" applyBorder="1" applyFont="1">
      <alignment vertical="bottom"/>
    </xf>
    <xf borderId="0" fillId="3" fontId="12"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13" numFmtId="0" xfId="0" applyAlignment="1" applyFont="1">
      <alignment readingOrder="0"/>
    </xf>
    <xf borderId="1" fillId="4" fontId="3" numFmtId="0" xfId="0" applyAlignment="1" applyBorder="1" applyFill="1" applyFont="1">
      <alignment readingOrder="0" vertical="bottom"/>
    </xf>
    <xf borderId="1" fillId="4" fontId="14" numFmtId="0" xfId="0" applyAlignment="1" applyBorder="1" applyFont="1">
      <alignment readingOrder="0" vertical="bottom"/>
    </xf>
    <xf borderId="1" fillId="4" fontId="1" numFmtId="0" xfId="0" applyAlignment="1" applyBorder="1" applyFont="1">
      <alignment readingOrder="0"/>
    </xf>
    <xf borderId="0" fillId="4" fontId="15" numFmtId="0" xfId="0" applyAlignment="1" applyFont="1">
      <alignment readingOrder="0"/>
    </xf>
    <xf borderId="0" fillId="4" fontId="1" numFmtId="0" xfId="0" applyAlignment="1" applyFont="1">
      <alignment readingOrder="0"/>
    </xf>
    <xf borderId="0" fillId="4" fontId="1" numFmtId="0" xfId="0" applyAlignment="1" applyFont="1">
      <alignment horizontal="center" readingOrder="0"/>
    </xf>
    <xf borderId="0" fillId="4" fontId="1" numFmtId="0" xfId="0" applyAlignment="1" applyFont="1">
      <alignment horizontal="center" readingOrder="0"/>
    </xf>
    <xf borderId="1" fillId="4" fontId="16" numFmtId="0" xfId="0" applyAlignment="1" applyBorder="1" applyFont="1">
      <alignment readingOrder="0"/>
    </xf>
    <xf borderId="1" fillId="5" fontId="3" numFmtId="0" xfId="0" applyAlignment="1" applyBorder="1" applyFill="1" applyFont="1">
      <alignment vertical="bottom"/>
    </xf>
    <xf borderId="1" fillId="5" fontId="17" numFmtId="0" xfId="0" applyAlignment="1" applyBorder="1" applyFont="1">
      <alignment vertical="bottom"/>
    </xf>
    <xf borderId="0" fillId="5" fontId="18" numFmtId="0" xfId="0" applyAlignment="1" applyFont="1">
      <alignment vertical="bottom"/>
    </xf>
    <xf borderId="0" fillId="0" fontId="3" numFmtId="0" xfId="0" applyAlignment="1" applyFont="1">
      <alignment vertical="bottom"/>
    </xf>
    <xf borderId="0" fillId="0" fontId="3" numFmtId="0" xfId="0" applyAlignment="1" applyFont="1">
      <alignment horizontal="center" vertical="bottom"/>
    </xf>
    <xf borderId="2" fillId="6" fontId="1" numFmtId="0" xfId="0" applyAlignment="1" applyBorder="1" applyFill="1" applyFont="1">
      <alignment readingOrder="0"/>
    </xf>
    <xf borderId="2" fillId="6" fontId="1" numFmtId="0" xfId="0" applyBorder="1" applyFont="1"/>
    <xf borderId="2" fillId="0" fontId="1" numFmtId="0" xfId="0" applyAlignment="1" applyBorder="1" applyFont="1">
      <alignment readingOrder="0"/>
    </xf>
    <xf borderId="2" fillId="0" fontId="1" numFmtId="0" xfId="0" applyBorder="1" applyFont="1"/>
    <xf borderId="3" fillId="0" fontId="1" numFmtId="0" xfId="0" applyAlignment="1" applyBorder="1" applyFont="1">
      <alignment readingOrder="0"/>
    </xf>
    <xf borderId="3" fillId="0" fontId="1" numFmtId="0" xfId="0" applyBorder="1" applyFont="1"/>
    <xf borderId="1" fillId="0" fontId="1" numFmtId="0" xfId="0" applyAlignment="1" applyBorder="1" applyFont="1">
      <alignment readingOrder="0"/>
    </xf>
    <xf borderId="1" fillId="0" fontId="1" numFmtId="0" xfId="0" applyBorder="1" applyFont="1"/>
    <xf borderId="0" fillId="0" fontId="19" numFmtId="0" xfId="0" applyAlignment="1" applyFont="1">
      <alignment horizontal="center" readingOrder="0"/>
    </xf>
    <xf borderId="4" fillId="7" fontId="20" numFmtId="0" xfId="0" applyAlignment="1" applyBorder="1" applyFill="1" applyFont="1">
      <alignment horizontal="center"/>
    </xf>
    <xf borderId="4" fillId="8" fontId="21" numFmtId="0" xfId="0" applyBorder="1" applyFill="1" applyFont="1"/>
    <xf borderId="4" fillId="7" fontId="21" numFmtId="0" xfId="0" applyBorder="1" applyFont="1"/>
    <xf borderId="5" fillId="5" fontId="22" numFmtId="0" xfId="0" applyBorder="1" applyFont="1"/>
    <xf borderId="0" fillId="5" fontId="22" numFmtId="0" xfId="0" applyFont="1"/>
    <xf borderId="0" fillId="0" fontId="1" numFmtId="0" xfId="0" applyFont="1"/>
    <xf borderId="1" fillId="5" fontId="23" numFmtId="0" xfId="0" applyBorder="1" applyFont="1"/>
    <xf borderId="1" fillId="5" fontId="23" numFmtId="0" xfId="0" applyAlignment="1" applyBorder="1" applyFont="1">
      <alignment horizontal="center"/>
    </xf>
    <xf borderId="6" fillId="5" fontId="22" numFmtId="0" xfId="0" applyBorder="1" applyFont="1"/>
    <xf borderId="1" fillId="3" fontId="23" numFmtId="0" xfId="0" applyBorder="1" applyFont="1"/>
    <xf borderId="1" fillId="3" fontId="23" numFmtId="0" xfId="0" applyAlignment="1" applyBorder="1" applyFont="1">
      <alignment horizontal="right"/>
    </xf>
    <xf borderId="1" fillId="3" fontId="23" numFmtId="3" xfId="0" applyAlignment="1" applyBorder="1" applyFont="1" applyNumberFormat="1">
      <alignment horizontal="right"/>
    </xf>
    <xf borderId="1" fillId="3" fontId="23" numFmtId="1" xfId="0" applyAlignment="1" applyBorder="1" applyFont="1" applyNumberFormat="1">
      <alignment horizontal="right"/>
    </xf>
    <xf borderId="1" fillId="3" fontId="23" numFmtId="164" xfId="0" applyAlignment="1" applyBorder="1" applyFont="1" applyNumberFormat="1">
      <alignment horizontal="right"/>
    </xf>
    <xf borderId="1" fillId="3" fontId="23" numFmtId="10" xfId="0" applyAlignment="1" applyBorder="1" applyFont="1" applyNumberFormat="1">
      <alignment horizontal="right"/>
    </xf>
    <xf borderId="6" fillId="3" fontId="22" numFmtId="164" xfId="0" applyBorder="1" applyFont="1" applyNumberFormat="1"/>
    <xf borderId="1" fillId="5" fontId="23" numFmtId="0" xfId="0" applyAlignment="1" applyBorder="1" applyFont="1">
      <alignment horizontal="right"/>
    </xf>
    <xf borderId="1" fillId="5" fontId="23" numFmtId="3" xfId="0" applyAlignment="1" applyBorder="1" applyFont="1" applyNumberFormat="1">
      <alignment horizontal="right"/>
    </xf>
    <xf borderId="1" fillId="5" fontId="23" numFmtId="1" xfId="0" applyAlignment="1" applyBorder="1" applyFont="1" applyNumberFormat="1">
      <alignment horizontal="right"/>
    </xf>
    <xf borderId="1" fillId="5" fontId="23" numFmtId="164" xfId="0" applyAlignment="1" applyBorder="1" applyFont="1" applyNumberFormat="1">
      <alignment horizontal="right"/>
    </xf>
    <xf borderId="1" fillId="5" fontId="23" numFmtId="10" xfId="0" applyAlignment="1" applyBorder="1" applyFont="1" applyNumberFormat="1">
      <alignment horizontal="right"/>
    </xf>
    <xf borderId="6" fillId="5" fontId="22" numFmtId="164" xfId="0" applyBorder="1" applyFont="1" applyNumberFormat="1"/>
    <xf borderId="0" fillId="0" fontId="1" numFmtId="0" xfId="0" applyAlignment="1" applyFont="1">
      <alignment horizontal="center"/>
    </xf>
    <xf borderId="6" fillId="8" fontId="22" numFmtId="0" xfId="0" applyAlignment="1" applyBorder="1" applyFont="1">
      <alignment horizontal="center"/>
    </xf>
    <xf borderId="7" fillId="8" fontId="21" numFmtId="0" xfId="0" applyBorder="1" applyFont="1"/>
    <xf borderId="8" fillId="8" fontId="21" numFmtId="0" xfId="0" applyBorder="1" applyFont="1"/>
    <xf borderId="6" fillId="8" fontId="24" numFmtId="0" xfId="0" applyAlignment="1" applyBorder="1" applyFont="1">
      <alignment horizontal="center"/>
    </xf>
    <xf borderId="9" fillId="8" fontId="25" numFmtId="0" xfId="0" applyAlignment="1" applyBorder="1" applyFont="1">
      <alignment horizontal="center"/>
    </xf>
    <xf borderId="10" fillId="8" fontId="21" numFmtId="0" xfId="0" applyBorder="1" applyFont="1"/>
    <xf borderId="11" fillId="8" fontId="21" numFmtId="0" xfId="0" applyBorder="1" applyFont="1"/>
    <xf borderId="0" fillId="0" fontId="25" numFmtId="0" xfId="0" applyAlignment="1" applyFont="1">
      <alignment horizontal="center"/>
    </xf>
    <xf borderId="1" fillId="9" fontId="26" numFmtId="0" xfId="0" applyAlignment="1" applyBorder="1" applyFill="1" applyFont="1">
      <alignment horizontal="center"/>
    </xf>
    <xf borderId="1" fillId="9" fontId="27" numFmtId="0" xfId="0" applyAlignment="1" applyBorder="1" applyFont="1">
      <alignment horizontal="center"/>
    </xf>
    <xf borderId="6" fillId="9" fontId="27" numFmtId="0" xfId="0" applyAlignment="1" applyBorder="1" applyFont="1">
      <alignment horizontal="center"/>
    </xf>
    <xf borderId="2" fillId="9" fontId="28" numFmtId="0" xfId="0" applyAlignment="1" applyBorder="1" applyFont="1">
      <alignment horizontal="center"/>
    </xf>
    <xf borderId="0" fillId="5" fontId="1" numFmtId="0" xfId="0" applyAlignment="1" applyFont="1">
      <alignment horizontal="center"/>
    </xf>
    <xf borderId="1" fillId="5" fontId="22" numFmtId="0" xfId="0" applyAlignment="1" applyBorder="1" applyFont="1">
      <alignment horizontal="center"/>
    </xf>
    <xf borderId="1" fillId="5" fontId="22" numFmtId="3" xfId="0" applyAlignment="1" applyBorder="1" applyFont="1" applyNumberFormat="1">
      <alignment horizontal="center"/>
    </xf>
    <xf borderId="1" fillId="5" fontId="22" numFmtId="49" xfId="0" applyAlignment="1" applyBorder="1" applyFont="1" applyNumberFormat="1">
      <alignment horizontal="center"/>
    </xf>
    <xf borderId="1" fillId="3" fontId="24" numFmtId="0" xfId="0" applyAlignment="1" applyBorder="1" applyFont="1">
      <alignment horizontal="center"/>
    </xf>
    <xf borderId="6" fillId="3" fontId="24" numFmtId="0" xfId="0" applyAlignment="1" applyBorder="1" applyFont="1">
      <alignment horizontal="center"/>
    </xf>
    <xf borderId="2" fillId="3" fontId="1" numFmtId="0" xfId="0" applyAlignment="1" applyBorder="1" applyFont="1">
      <alignment horizontal="center"/>
    </xf>
    <xf borderId="1" fillId="10" fontId="29" numFmtId="0" xfId="0" applyAlignment="1" applyBorder="1" applyFill="1" applyFont="1">
      <alignment horizontal="center"/>
    </xf>
    <xf borderId="1" fillId="10" fontId="29" numFmtId="3" xfId="0" applyAlignment="1" applyBorder="1" applyFont="1" applyNumberFormat="1">
      <alignment horizontal="center"/>
    </xf>
    <xf borderId="1" fillId="10" fontId="29" numFmtId="49" xfId="0" applyAlignment="1" applyBorder="1" applyFont="1" applyNumberFormat="1">
      <alignment horizontal="center"/>
    </xf>
    <xf borderId="1" fillId="5" fontId="24" numFmtId="0" xfId="0" applyAlignment="1" applyBorder="1" applyFont="1">
      <alignment horizontal="center"/>
    </xf>
    <xf borderId="1" fillId="5" fontId="24" numFmtId="49" xfId="0" applyAlignment="1" applyBorder="1" applyFont="1" applyNumberFormat="1">
      <alignment horizontal="center"/>
    </xf>
    <xf borderId="6" fillId="5" fontId="24" numFmtId="49" xfId="0" applyAlignment="1" applyBorder="1" applyFont="1" applyNumberFormat="1">
      <alignment horizontal="center"/>
    </xf>
    <xf borderId="2" fillId="5" fontId="1" numFmtId="0" xfId="0" applyAlignment="1" applyBorder="1" applyFont="1">
      <alignment horizontal="center"/>
    </xf>
    <xf borderId="2" fillId="5" fontId="1" numFmtId="49" xfId="0" applyAlignment="1" applyBorder="1" applyFont="1" applyNumberFormat="1">
      <alignment horizontal="center"/>
    </xf>
    <xf borderId="0" fillId="5" fontId="1" numFmtId="49" xfId="0" applyAlignment="1" applyFont="1" applyNumberFormat="1">
      <alignment horizontal="center"/>
    </xf>
    <xf borderId="1" fillId="5" fontId="29" numFmtId="0" xfId="0" applyAlignment="1" applyBorder="1" applyFont="1">
      <alignment horizontal="center"/>
    </xf>
    <xf borderId="1" fillId="5" fontId="29" numFmtId="3" xfId="0" applyAlignment="1" applyBorder="1" applyFont="1" applyNumberFormat="1">
      <alignment horizontal="center"/>
    </xf>
    <xf borderId="2" fillId="3" fontId="1" numFmtId="49" xfId="0" applyAlignment="1" applyBorder="1" applyFont="1" applyNumberFormat="1">
      <alignment horizontal="center"/>
    </xf>
    <xf borderId="1" fillId="5" fontId="29" numFmtId="164" xfId="0" applyAlignment="1" applyBorder="1" applyFont="1" applyNumberFormat="1">
      <alignment horizontal="center"/>
    </xf>
    <xf borderId="1" fillId="10" fontId="29" numFmtId="164" xfId="0" applyAlignment="1" applyBorder="1" applyFont="1" applyNumberFormat="1">
      <alignment horizontal="center"/>
    </xf>
    <xf borderId="6" fillId="5" fontId="24" numFmtId="164" xfId="0" applyAlignment="1" applyBorder="1" applyFont="1" applyNumberFormat="1">
      <alignment horizontal="center"/>
    </xf>
    <xf borderId="2" fillId="5" fontId="1" numFmtId="164" xfId="0" applyAlignment="1" applyBorder="1" applyFont="1" applyNumberFormat="1">
      <alignment horizontal="center"/>
    </xf>
    <xf borderId="6" fillId="3" fontId="24" numFmtId="164" xfId="0" applyAlignment="1" applyBorder="1" applyFont="1" applyNumberFormat="1">
      <alignment horizontal="center"/>
    </xf>
    <xf borderId="2" fillId="3" fontId="1" numFmtId="164" xfId="0" applyAlignment="1" applyBorder="1" applyFont="1" applyNumberFormat="1">
      <alignment horizontal="center"/>
    </xf>
    <xf borderId="0" fillId="5" fontId="1" numFmtId="164" xfId="0" applyAlignment="1" applyFont="1" applyNumberFormat="1">
      <alignment horizontal="center"/>
    </xf>
    <xf borderId="1" fillId="5" fontId="22" numFmtId="164" xfId="0" applyAlignment="1" applyBorder="1" applyFont="1" applyNumberFormat="1">
      <alignment horizontal="center"/>
    </xf>
    <xf borderId="1" fillId="5" fontId="22" numFmtId="10" xfId="0" applyAlignment="1" applyBorder="1" applyFont="1" applyNumberFormat="1">
      <alignment horizontal="center"/>
    </xf>
    <xf borderId="1" fillId="10" fontId="29" numFmtId="10" xfId="0" applyAlignment="1" applyBorder="1" applyFont="1" applyNumberFormat="1">
      <alignment horizontal="center"/>
    </xf>
    <xf borderId="1" fillId="5" fontId="24" numFmtId="10" xfId="0" applyAlignment="1" applyBorder="1" applyFont="1" applyNumberFormat="1">
      <alignment horizontal="center"/>
    </xf>
    <xf borderId="6" fillId="5" fontId="24" numFmtId="10" xfId="0" applyAlignment="1" applyBorder="1" applyFont="1" applyNumberFormat="1">
      <alignment horizontal="center"/>
    </xf>
    <xf borderId="2" fillId="5" fontId="1" numFmtId="10" xfId="0" applyAlignment="1" applyBorder="1" applyFont="1" applyNumberFormat="1">
      <alignment horizontal="center"/>
    </xf>
    <xf borderId="1" fillId="0" fontId="22" numFmtId="0" xfId="0" applyAlignment="1" applyBorder="1" applyFont="1">
      <alignment horizontal="center"/>
    </xf>
    <xf borderId="1" fillId="0" fontId="22" numFmtId="10" xfId="0" applyAlignment="1" applyBorder="1" applyFont="1" applyNumberFormat="1">
      <alignment horizontal="center"/>
    </xf>
    <xf borderId="1" fillId="3" fontId="24" numFmtId="10" xfId="0" applyAlignment="1" applyBorder="1" applyFont="1" applyNumberFormat="1">
      <alignment horizontal="center"/>
    </xf>
    <xf borderId="6" fillId="3" fontId="24" numFmtId="10" xfId="0" applyAlignment="1" applyBorder="1" applyFont="1" applyNumberFormat="1">
      <alignment horizontal="center"/>
    </xf>
    <xf borderId="2" fillId="3" fontId="1" numFmtId="10" xfId="0" applyAlignment="1" applyBorder="1" applyFont="1" applyNumberFormat="1">
      <alignment horizontal="center"/>
    </xf>
    <xf borderId="0" fillId="0" fontId="1" numFmtId="9" xfId="0" applyAlignment="1" applyFont="1" applyNumberFormat="1">
      <alignment horizontal="center"/>
    </xf>
    <xf borderId="0" fillId="0" fontId="1" numFmtId="10" xfId="0" applyAlignment="1" applyFont="1" applyNumberFormat="1">
      <alignment horizontal="center"/>
    </xf>
    <xf borderId="12" fillId="0" fontId="30" numFmtId="0" xfId="0" applyAlignment="1" applyBorder="1" applyFont="1">
      <alignment horizontal="center" readingOrder="0" vertical="bottom"/>
    </xf>
    <xf borderId="12" fillId="0" fontId="30" numFmtId="10" xfId="0" applyAlignment="1" applyBorder="1" applyFont="1" applyNumberFormat="1">
      <alignment horizontal="center" readingOrder="0" vertical="bottom"/>
    </xf>
    <xf borderId="12" fillId="0" fontId="22" numFmtId="10" xfId="0" applyAlignment="1" applyBorder="1" applyFont="1" applyNumberFormat="1">
      <alignment horizontal="center"/>
    </xf>
    <xf borderId="12" fillId="0" fontId="22" numFmtId="0" xfId="0" applyAlignment="1" applyBorder="1" applyFont="1">
      <alignment horizontal="center"/>
    </xf>
    <xf borderId="13" fillId="0" fontId="30" numFmtId="0" xfId="0" applyAlignment="1" applyBorder="1" applyFont="1">
      <alignment horizontal="center" readingOrder="0" vertical="bottom"/>
    </xf>
    <xf borderId="13" fillId="0" fontId="22" numFmtId="0" xfId="0" applyBorder="1" applyFont="1"/>
    <xf borderId="0" fillId="0" fontId="31" numFmtId="0" xfId="0" applyAlignment="1" applyFont="1">
      <alignment horizontal="center" readingOrder="0" vertical="bottom"/>
    </xf>
    <xf borderId="1" fillId="9" fontId="32" numFmtId="0" xfId="0" applyAlignment="1" applyBorder="1" applyFont="1">
      <alignment horizontal="center" readingOrder="0" vertical="bottom"/>
    </xf>
    <xf borderId="1" fillId="9" fontId="33" numFmtId="0" xfId="0" applyBorder="1" applyFont="1"/>
    <xf borderId="1" fillId="0" fontId="34" numFmtId="0" xfId="0" applyAlignment="1" applyBorder="1" applyFont="1">
      <alignment horizontal="center" readingOrder="0" vertical="bottom"/>
    </xf>
    <xf borderId="1" fillId="0" fontId="35" numFmtId="0" xfId="0" applyBorder="1" applyFont="1"/>
    <xf borderId="12" fillId="0" fontId="34" numFmtId="0" xfId="0" applyAlignment="1" applyBorder="1" applyFont="1">
      <alignment horizontal="center" readingOrder="0" vertical="bottom"/>
    </xf>
    <xf borderId="12" fillId="0" fontId="35" numFmtId="0" xfId="0" applyBorder="1" applyFont="1"/>
    <xf borderId="1" fillId="0" fontId="28" numFmtId="0" xfId="0" applyBorder="1" applyFont="1"/>
    <xf borderId="0" fillId="0" fontId="24" numFmtId="0" xfId="0" applyFont="1"/>
    <xf borderId="1" fillId="0" fontId="36" numFmtId="0" xfId="0" applyBorder="1" applyFont="1"/>
    <xf borderId="1" fillId="0" fontId="36" numFmtId="10" xfId="0" applyBorder="1" applyFont="1" applyNumberFormat="1"/>
    <xf borderId="1" fillId="0" fontId="37" numFmtId="0" xfId="0" applyBorder="1" applyFont="1"/>
    <xf borderId="1" fillId="0" fontId="37" numFmtId="10" xfId="0" applyBorder="1" applyFont="1" applyNumberFormat="1"/>
    <xf borderId="12" fillId="0" fontId="37" numFmtId="0" xfId="0" applyBorder="1" applyFont="1"/>
    <xf borderId="12" fillId="0" fontId="37" numFmtId="10" xfId="0" applyBorder="1" applyFont="1" applyNumberFormat="1"/>
    <xf borderId="2" fillId="0" fontId="37" numFmtId="0" xfId="0" applyBorder="1" applyFont="1"/>
    <xf borderId="2" fillId="0" fontId="37" numFmtId="10" xfId="0" applyBorder="1" applyFont="1" applyNumberFormat="1"/>
    <xf borderId="2" fillId="0" fontId="37" numFmtId="0" xfId="0" applyAlignment="1" applyBorder="1" applyFont="1">
      <alignment readingOrder="0"/>
    </xf>
    <xf borderId="0" fillId="5" fontId="1" numFmtId="0" xfId="0" applyFont="1"/>
    <xf borderId="2" fillId="11" fontId="1" numFmtId="0" xfId="0" applyAlignment="1" applyBorder="1" applyFill="1" applyFont="1">
      <alignment readingOrder="0"/>
    </xf>
    <xf borderId="2" fillId="11" fontId="1" numFmtId="0" xfId="0" applyBorder="1" applyFont="1"/>
    <xf borderId="2" fillId="11" fontId="1" numFmtId="10" xfId="0" applyBorder="1" applyFont="1" applyNumberFormat="1"/>
    <xf borderId="0" fillId="5" fontId="28" numFmtId="0" xfId="0" applyAlignment="1" applyFont="1">
      <alignment horizontal="center"/>
    </xf>
    <xf borderId="14" fillId="0" fontId="1" numFmtId="0" xfId="0" applyBorder="1" applyFont="1"/>
    <xf borderId="6" fillId="8" fontId="28" numFmtId="0" xfId="0" applyAlignment="1" applyBorder="1" applyFont="1">
      <alignment horizontal="center"/>
    </xf>
    <xf borderId="7" fillId="8" fontId="28" numFmtId="0" xfId="0" applyAlignment="1" applyBorder="1" applyFont="1">
      <alignment horizontal="center"/>
    </xf>
    <xf borderId="15" fillId="12" fontId="28" numFmtId="0" xfId="0" applyAlignment="1" applyBorder="1" applyFill="1" applyFont="1">
      <alignment horizontal="center"/>
    </xf>
    <xf borderId="4" fillId="12" fontId="21" numFmtId="0" xfId="0" applyBorder="1" applyFont="1"/>
    <xf borderId="16" fillId="12" fontId="21" numFmtId="0" xfId="0" applyBorder="1" applyFont="1"/>
    <xf borderId="15" fillId="13" fontId="28" numFmtId="0" xfId="0" applyAlignment="1" applyBorder="1" applyFill="1" applyFont="1">
      <alignment horizontal="center"/>
    </xf>
    <xf borderId="4" fillId="13" fontId="21" numFmtId="0" xfId="0" applyBorder="1" applyFont="1"/>
    <xf borderId="16" fillId="13" fontId="21" numFmtId="0" xfId="0" applyBorder="1" applyFont="1"/>
    <xf borderId="15" fillId="14" fontId="28" numFmtId="0" xfId="0" applyAlignment="1" applyBorder="1" applyFill="1" applyFont="1">
      <alignment horizontal="center"/>
    </xf>
    <xf borderId="4" fillId="14" fontId="21" numFmtId="0" xfId="0" applyBorder="1" applyFont="1"/>
    <xf borderId="16" fillId="14" fontId="21" numFmtId="0" xfId="0" applyBorder="1" applyFont="1"/>
    <xf borderId="15" fillId="15" fontId="28" numFmtId="0" xfId="0" applyAlignment="1" applyBorder="1" applyFill="1" applyFont="1">
      <alignment horizontal="center"/>
    </xf>
    <xf borderId="4" fillId="15" fontId="21" numFmtId="0" xfId="0" applyBorder="1" applyFont="1"/>
    <xf borderId="16" fillId="15" fontId="21" numFmtId="0" xfId="0" applyBorder="1" applyFont="1"/>
    <xf borderId="15" fillId="16" fontId="28" numFmtId="0" xfId="0" applyAlignment="1" applyBorder="1" applyFill="1" applyFont="1">
      <alignment horizontal="center"/>
    </xf>
    <xf borderId="4" fillId="16" fontId="21" numFmtId="0" xfId="0" applyBorder="1" applyFont="1"/>
    <xf borderId="16" fillId="16" fontId="21" numFmtId="0" xfId="0" applyBorder="1" applyFont="1"/>
    <xf borderId="15" fillId="17" fontId="28" numFmtId="0" xfId="0" applyAlignment="1" applyBorder="1" applyFill="1" applyFont="1">
      <alignment horizontal="center"/>
    </xf>
    <xf borderId="4" fillId="17" fontId="21" numFmtId="0" xfId="0" applyBorder="1" applyFont="1"/>
    <xf borderId="16" fillId="17" fontId="21" numFmtId="0" xfId="0" applyBorder="1" applyFont="1"/>
    <xf borderId="6" fillId="18" fontId="28" numFmtId="0" xfId="0" applyAlignment="1" applyBorder="1" applyFill="1" applyFont="1">
      <alignment horizontal="center"/>
    </xf>
    <xf borderId="7" fillId="18" fontId="21" numFmtId="0" xfId="0" applyBorder="1" applyFont="1"/>
    <xf borderId="8" fillId="18" fontId="21" numFmtId="0" xfId="0" applyBorder="1" applyFont="1"/>
    <xf borderId="6" fillId="14" fontId="28" numFmtId="0" xfId="0" applyAlignment="1" applyBorder="1" applyFont="1">
      <alignment horizontal="center"/>
    </xf>
    <xf borderId="7" fillId="14" fontId="21" numFmtId="0" xfId="0" applyBorder="1" applyFont="1"/>
    <xf borderId="8" fillId="14" fontId="21" numFmtId="0" xfId="0" applyBorder="1" applyFont="1"/>
    <xf borderId="6" fillId="16" fontId="1" numFmtId="0" xfId="0" applyAlignment="1" applyBorder="1" applyFont="1">
      <alignment horizontal="center"/>
    </xf>
    <xf borderId="7" fillId="16" fontId="21" numFmtId="0" xfId="0" applyBorder="1" applyFont="1"/>
    <xf borderId="8" fillId="16" fontId="21" numFmtId="0" xfId="0" applyBorder="1" applyFont="1"/>
    <xf borderId="6" fillId="19" fontId="1" numFmtId="0" xfId="0" applyAlignment="1" applyBorder="1" applyFill="1" applyFont="1">
      <alignment horizontal="center"/>
    </xf>
    <xf borderId="7" fillId="19" fontId="21" numFmtId="0" xfId="0" applyBorder="1" applyFont="1"/>
    <xf borderId="8" fillId="19" fontId="21" numFmtId="0" xfId="0" applyBorder="1" applyFont="1"/>
    <xf borderId="9" fillId="14" fontId="1" numFmtId="0" xfId="0" applyAlignment="1" applyBorder="1" applyFont="1">
      <alignment horizontal="center"/>
    </xf>
    <xf borderId="10" fillId="14" fontId="21" numFmtId="0" xfId="0" applyBorder="1" applyFont="1"/>
    <xf borderId="11" fillId="14" fontId="21" numFmtId="0" xfId="0" applyBorder="1" applyFont="1"/>
    <xf borderId="6" fillId="17" fontId="1" numFmtId="0" xfId="0" applyAlignment="1" applyBorder="1" applyFont="1">
      <alignment horizontal="center"/>
    </xf>
    <xf borderId="7" fillId="17" fontId="21" numFmtId="0" xfId="0" applyBorder="1" applyFont="1"/>
    <xf borderId="8" fillId="17" fontId="21" numFmtId="0" xfId="0" applyBorder="1" applyFont="1"/>
    <xf borderId="6" fillId="12" fontId="1" numFmtId="0" xfId="0" applyAlignment="1" applyBorder="1" applyFont="1">
      <alignment horizontal="center"/>
    </xf>
    <xf borderId="7" fillId="12" fontId="21" numFmtId="0" xfId="0" applyBorder="1" applyFont="1"/>
    <xf borderId="8" fillId="12" fontId="21" numFmtId="0" xfId="0" applyBorder="1" applyFont="1"/>
    <xf borderId="1" fillId="5" fontId="1" numFmtId="0" xfId="0" applyBorder="1" applyFont="1"/>
    <xf borderId="6" fillId="5" fontId="1" numFmtId="0" xfId="0" applyBorder="1" applyFont="1"/>
    <xf borderId="2" fillId="5" fontId="1" numFmtId="0" xfId="0" applyBorder="1" applyFont="1"/>
    <xf borderId="9" fillId="5" fontId="1" numFmtId="0" xfId="0" applyBorder="1" applyFont="1"/>
    <xf borderId="1" fillId="3" fontId="24" numFmtId="0" xfId="0" applyBorder="1" applyFont="1"/>
    <xf borderId="1" fillId="3" fontId="24" numFmtId="10" xfId="0" applyBorder="1" applyFont="1" applyNumberFormat="1"/>
    <xf borderId="1" fillId="20" fontId="24" numFmtId="0" xfId="0" applyBorder="1" applyFill="1" applyFont="1"/>
    <xf borderId="1" fillId="21" fontId="24" numFmtId="0" xfId="0" applyBorder="1" applyFill="1" applyFont="1"/>
    <xf borderId="1" fillId="22" fontId="24" numFmtId="0" xfId="0" applyBorder="1" applyFill="1" applyFont="1"/>
    <xf borderId="1" fillId="23" fontId="24" numFmtId="0" xfId="0" applyBorder="1" applyFill="1" applyFont="1"/>
    <xf borderId="1" fillId="24" fontId="24" numFmtId="0" xfId="0" applyBorder="1" applyFill="1" applyFont="1"/>
    <xf borderId="1" fillId="25" fontId="24" numFmtId="0" xfId="0" applyBorder="1" applyFill="1" applyFont="1"/>
    <xf borderId="1" fillId="26" fontId="24" numFmtId="0" xfId="0" applyBorder="1" applyFill="1" applyFont="1"/>
    <xf borderId="1" fillId="2" fontId="24" numFmtId="0" xfId="0" applyBorder="1" applyFont="1"/>
    <xf borderId="6" fillId="2" fontId="24" numFmtId="0" xfId="0" applyBorder="1" applyFont="1"/>
    <xf borderId="2" fillId="22" fontId="24" numFmtId="0" xfId="0" applyBorder="1" applyFont="1"/>
    <xf borderId="9" fillId="22" fontId="24" numFmtId="0" xfId="0" applyBorder="1" applyFont="1"/>
    <xf borderId="1" fillId="5" fontId="1" numFmtId="10" xfId="0" applyBorder="1" applyFont="1" applyNumberFormat="1"/>
    <xf borderId="1" fillId="3" fontId="1" numFmtId="0" xfId="0" applyBorder="1" applyFont="1"/>
    <xf borderId="1" fillId="3" fontId="1" numFmtId="10" xfId="0" applyBorder="1" applyFont="1" applyNumberFormat="1"/>
    <xf borderId="1" fillId="20" fontId="1" numFmtId="0" xfId="0" applyBorder="1" applyFont="1"/>
    <xf borderId="1" fillId="21" fontId="1" numFmtId="0" xfId="0" applyBorder="1" applyFont="1"/>
    <xf borderId="1" fillId="22" fontId="1" numFmtId="0" xfId="0" applyBorder="1" applyFont="1"/>
    <xf borderId="1" fillId="23" fontId="1" numFmtId="0" xfId="0" applyBorder="1" applyFont="1"/>
    <xf borderId="1" fillId="24" fontId="1" numFmtId="0" xfId="0" applyBorder="1" applyFont="1"/>
    <xf borderId="1" fillId="25" fontId="1" numFmtId="0" xfId="0" applyBorder="1" applyFont="1"/>
    <xf borderId="1" fillId="26" fontId="1" numFmtId="0" xfId="0" applyBorder="1" applyFont="1"/>
    <xf borderId="1" fillId="2" fontId="1" numFmtId="0" xfId="0" applyBorder="1" applyFont="1"/>
    <xf borderId="6" fillId="2" fontId="1" numFmtId="0" xfId="0" applyBorder="1" applyFont="1"/>
    <xf borderId="2" fillId="22" fontId="1" numFmtId="0" xfId="0" applyBorder="1" applyFont="1"/>
    <xf borderId="9" fillId="22" fontId="1" numFmtId="0" xfId="0" applyBorder="1" applyFont="1"/>
    <xf borderId="12" fillId="3" fontId="1" numFmtId="0" xfId="0" applyBorder="1" applyFont="1"/>
    <xf borderId="12" fillId="3" fontId="1" numFmtId="10" xfId="0" applyBorder="1" applyFont="1" applyNumberFormat="1"/>
    <xf borderId="12" fillId="20" fontId="1" numFmtId="0" xfId="0" applyBorder="1" applyFont="1"/>
    <xf borderId="12" fillId="21" fontId="1" numFmtId="0" xfId="0" applyBorder="1" applyFont="1"/>
    <xf borderId="12" fillId="22" fontId="1" numFmtId="0" xfId="0" applyBorder="1" applyFont="1"/>
    <xf borderId="12" fillId="23" fontId="1" numFmtId="0" xfId="0" applyBorder="1" applyFont="1"/>
    <xf borderId="12" fillId="24" fontId="1" numFmtId="0" xfId="0" applyBorder="1" applyFont="1"/>
    <xf borderId="12" fillId="25" fontId="1" numFmtId="0" xfId="0" applyBorder="1" applyFont="1"/>
    <xf borderId="2" fillId="5" fontId="1" numFmtId="10" xfId="0" applyBorder="1" applyFont="1" applyNumberFormat="1"/>
    <xf borderId="3" fillId="3" fontId="1" numFmtId="0" xfId="0" applyBorder="1" applyFont="1"/>
    <xf borderId="3" fillId="3" fontId="1" numFmtId="10" xfId="0" applyBorder="1" applyFont="1" applyNumberFormat="1"/>
    <xf borderId="3" fillId="20" fontId="1" numFmtId="0" xfId="0" applyBorder="1" applyFont="1"/>
    <xf borderId="3" fillId="21" fontId="1" numFmtId="0" xfId="0" applyBorder="1" applyFont="1"/>
    <xf borderId="3" fillId="22" fontId="1" numFmtId="0" xfId="0" applyBorder="1" applyFont="1"/>
    <xf borderId="3" fillId="23" fontId="1" numFmtId="0" xfId="0" applyBorder="1" applyFont="1"/>
    <xf borderId="3" fillId="24" fontId="1" numFmtId="0" xfId="0" applyBorder="1" applyFont="1"/>
    <xf borderId="3" fillId="25" fontId="1" numFmtId="0" xfId="0" applyBorder="1" applyFont="1"/>
    <xf borderId="17" fillId="25" fontId="1" numFmtId="0" xfId="0" applyBorder="1" applyFont="1"/>
    <xf borderId="17" fillId="22" fontId="1" numFmtId="0" xfId="0" applyBorder="1" applyFont="1"/>
    <xf borderId="0" fillId="0" fontId="28" numFmtId="0" xfId="0" applyAlignment="1" applyFont="1">
      <alignment horizontal="center"/>
    </xf>
    <xf borderId="1" fillId="0" fontId="28" numFmtId="0" xfId="0" applyAlignment="1" applyBorder="1" applyFont="1">
      <alignment horizontal="center"/>
    </xf>
    <xf borderId="1" fillId="0" fontId="24" numFmtId="0" xfId="0" applyBorder="1" applyFont="1"/>
    <xf borderId="1" fillId="0" fontId="24" numFmtId="164" xfId="0" applyBorder="1" applyFont="1" applyNumberFormat="1"/>
    <xf borderId="0" fillId="19" fontId="3" numFmtId="0" xfId="0" applyAlignment="1" applyFont="1">
      <alignment vertical="bottom"/>
    </xf>
    <xf borderId="0" fillId="0" fontId="3" numFmtId="0" xfId="0" applyAlignment="1" applyFont="1">
      <alignment horizontal="center" vertical="bottom"/>
    </xf>
    <xf borderId="0" fillId="5" fontId="3" numFmtId="0" xfId="0" applyAlignment="1" applyFont="1">
      <alignment vertical="bottom"/>
    </xf>
    <xf borderId="0" fillId="2" fontId="3" numFmtId="0" xfId="0" applyAlignment="1" applyFont="1">
      <alignment vertical="bottom"/>
    </xf>
    <xf borderId="0" fillId="2" fontId="38" numFmtId="0" xfId="0" applyAlignment="1" applyFont="1">
      <alignment vertical="bottom"/>
    </xf>
    <xf borderId="0" fillId="5" fontId="3" numFmtId="0" xfId="0" applyAlignment="1" applyFont="1">
      <alignment readingOrder="0" vertical="bottom"/>
    </xf>
    <xf borderId="0" fillId="5" fontId="39" numFmtId="0" xfId="0" applyAlignment="1" applyFont="1">
      <alignment readingOrder="0" vertical="bottom"/>
    </xf>
    <xf borderId="0" fillId="5" fontId="40" numFmtId="0" xfId="0" applyAlignment="1" applyFont="1">
      <alignment readingOrder="0" vertical="bottom"/>
    </xf>
    <xf borderId="0" fillId="2" fontId="3" numFmtId="0" xfId="0" applyAlignment="1" applyFont="1">
      <alignment readingOrder="0" vertical="bottom"/>
    </xf>
    <xf borderId="0" fillId="2" fontId="41" numFmtId="0" xfId="0" applyAlignment="1" applyFont="1">
      <alignment readingOrder="0" vertical="bottom"/>
    </xf>
    <xf borderId="0" fillId="10" fontId="3" numFmtId="0" xfId="0" applyAlignment="1" applyFont="1">
      <alignment vertical="bottom"/>
    </xf>
    <xf borderId="0" fillId="10" fontId="42" numFmtId="0" xfId="0" applyAlignment="1" applyFont="1">
      <alignment vertical="bottom"/>
    </xf>
    <xf borderId="0" fillId="10" fontId="3" numFmtId="0" xfId="0" applyAlignment="1" applyFont="1">
      <alignment vertical="bottom"/>
    </xf>
    <xf borderId="1" fillId="0" fontId="23" numFmtId="0" xfId="0" applyAlignment="1" applyBorder="1" applyFont="1">
      <alignment readingOrder="0"/>
    </xf>
    <xf borderId="0" fillId="0" fontId="23" numFmtId="165" xfId="0" applyAlignment="1" applyFont="1" applyNumberFormat="1">
      <alignment horizontal="right" readingOrder="0"/>
    </xf>
    <xf borderId="0" fillId="0" fontId="23" numFmtId="165" xfId="0" applyAlignment="1" applyFont="1" applyNumberFormat="1">
      <alignment horizontal="center" readingOrder="0"/>
    </xf>
    <xf borderId="0" fillId="0" fontId="23" numFmtId="0" xfId="0" applyAlignment="1" applyFont="1">
      <alignment readingOrder="0"/>
    </xf>
    <xf borderId="12" fillId="0" fontId="23" numFmtId="165" xfId="0" applyAlignment="1" applyBorder="1" applyFont="1" applyNumberFormat="1">
      <alignment readingOrder="0"/>
    </xf>
    <xf borderId="0" fillId="0" fontId="23" numFmtId="166" xfId="0" applyAlignment="1" applyFont="1" applyNumberFormat="1">
      <alignment readingOrder="0"/>
    </xf>
    <xf borderId="0" fillId="0" fontId="23" numFmtId="166" xfId="0" applyAlignment="1" applyFont="1" applyNumberFormat="1">
      <alignment horizontal="center" readingOrder="0"/>
    </xf>
    <xf borderId="12" fillId="0" fontId="1" numFmtId="165" xfId="0" applyAlignment="1" applyBorder="1" applyFont="1" applyNumberFormat="1">
      <alignment readingOrder="0"/>
    </xf>
    <xf borderId="12" fillId="0" fontId="1" numFmtId="0" xfId="0" applyBorder="1" applyFont="1"/>
    <xf borderId="0" fillId="0" fontId="23" numFmtId="165" xfId="0" applyAlignment="1" applyFont="1" applyNumberFormat="1">
      <alignment readingOrder="0"/>
    </xf>
    <xf borderId="0" fillId="0" fontId="28" numFmtId="0" xfId="0" applyFont="1"/>
    <xf borderId="18" fillId="27" fontId="28" numFmtId="0" xfId="0" applyBorder="1" applyFill="1" applyFont="1"/>
    <xf borderId="18" fillId="27" fontId="20" numFmtId="165" xfId="0" applyAlignment="1" applyBorder="1" applyFont="1" applyNumberFormat="1">
      <alignment horizontal="center" readingOrder="0"/>
    </xf>
    <xf borderId="19" fillId="15" fontId="20" numFmtId="165" xfId="0" applyAlignment="1" applyBorder="1" applyFont="1" applyNumberFormat="1">
      <alignment horizontal="center" readingOrder="0"/>
    </xf>
    <xf borderId="20" fillId="15" fontId="21" numFmtId="0" xfId="0" applyBorder="1" applyFont="1"/>
    <xf borderId="21" fillId="15" fontId="21" numFmtId="0" xfId="0" applyBorder="1" applyFont="1"/>
    <xf borderId="19" fillId="14" fontId="20" numFmtId="165" xfId="0" applyAlignment="1" applyBorder="1" applyFont="1" applyNumberFormat="1">
      <alignment horizontal="center" readingOrder="0"/>
    </xf>
    <xf borderId="20" fillId="14" fontId="21" numFmtId="0" xfId="0" applyBorder="1" applyFont="1"/>
    <xf borderId="21" fillId="14" fontId="21" numFmtId="0" xfId="0" applyBorder="1" applyFont="1"/>
    <xf borderId="19" fillId="17" fontId="20" numFmtId="165" xfId="0" applyAlignment="1" applyBorder="1" applyFont="1" applyNumberFormat="1">
      <alignment horizontal="center" readingOrder="0"/>
    </xf>
    <xf borderId="20" fillId="17" fontId="21" numFmtId="0" xfId="0" applyBorder="1" applyFont="1"/>
    <xf borderId="21" fillId="17" fontId="21" numFmtId="0" xfId="0" applyBorder="1" applyFont="1"/>
    <xf borderId="19" fillId="8" fontId="20" numFmtId="165" xfId="0" applyAlignment="1" applyBorder="1" applyFont="1" applyNumberFormat="1">
      <alignment horizontal="center" readingOrder="0"/>
    </xf>
    <xf borderId="20" fillId="8" fontId="21" numFmtId="0" xfId="0" applyBorder="1" applyFont="1"/>
    <xf borderId="21" fillId="8" fontId="21" numFmtId="0" xfId="0" applyBorder="1" applyFont="1"/>
    <xf borderId="19" fillId="12" fontId="20" numFmtId="165" xfId="0" applyAlignment="1" applyBorder="1" applyFont="1" applyNumberFormat="1">
      <alignment horizontal="center" readingOrder="0"/>
    </xf>
    <xf borderId="20" fillId="12" fontId="21" numFmtId="0" xfId="0" applyBorder="1" applyFont="1"/>
    <xf borderId="21" fillId="12" fontId="21" numFmtId="0" xfId="0" applyBorder="1" applyFont="1"/>
    <xf borderId="19" fillId="28" fontId="20" numFmtId="165" xfId="0" applyAlignment="1" applyBorder="1" applyFill="1" applyFont="1" applyNumberFormat="1">
      <alignment horizontal="center" readingOrder="0"/>
    </xf>
    <xf borderId="20" fillId="28" fontId="21" numFmtId="0" xfId="0" applyBorder="1" applyFont="1"/>
    <xf borderId="21" fillId="28" fontId="21" numFmtId="0" xfId="0" applyBorder="1" applyFont="1"/>
    <xf borderId="19" fillId="29" fontId="20" numFmtId="165" xfId="0" applyAlignment="1" applyBorder="1" applyFill="1" applyFont="1" applyNumberFormat="1">
      <alignment horizontal="center" readingOrder="0"/>
    </xf>
    <xf borderId="20" fillId="0" fontId="21" numFmtId="0" xfId="0" applyBorder="1" applyFont="1"/>
    <xf borderId="21" fillId="0" fontId="21" numFmtId="0" xfId="0" applyBorder="1" applyFont="1"/>
    <xf borderId="19" fillId="30" fontId="20" numFmtId="165" xfId="0" applyAlignment="1" applyBorder="1" applyFill="1" applyFont="1" applyNumberFormat="1">
      <alignment horizontal="center" readingOrder="0"/>
    </xf>
    <xf borderId="19" fillId="31" fontId="20" numFmtId="165" xfId="0" applyAlignment="1" applyBorder="1" applyFill="1" applyFont="1" applyNumberFormat="1">
      <alignment horizontal="center" readingOrder="0"/>
    </xf>
    <xf borderId="19" fillId="32" fontId="20" numFmtId="165" xfId="0" applyAlignment="1" applyBorder="1" applyFill="1" applyFont="1" applyNumberFormat="1">
      <alignment horizontal="center" readingOrder="0"/>
    </xf>
    <xf borderId="19" fillId="33" fontId="20" numFmtId="165" xfId="0" applyAlignment="1" applyBorder="1" applyFill="1" applyFont="1" applyNumberFormat="1">
      <alignment horizontal="center" readingOrder="0"/>
    </xf>
    <xf borderId="19" fillId="34" fontId="20" numFmtId="165" xfId="0" applyAlignment="1" applyBorder="1" applyFill="1" applyFont="1" applyNumberFormat="1">
      <alignment horizontal="center" readingOrder="0"/>
    </xf>
    <xf borderId="19" fillId="35" fontId="20" numFmtId="165" xfId="0" applyAlignment="1" applyBorder="1" applyFill="1" applyFont="1" applyNumberFormat="1">
      <alignment horizontal="center" readingOrder="0"/>
    </xf>
    <xf borderId="19" fillId="36" fontId="20" numFmtId="165" xfId="0" applyAlignment="1" applyBorder="1" applyFill="1" applyFont="1" applyNumberFormat="1">
      <alignment horizontal="center" readingOrder="0"/>
    </xf>
    <xf borderId="0" fillId="0" fontId="24" numFmtId="0" xfId="0" applyAlignment="1" applyFont="1">
      <alignment horizontal="center"/>
    </xf>
    <xf borderId="18" fillId="0" fontId="24" numFmtId="0" xfId="0" applyAlignment="1" applyBorder="1" applyFont="1">
      <alignment horizontal="center"/>
    </xf>
    <xf borderId="18" fillId="0" fontId="24" numFmtId="165" xfId="0" applyAlignment="1" applyBorder="1" applyFont="1" applyNumberFormat="1">
      <alignment horizontal="center" readingOrder="0"/>
    </xf>
    <xf borderId="18" fillId="5" fontId="24" numFmtId="165" xfId="0" applyAlignment="1" applyBorder="1" applyFont="1" applyNumberFormat="1">
      <alignment horizontal="center" readingOrder="0"/>
    </xf>
    <xf borderId="18" fillId="5" fontId="24" numFmtId="0" xfId="0" applyAlignment="1" applyBorder="1" applyFont="1">
      <alignment horizontal="center" readingOrder="0"/>
    </xf>
    <xf borderId="18" fillId="0" fontId="24" numFmtId="0" xfId="0" applyAlignment="1" applyBorder="1" applyFont="1">
      <alignment horizontal="center" readingOrder="0"/>
    </xf>
    <xf borderId="0" fillId="0" fontId="24" numFmtId="49" xfId="0" applyAlignment="1" applyFont="1" applyNumberFormat="1">
      <alignment horizontal="center"/>
    </xf>
    <xf borderId="18" fillId="37" fontId="24" numFmtId="49" xfId="0" applyAlignment="1" applyBorder="1" applyFill="1" applyFont="1" applyNumberFormat="1">
      <alignment horizontal="center" readingOrder="0"/>
    </xf>
    <xf borderId="18" fillId="37" fontId="24" numFmtId="49" xfId="0" applyAlignment="1" applyBorder="1" applyFont="1" applyNumberFormat="1">
      <alignment horizontal="center"/>
    </xf>
    <xf borderId="18" fillId="23" fontId="24" numFmtId="0" xfId="0" applyAlignment="1" applyBorder="1" applyFont="1">
      <alignment horizontal="center" readingOrder="0"/>
    </xf>
    <xf borderId="18" fillId="23" fontId="24" numFmtId="49" xfId="0" applyAlignment="1" applyBorder="1" applyFont="1" applyNumberFormat="1">
      <alignment horizontal="center" readingOrder="0"/>
    </xf>
    <xf borderId="18" fillId="23" fontId="24" numFmtId="10" xfId="0" applyAlignment="1" applyBorder="1" applyFont="1" applyNumberFormat="1">
      <alignment horizontal="center"/>
    </xf>
    <xf borderId="18" fillId="22" fontId="24" numFmtId="0" xfId="0" applyAlignment="1" applyBorder="1" applyFont="1">
      <alignment horizontal="center" readingOrder="0"/>
    </xf>
    <xf borderId="18" fillId="22" fontId="24" numFmtId="49" xfId="0" applyAlignment="1" applyBorder="1" applyFont="1" applyNumberFormat="1">
      <alignment horizontal="center" readingOrder="0"/>
    </xf>
    <xf borderId="18" fillId="22" fontId="24" numFmtId="10" xfId="0" applyAlignment="1" applyBorder="1" applyFont="1" applyNumberFormat="1">
      <alignment horizontal="center"/>
    </xf>
    <xf borderId="18" fillId="25" fontId="24" numFmtId="0" xfId="0" applyAlignment="1" applyBorder="1" applyFont="1">
      <alignment horizontal="center" readingOrder="0"/>
    </xf>
    <xf borderId="18" fillId="25" fontId="24" numFmtId="49" xfId="0" applyAlignment="1" applyBorder="1" applyFont="1" applyNumberFormat="1">
      <alignment horizontal="center" readingOrder="0"/>
    </xf>
    <xf borderId="18" fillId="25" fontId="24" numFmtId="10" xfId="0" applyAlignment="1" applyBorder="1" applyFont="1" applyNumberFormat="1">
      <alignment horizontal="center"/>
    </xf>
    <xf borderId="18" fillId="3" fontId="24" numFmtId="0" xfId="0" applyAlignment="1" applyBorder="1" applyFont="1">
      <alignment horizontal="center" readingOrder="0"/>
    </xf>
    <xf borderId="18" fillId="3" fontId="24" numFmtId="49" xfId="0" applyAlignment="1" applyBorder="1" applyFont="1" applyNumberFormat="1">
      <alignment horizontal="center" readingOrder="0"/>
    </xf>
    <xf borderId="18" fillId="3" fontId="24" numFmtId="10" xfId="0" applyAlignment="1" applyBorder="1" applyFont="1" applyNumberFormat="1">
      <alignment horizontal="center"/>
    </xf>
    <xf borderId="18" fillId="20" fontId="24" numFmtId="0" xfId="0" applyAlignment="1" applyBorder="1" applyFont="1">
      <alignment horizontal="center" readingOrder="0"/>
    </xf>
    <xf borderId="18" fillId="20" fontId="24" numFmtId="49" xfId="0" applyAlignment="1" applyBorder="1" applyFont="1" applyNumberFormat="1">
      <alignment horizontal="center" readingOrder="0"/>
    </xf>
    <xf borderId="18" fillId="20" fontId="24" numFmtId="10" xfId="0" applyAlignment="1" applyBorder="1" applyFont="1" applyNumberFormat="1">
      <alignment horizontal="center"/>
    </xf>
    <xf borderId="18" fillId="38" fontId="24" numFmtId="0" xfId="0" applyAlignment="1" applyBorder="1" applyFill="1" applyFont="1">
      <alignment horizontal="center" readingOrder="0"/>
    </xf>
    <xf borderId="18" fillId="38" fontId="24" numFmtId="49" xfId="0" applyAlignment="1" applyBorder="1" applyFont="1" applyNumberFormat="1">
      <alignment horizontal="center" readingOrder="0"/>
    </xf>
    <xf borderId="18" fillId="38" fontId="24" numFmtId="10" xfId="0" applyAlignment="1" applyBorder="1" applyFont="1" applyNumberFormat="1">
      <alignment horizontal="center"/>
    </xf>
    <xf borderId="18" fillId="10" fontId="24" numFmtId="0" xfId="0" applyAlignment="1" applyBorder="1" applyFont="1">
      <alignment horizontal="center"/>
    </xf>
    <xf borderId="18" fillId="10" fontId="24" numFmtId="49" xfId="0" applyAlignment="1" applyBorder="1" applyFont="1" applyNumberFormat="1">
      <alignment horizontal="center" readingOrder="0"/>
    </xf>
    <xf borderId="18" fillId="10" fontId="24" numFmtId="10" xfId="0" applyAlignment="1" applyBorder="1" applyFont="1" applyNumberFormat="1">
      <alignment horizontal="center"/>
    </xf>
    <xf borderId="18" fillId="39" fontId="24" numFmtId="0" xfId="0" applyAlignment="1" applyBorder="1" applyFill="1" applyFont="1">
      <alignment horizontal="center"/>
    </xf>
    <xf borderId="18" fillId="39" fontId="24" numFmtId="49" xfId="0" applyAlignment="1" applyBorder="1" applyFont="1" applyNumberFormat="1">
      <alignment horizontal="center" readingOrder="0"/>
    </xf>
    <xf borderId="18" fillId="39" fontId="24" numFmtId="9" xfId="0" applyAlignment="1" applyBorder="1" applyFont="1" applyNumberFormat="1">
      <alignment horizontal="center"/>
    </xf>
    <xf borderId="18" fillId="6" fontId="24" numFmtId="0" xfId="0" applyAlignment="1" applyBorder="1" applyFont="1">
      <alignment horizontal="center"/>
    </xf>
    <xf borderId="18" fillId="6" fontId="24" numFmtId="49" xfId="0" applyAlignment="1" applyBorder="1" applyFont="1" applyNumberFormat="1">
      <alignment horizontal="center" readingOrder="0"/>
    </xf>
    <xf borderId="18" fillId="6" fontId="24" numFmtId="10" xfId="0" applyAlignment="1" applyBorder="1" applyFont="1" applyNumberFormat="1">
      <alignment horizontal="center"/>
    </xf>
    <xf borderId="18" fillId="40" fontId="24" numFmtId="0" xfId="0" applyAlignment="1" applyBorder="1" applyFill="1" applyFont="1">
      <alignment horizontal="center"/>
    </xf>
    <xf borderId="18" fillId="40" fontId="24" numFmtId="49" xfId="0" applyAlignment="1" applyBorder="1" applyFont="1" applyNumberFormat="1">
      <alignment horizontal="center" readingOrder="0"/>
    </xf>
    <xf borderId="18" fillId="40" fontId="24" numFmtId="10" xfId="0" applyAlignment="1" applyBorder="1" applyFont="1" applyNumberFormat="1">
      <alignment horizontal="center"/>
    </xf>
    <xf borderId="18" fillId="37" fontId="24" numFmtId="0" xfId="0" applyAlignment="1" applyBorder="1" applyFont="1">
      <alignment horizontal="center"/>
    </xf>
    <xf borderId="18" fillId="37" fontId="24" numFmtId="10" xfId="0" applyAlignment="1" applyBorder="1" applyFont="1" applyNumberFormat="1">
      <alignment horizontal="center"/>
    </xf>
    <xf borderId="18" fillId="41" fontId="24" numFmtId="49" xfId="0" applyAlignment="1" applyBorder="1" applyFill="1" applyFont="1" applyNumberFormat="1">
      <alignment horizontal="center" readingOrder="0"/>
    </xf>
    <xf borderId="18" fillId="41" fontId="24" numFmtId="10" xfId="0" applyAlignment="1" applyBorder="1" applyFont="1" applyNumberFormat="1">
      <alignment horizontal="center"/>
    </xf>
    <xf borderId="18" fillId="42" fontId="24" numFmtId="49" xfId="0" applyAlignment="1" applyBorder="1" applyFill="1" applyFont="1" applyNumberFormat="1">
      <alignment horizontal="center" readingOrder="0"/>
    </xf>
    <xf borderId="18" fillId="42" fontId="24" numFmtId="10" xfId="0" applyAlignment="1" applyBorder="1" applyFont="1" applyNumberFormat="1">
      <alignment horizontal="center" readingOrder="0"/>
    </xf>
    <xf borderId="18" fillId="43" fontId="24" numFmtId="49" xfId="0" applyAlignment="1" applyBorder="1" applyFill="1" applyFont="1" applyNumberFormat="1">
      <alignment horizontal="center" readingOrder="0"/>
    </xf>
    <xf borderId="18" fillId="43" fontId="24" numFmtId="10" xfId="0" applyAlignment="1" applyBorder="1" applyFont="1" applyNumberFormat="1">
      <alignment horizontal="center" readingOrder="0"/>
    </xf>
    <xf borderId="18" fillId="44" fontId="24" numFmtId="49" xfId="0" applyAlignment="1" applyBorder="1" applyFill="1" applyFont="1" applyNumberFormat="1">
      <alignment horizontal="center" readingOrder="0"/>
    </xf>
    <xf borderId="0" fillId="5" fontId="24" numFmtId="49" xfId="0" applyAlignment="1" applyFont="1" applyNumberFormat="1">
      <alignment horizontal="center"/>
    </xf>
    <xf borderId="18" fillId="5" fontId="24" numFmtId="49" xfId="0" applyAlignment="1" applyBorder="1" applyFont="1" applyNumberFormat="1">
      <alignment horizontal="center" readingOrder="0"/>
    </xf>
    <xf borderId="18" fillId="0" fontId="24" numFmtId="49" xfId="0" applyAlignment="1" applyBorder="1" applyFont="1" applyNumberFormat="1">
      <alignment horizontal="center"/>
    </xf>
    <xf borderId="18" fillId="5" fontId="24" numFmtId="49" xfId="0" applyAlignment="1" applyBorder="1" applyFont="1" applyNumberFormat="1">
      <alignment horizontal="center"/>
    </xf>
    <xf borderId="18" fillId="5" fontId="24" numFmtId="0" xfId="0" applyAlignment="1" applyBorder="1" applyFont="1">
      <alignment horizontal="center"/>
    </xf>
    <xf borderId="18" fillId="5" fontId="24" numFmtId="10" xfId="0" applyAlignment="1" applyBorder="1" applyFont="1" applyNumberFormat="1">
      <alignment horizontal="center"/>
    </xf>
    <xf borderId="18" fillId="5" fontId="24" numFmtId="164" xfId="0" applyAlignment="1" applyBorder="1" applyFont="1" applyNumberFormat="1">
      <alignment horizontal="center"/>
    </xf>
    <xf borderId="18" fillId="43" fontId="24" numFmtId="49" xfId="0" applyAlignment="1" applyBorder="1" applyFont="1" applyNumberFormat="1">
      <alignment horizontal="center"/>
    </xf>
    <xf borderId="18" fillId="44" fontId="24" numFmtId="49" xfId="0" applyAlignment="1" applyBorder="1" applyFont="1" applyNumberFormat="1">
      <alignment horizontal="center"/>
    </xf>
    <xf borderId="18" fillId="10" fontId="24" numFmtId="49" xfId="0" applyAlignment="1" applyBorder="1" applyFont="1" applyNumberFormat="1">
      <alignment horizontal="center"/>
    </xf>
    <xf borderId="18" fillId="39" fontId="24" numFmtId="49" xfId="0" applyAlignment="1" applyBorder="1" applyFont="1" applyNumberFormat="1">
      <alignment horizontal="center"/>
    </xf>
    <xf borderId="18" fillId="6" fontId="24" numFmtId="49" xfId="0" applyAlignment="1" applyBorder="1" applyFont="1" applyNumberFormat="1">
      <alignment horizontal="center"/>
    </xf>
    <xf borderId="18" fillId="40" fontId="24" numFmtId="49" xfId="0" applyAlignment="1" applyBorder="1" applyFont="1" applyNumberFormat="1">
      <alignment horizontal="center"/>
    </xf>
    <xf borderId="18" fillId="5" fontId="24" numFmtId="10" xfId="0" applyAlignment="1" applyBorder="1" applyFont="1" applyNumberFormat="1">
      <alignment horizontal="center" readingOrder="0"/>
    </xf>
    <xf borderId="18" fillId="38" fontId="24" numFmtId="0" xfId="0" applyAlignment="1" applyBorder="1" applyFont="1">
      <alignment horizontal="center"/>
    </xf>
    <xf borderId="0" fillId="5" fontId="24" numFmtId="164" xfId="0" applyAlignment="1" applyFont="1" applyNumberFormat="1">
      <alignment horizontal="center"/>
    </xf>
    <xf borderId="18" fillId="5" fontId="24" numFmtId="164" xfId="0" applyAlignment="1" applyBorder="1" applyFont="1" applyNumberFormat="1">
      <alignment horizontal="center" readingOrder="0"/>
    </xf>
    <xf borderId="18" fillId="0" fontId="24" numFmtId="164" xfId="0" applyAlignment="1" applyBorder="1" applyFont="1" applyNumberFormat="1">
      <alignment horizontal="center"/>
    </xf>
    <xf borderId="0" fillId="0" fontId="24" numFmtId="164" xfId="0" applyAlignment="1" applyFont="1" applyNumberFormat="1">
      <alignment horizontal="center"/>
    </xf>
    <xf borderId="18" fillId="37" fontId="24" numFmtId="164" xfId="0" applyAlignment="1" applyBorder="1" applyFont="1" applyNumberFormat="1">
      <alignment horizontal="center" readingOrder="0"/>
    </xf>
    <xf borderId="18" fillId="37" fontId="24" numFmtId="164" xfId="0" applyAlignment="1" applyBorder="1" applyFont="1" applyNumberFormat="1">
      <alignment horizontal="center"/>
    </xf>
    <xf borderId="18" fillId="23" fontId="24" numFmtId="164" xfId="0" applyAlignment="1" applyBorder="1" applyFont="1" applyNumberFormat="1">
      <alignment horizontal="center" readingOrder="0"/>
    </xf>
    <xf borderId="18" fillId="23" fontId="24" numFmtId="164" xfId="0" applyAlignment="1" applyBorder="1" applyFont="1" applyNumberFormat="1">
      <alignment horizontal="center"/>
    </xf>
    <xf borderId="18" fillId="22" fontId="24" numFmtId="164" xfId="0" applyAlignment="1" applyBorder="1" applyFont="1" applyNumberFormat="1">
      <alignment horizontal="center" readingOrder="0"/>
    </xf>
    <xf borderId="18" fillId="22" fontId="24" numFmtId="164" xfId="0" applyAlignment="1" applyBorder="1" applyFont="1" applyNumberFormat="1">
      <alignment horizontal="center"/>
    </xf>
    <xf borderId="18" fillId="25" fontId="24" numFmtId="164" xfId="0" applyAlignment="1" applyBorder="1" applyFont="1" applyNumberFormat="1">
      <alignment horizontal="center" readingOrder="0"/>
    </xf>
    <xf borderId="18" fillId="25" fontId="24" numFmtId="164" xfId="0" applyAlignment="1" applyBorder="1" applyFont="1" applyNumberFormat="1">
      <alignment horizontal="center"/>
    </xf>
    <xf borderId="18" fillId="3" fontId="24" numFmtId="164" xfId="0" applyAlignment="1" applyBorder="1" applyFont="1" applyNumberFormat="1">
      <alignment horizontal="center" readingOrder="0"/>
    </xf>
    <xf borderId="18" fillId="3" fontId="24" numFmtId="164" xfId="0" applyAlignment="1" applyBorder="1" applyFont="1" applyNumberFormat="1">
      <alignment horizontal="center"/>
    </xf>
    <xf borderId="18" fillId="20" fontId="24" numFmtId="164" xfId="0" applyAlignment="1" applyBorder="1" applyFont="1" applyNumberFormat="1">
      <alignment horizontal="center" readingOrder="0"/>
    </xf>
    <xf borderId="18" fillId="20" fontId="24" numFmtId="164" xfId="0" applyAlignment="1" applyBorder="1" applyFont="1" applyNumberFormat="1">
      <alignment horizontal="center"/>
    </xf>
    <xf borderId="18" fillId="38" fontId="24" numFmtId="164" xfId="0" applyAlignment="1" applyBorder="1" applyFont="1" applyNumberFormat="1">
      <alignment horizontal="center"/>
    </xf>
    <xf borderId="18" fillId="10" fontId="24" numFmtId="164" xfId="0" applyAlignment="1" applyBorder="1" applyFont="1" applyNumberFormat="1">
      <alignment horizontal="center"/>
    </xf>
    <xf borderId="18" fillId="39" fontId="24" numFmtId="164" xfId="0" applyAlignment="1" applyBorder="1" applyFont="1" applyNumberFormat="1">
      <alignment horizontal="center"/>
    </xf>
    <xf borderId="18" fillId="6" fontId="24" numFmtId="164" xfId="0" applyAlignment="1" applyBorder="1" applyFont="1" applyNumberFormat="1">
      <alignment horizontal="center"/>
    </xf>
    <xf borderId="18" fillId="40" fontId="24" numFmtId="164" xfId="0" applyAlignment="1" applyBorder="1" applyFont="1" applyNumberFormat="1">
      <alignment horizontal="center"/>
    </xf>
    <xf borderId="18" fillId="41" fontId="24" numFmtId="165" xfId="0" applyAlignment="1" applyBorder="1" applyFont="1" applyNumberFormat="1">
      <alignment horizontal="center" readingOrder="0"/>
    </xf>
    <xf borderId="18" fillId="41" fontId="24" numFmtId="164" xfId="0" applyAlignment="1" applyBorder="1" applyFont="1" applyNumberFormat="1">
      <alignment horizontal="center"/>
    </xf>
    <xf borderId="18" fillId="42" fontId="24" numFmtId="164" xfId="0" applyAlignment="1" applyBorder="1" applyFont="1" applyNumberFormat="1">
      <alignment horizontal="center" readingOrder="0"/>
    </xf>
    <xf borderId="18" fillId="42" fontId="24" numFmtId="164" xfId="0" applyAlignment="1" applyBorder="1" applyFont="1" applyNumberFormat="1">
      <alignment horizontal="center"/>
    </xf>
    <xf borderId="18" fillId="43" fontId="24" numFmtId="164" xfId="0" applyAlignment="1" applyBorder="1" applyFont="1" applyNumberFormat="1">
      <alignment horizontal="center"/>
    </xf>
    <xf borderId="18" fillId="44" fontId="24" numFmtId="164" xfId="0" applyAlignment="1" applyBorder="1" applyFont="1" applyNumberFormat="1">
      <alignment horizontal="center" readingOrder="0"/>
    </xf>
    <xf borderId="18" fillId="44" fontId="24" numFmtId="164" xfId="0" applyAlignment="1" applyBorder="1" applyFont="1" applyNumberFormat="1">
      <alignment horizontal="center"/>
    </xf>
    <xf borderId="0" fillId="5" fontId="24" numFmtId="10" xfId="0" applyAlignment="1" applyFont="1" applyNumberFormat="1">
      <alignment horizontal="center"/>
    </xf>
    <xf borderId="18" fillId="0" fontId="24" numFmtId="10" xfId="0" applyAlignment="1" applyBorder="1" applyFont="1" applyNumberFormat="1">
      <alignment horizontal="center"/>
    </xf>
    <xf borderId="18" fillId="23" fontId="24" numFmtId="165" xfId="0" applyAlignment="1" applyBorder="1" applyFont="1" applyNumberFormat="1">
      <alignment horizontal="center" readingOrder="0"/>
    </xf>
    <xf borderId="18" fillId="23" fontId="24" numFmtId="49" xfId="0" applyAlignment="1" applyBorder="1" applyFont="1" applyNumberFormat="1">
      <alignment horizontal="center"/>
    </xf>
    <xf borderId="18" fillId="22" fontId="24" numFmtId="165" xfId="0" applyAlignment="1" applyBorder="1" applyFont="1" applyNumberFormat="1">
      <alignment horizontal="center" readingOrder="0"/>
    </xf>
    <xf borderId="18" fillId="22" fontId="24" numFmtId="49" xfId="0" applyAlignment="1" applyBorder="1" applyFont="1" applyNumberFormat="1">
      <alignment horizontal="center"/>
    </xf>
    <xf borderId="18" fillId="25" fontId="24" numFmtId="49" xfId="0" applyAlignment="1" applyBorder="1" applyFont="1" applyNumberFormat="1">
      <alignment horizontal="center"/>
    </xf>
    <xf borderId="18" fillId="3" fontId="24" numFmtId="49" xfId="0" applyAlignment="1" applyBorder="1" applyFont="1" applyNumberFormat="1">
      <alignment horizontal="center"/>
    </xf>
    <xf borderId="18" fillId="20" fontId="24" numFmtId="49" xfId="0" applyAlignment="1" applyBorder="1" applyFont="1" applyNumberFormat="1">
      <alignment horizontal="center"/>
    </xf>
    <xf borderId="18" fillId="38" fontId="24" numFmtId="49" xfId="0" applyAlignment="1" applyBorder="1" applyFont="1" applyNumberFormat="1">
      <alignment horizontal="center"/>
    </xf>
    <xf borderId="18" fillId="5" fontId="24" numFmtId="165" xfId="0" applyAlignment="1" applyBorder="1" applyFont="1" applyNumberFormat="1">
      <alignment horizontal="center"/>
    </xf>
    <xf borderId="0" fillId="0" fontId="24" numFmtId="10" xfId="0" applyAlignment="1" applyFont="1" applyNumberFormat="1">
      <alignment horizontal="center"/>
    </xf>
    <xf borderId="18" fillId="37" fontId="24" numFmtId="10" xfId="0" applyAlignment="1" applyBorder="1" applyFont="1" applyNumberFormat="1">
      <alignment horizontal="center" readingOrder="0"/>
    </xf>
    <xf borderId="18" fillId="23" fontId="24" numFmtId="10" xfId="0" applyAlignment="1" applyBorder="1" applyFont="1" applyNumberFormat="1">
      <alignment horizontal="center" readingOrder="0"/>
    </xf>
    <xf borderId="18" fillId="22" fontId="24" numFmtId="10" xfId="0" applyAlignment="1" applyBorder="1" applyFont="1" applyNumberFormat="1">
      <alignment horizontal="center" readingOrder="0"/>
    </xf>
    <xf borderId="18" fillId="25" fontId="24" numFmtId="10" xfId="0" applyAlignment="1" applyBorder="1" applyFont="1" applyNumberFormat="1">
      <alignment horizontal="center" readingOrder="0"/>
    </xf>
    <xf borderId="18" fillId="3" fontId="24" numFmtId="10" xfId="0" applyAlignment="1" applyBorder="1" applyFont="1" applyNumberFormat="1">
      <alignment horizontal="center" readingOrder="0"/>
    </xf>
    <xf borderId="18" fillId="20" fontId="24" numFmtId="10" xfId="0" applyAlignment="1" applyBorder="1" applyFont="1" applyNumberFormat="1">
      <alignment horizontal="center" readingOrder="0"/>
    </xf>
    <xf borderId="18" fillId="38" fontId="24" numFmtId="10" xfId="0" applyAlignment="1" applyBorder="1" applyFont="1" applyNumberFormat="1">
      <alignment horizontal="center" readingOrder="0"/>
    </xf>
    <xf borderId="18" fillId="10" fontId="24" numFmtId="10" xfId="0" applyAlignment="1" applyBorder="1" applyFont="1" applyNumberFormat="1">
      <alignment horizontal="center" readingOrder="0"/>
    </xf>
    <xf borderId="18" fillId="39" fontId="24" numFmtId="10" xfId="0" applyAlignment="1" applyBorder="1" applyFont="1" applyNumberFormat="1">
      <alignment horizontal="center"/>
    </xf>
    <xf borderId="18" fillId="39" fontId="24" numFmtId="10" xfId="0" applyAlignment="1" applyBorder="1" applyFont="1" applyNumberFormat="1">
      <alignment horizontal="center" readingOrder="0"/>
    </xf>
    <xf borderId="18" fillId="6" fontId="24" numFmtId="10" xfId="0" applyAlignment="1" applyBorder="1" applyFont="1" applyNumberFormat="1">
      <alignment horizontal="center" readingOrder="0"/>
    </xf>
    <xf borderId="18" fillId="40" fontId="24" numFmtId="10" xfId="0" applyAlignment="1" applyBorder="1" applyFont="1" applyNumberFormat="1">
      <alignment horizontal="center" readingOrder="0"/>
    </xf>
    <xf borderId="18" fillId="41" fontId="24" numFmtId="10" xfId="0" applyAlignment="1" applyBorder="1" applyFont="1" applyNumberFormat="1">
      <alignment horizontal="center" readingOrder="0"/>
    </xf>
    <xf borderId="18" fillId="43" fontId="24" numFmtId="10" xfId="0" applyAlignment="1" applyBorder="1" applyFont="1" applyNumberFormat="1">
      <alignment horizontal="center"/>
    </xf>
    <xf borderId="18" fillId="44" fontId="24" numFmtId="10" xfId="0" applyAlignment="1" applyBorder="1" applyFont="1" applyNumberFormat="1">
      <alignment horizontal="center" readingOrder="0"/>
    </xf>
    <xf borderId="18" fillId="44" fontId="24" numFmtId="10" xfId="0" applyAlignment="1" applyBorder="1" applyFont="1" applyNumberFormat="1">
      <alignment horizontal="center"/>
    </xf>
    <xf borderId="18" fillId="37" fontId="24" numFmtId="165" xfId="0" applyAlignment="1" applyBorder="1" applyFont="1" applyNumberFormat="1">
      <alignment horizontal="center"/>
    </xf>
    <xf borderId="18" fillId="25" fontId="24" numFmtId="165" xfId="0" applyAlignment="1" applyBorder="1" applyFont="1" applyNumberFormat="1">
      <alignment horizontal="center" readingOrder="0"/>
    </xf>
    <xf borderId="18" fillId="3" fontId="24" numFmtId="165" xfId="0" applyAlignment="1" applyBorder="1" applyFont="1" applyNumberFormat="1">
      <alignment horizontal="center" readingOrder="0"/>
    </xf>
    <xf borderId="18" fillId="20" fontId="24" numFmtId="165" xfId="0" applyAlignment="1" applyBorder="1" applyFont="1" applyNumberFormat="1">
      <alignment horizontal="center" readingOrder="0"/>
    </xf>
    <xf borderId="18" fillId="38" fontId="24" numFmtId="165" xfId="0" applyAlignment="1" applyBorder="1" applyFont="1" applyNumberFormat="1">
      <alignment horizontal="center"/>
    </xf>
    <xf borderId="18" fillId="10" fontId="24" numFmtId="165" xfId="0" applyAlignment="1" applyBorder="1" applyFont="1" applyNumberFormat="1">
      <alignment horizontal="center"/>
    </xf>
    <xf borderId="18" fillId="39" fontId="24" numFmtId="165" xfId="0" applyAlignment="1" applyBorder="1" applyFont="1" applyNumberFormat="1">
      <alignment horizontal="center"/>
    </xf>
    <xf borderId="18" fillId="6" fontId="24" numFmtId="165" xfId="0" applyAlignment="1" applyBorder="1" applyFont="1" applyNumberFormat="1">
      <alignment horizontal="center"/>
    </xf>
    <xf borderId="18" fillId="40" fontId="24" numFmtId="165" xfId="0" applyAlignment="1" applyBorder="1" applyFont="1" applyNumberFormat="1">
      <alignment horizontal="center"/>
    </xf>
    <xf borderId="18" fillId="5" fontId="24" numFmtId="9" xfId="0" applyAlignment="1" applyBorder="1" applyFont="1" applyNumberFormat="1">
      <alignment horizontal="center"/>
    </xf>
    <xf borderId="18" fillId="38" fontId="24" numFmtId="165" xfId="0" applyAlignment="1" applyBorder="1" applyFont="1" applyNumberFormat="1">
      <alignment horizontal="center" readingOrder="0"/>
    </xf>
    <xf borderId="18" fillId="10" fontId="24" numFmtId="165" xfId="0" applyAlignment="1" applyBorder="1" applyFont="1" applyNumberFormat="1">
      <alignment horizontal="center" readingOrder="0"/>
    </xf>
    <xf borderId="22" fillId="37" fontId="24" numFmtId="164" xfId="0" applyAlignment="1" applyBorder="1" applyFont="1" applyNumberFormat="1">
      <alignment horizontal="center" readingOrder="0"/>
    </xf>
    <xf borderId="22" fillId="37" fontId="24" numFmtId="165" xfId="0" applyAlignment="1" applyBorder="1" applyFont="1" applyNumberFormat="1">
      <alignment horizontal="center"/>
    </xf>
    <xf borderId="22" fillId="23" fontId="24" numFmtId="0" xfId="0" applyAlignment="1" applyBorder="1" applyFont="1">
      <alignment horizontal="center" readingOrder="0"/>
    </xf>
    <xf borderId="22" fillId="22" fontId="24" numFmtId="164" xfId="0" applyAlignment="1" applyBorder="1" applyFont="1" applyNumberFormat="1">
      <alignment horizontal="center"/>
    </xf>
    <xf borderId="22" fillId="22" fontId="24" numFmtId="10" xfId="0" applyAlignment="1" applyBorder="1" applyFont="1" applyNumberFormat="1">
      <alignment horizontal="center"/>
    </xf>
    <xf borderId="22" fillId="25" fontId="24" numFmtId="164" xfId="0" applyAlignment="1" applyBorder="1" applyFont="1" applyNumberFormat="1">
      <alignment horizontal="center"/>
    </xf>
    <xf borderId="22" fillId="25" fontId="24" numFmtId="10" xfId="0" applyAlignment="1" applyBorder="1" applyFont="1" applyNumberFormat="1">
      <alignment horizontal="center"/>
    </xf>
    <xf borderId="22" fillId="3" fontId="24" numFmtId="165" xfId="0" applyAlignment="1" applyBorder="1" applyFont="1" applyNumberFormat="1">
      <alignment horizontal="center" readingOrder="0"/>
    </xf>
    <xf borderId="22" fillId="3" fontId="24" numFmtId="164" xfId="0" applyAlignment="1" applyBorder="1" applyFont="1" applyNumberFormat="1">
      <alignment horizontal="center"/>
    </xf>
    <xf borderId="22" fillId="3" fontId="24" numFmtId="10" xfId="0" applyAlignment="1" applyBorder="1" applyFont="1" applyNumberFormat="1">
      <alignment horizontal="center"/>
    </xf>
    <xf borderId="22" fillId="20" fontId="24" numFmtId="164" xfId="0" applyAlignment="1" applyBorder="1" applyFont="1" applyNumberFormat="1">
      <alignment horizontal="center"/>
    </xf>
    <xf borderId="22" fillId="20" fontId="24" numFmtId="10" xfId="0" applyAlignment="1" applyBorder="1" applyFont="1" applyNumberFormat="1">
      <alignment horizontal="center"/>
    </xf>
    <xf borderId="22" fillId="38" fontId="24" numFmtId="164" xfId="0" applyAlignment="1" applyBorder="1" applyFont="1" applyNumberFormat="1">
      <alignment horizontal="center"/>
    </xf>
    <xf borderId="22" fillId="38" fontId="24" numFmtId="10" xfId="0" applyAlignment="1" applyBorder="1" applyFont="1" applyNumberFormat="1">
      <alignment horizontal="center"/>
    </xf>
    <xf borderId="22" fillId="10" fontId="24" numFmtId="164" xfId="0" applyAlignment="1" applyBorder="1" applyFont="1" applyNumberFormat="1">
      <alignment horizontal="center"/>
    </xf>
    <xf borderId="22" fillId="10" fontId="24" numFmtId="10" xfId="0" applyAlignment="1" applyBorder="1" applyFont="1" applyNumberFormat="1">
      <alignment horizontal="center"/>
    </xf>
    <xf borderId="22" fillId="39" fontId="24" numFmtId="164" xfId="0" applyAlignment="1" applyBorder="1" applyFont="1" applyNumberFormat="1">
      <alignment horizontal="center"/>
    </xf>
    <xf borderId="22" fillId="39" fontId="24" numFmtId="9" xfId="0" applyAlignment="1" applyBorder="1" applyFont="1" applyNumberFormat="1">
      <alignment horizontal="center"/>
    </xf>
    <xf borderId="22" fillId="6" fontId="24" numFmtId="164" xfId="0" applyAlignment="1" applyBorder="1" applyFont="1" applyNumberFormat="1">
      <alignment horizontal="center"/>
    </xf>
    <xf borderId="22" fillId="6" fontId="24" numFmtId="10" xfId="0" applyAlignment="1" applyBorder="1" applyFont="1" applyNumberFormat="1">
      <alignment horizontal="center"/>
    </xf>
    <xf borderId="22" fillId="40" fontId="24" numFmtId="164" xfId="0" applyAlignment="1" applyBorder="1" applyFont="1" applyNumberFormat="1">
      <alignment horizontal="center"/>
    </xf>
    <xf borderId="22" fillId="40" fontId="24" numFmtId="10" xfId="0" applyAlignment="1" applyBorder="1" applyFont="1" applyNumberFormat="1">
      <alignment horizontal="center"/>
    </xf>
    <xf borderId="22" fillId="37" fontId="24" numFmtId="164" xfId="0" applyAlignment="1" applyBorder="1" applyFont="1" applyNumberFormat="1">
      <alignment horizontal="center"/>
    </xf>
    <xf borderId="22" fillId="37" fontId="24" numFmtId="10" xfId="0" applyAlignment="1" applyBorder="1" applyFont="1" applyNumberFormat="1">
      <alignment horizontal="center"/>
    </xf>
    <xf borderId="22" fillId="41" fontId="24" numFmtId="164" xfId="0" applyAlignment="1" applyBorder="1" applyFont="1" applyNumberFormat="1">
      <alignment horizontal="center"/>
    </xf>
    <xf borderId="22" fillId="41" fontId="24" numFmtId="49" xfId="0" applyAlignment="1" applyBorder="1" applyFont="1" applyNumberFormat="1">
      <alignment horizontal="center"/>
    </xf>
    <xf borderId="22" fillId="42" fontId="24" numFmtId="164" xfId="0" applyAlignment="1" applyBorder="1" applyFont="1" applyNumberFormat="1">
      <alignment horizontal="center"/>
    </xf>
    <xf borderId="22" fillId="42" fontId="24" numFmtId="10" xfId="0" applyAlignment="1" applyBorder="1" applyFont="1" applyNumberFormat="1">
      <alignment horizontal="center" readingOrder="0"/>
    </xf>
    <xf borderId="22" fillId="43" fontId="24" numFmtId="164" xfId="0" applyAlignment="1" applyBorder="1" applyFont="1" applyNumberFormat="1">
      <alignment horizontal="center"/>
    </xf>
    <xf borderId="22" fillId="43" fontId="24" numFmtId="10" xfId="0" applyAlignment="1" applyBorder="1" applyFont="1" applyNumberFormat="1">
      <alignment horizontal="center" readingOrder="0"/>
    </xf>
    <xf borderId="22" fillId="44" fontId="24" numFmtId="164" xfId="0" applyAlignment="1" applyBorder="1" applyFont="1" applyNumberFormat="1">
      <alignment horizontal="center"/>
    </xf>
    <xf borderId="0" fillId="0" fontId="22" numFmtId="0" xfId="0" applyFont="1"/>
    <xf borderId="1" fillId="5" fontId="22" numFmtId="0" xfId="0" applyAlignment="1" applyBorder="1" applyFont="1">
      <alignment horizontal="center" readingOrder="0"/>
    </xf>
    <xf borderId="1" fillId="5" fontId="24" numFmtId="164" xfId="0" applyAlignment="1" applyBorder="1" applyFont="1" applyNumberFormat="1">
      <alignment horizontal="center"/>
    </xf>
    <xf borderId="19" fillId="5" fontId="24" numFmtId="164" xfId="0" applyAlignment="1" applyBorder="1" applyFont="1" applyNumberFormat="1">
      <alignment horizontal="center" readingOrder="0"/>
    </xf>
    <xf borderId="21" fillId="5" fontId="24" numFmtId="165" xfId="0" applyAlignment="1" applyBorder="1" applyFont="1" applyNumberFormat="1">
      <alignment horizontal="center" readingOrder="0"/>
    </xf>
    <xf borderId="1" fillId="5" fontId="22" numFmtId="0" xfId="0" applyBorder="1" applyFont="1"/>
    <xf borderId="1" fillId="5" fontId="22" numFmtId="165" xfId="0" applyBorder="1" applyFont="1" applyNumberFormat="1"/>
    <xf borderId="1" fillId="0" fontId="22" numFmtId="164" xfId="0" applyBorder="1" applyFont="1" applyNumberFormat="1"/>
    <xf borderId="1" fillId="0" fontId="22" numFmtId="0" xfId="0" applyBorder="1" applyFont="1"/>
    <xf borderId="1" fillId="0" fontId="22" numFmtId="165" xfId="0" applyBorder="1" applyFont="1" applyNumberFormat="1"/>
    <xf borderId="18" fillId="23" fontId="1" numFmtId="0" xfId="0" applyBorder="1" applyFont="1"/>
    <xf borderId="19" fillId="23" fontId="24" numFmtId="0" xfId="0" applyAlignment="1" applyBorder="1" applyFont="1">
      <alignment horizontal="center" readingOrder="0"/>
    </xf>
    <xf borderId="0" fillId="22" fontId="24" numFmtId="165" xfId="0" applyAlignment="1" applyFont="1" applyNumberFormat="1">
      <alignment horizontal="center"/>
    </xf>
    <xf borderId="0" fillId="22" fontId="1" numFmtId="0" xfId="0" applyFont="1"/>
    <xf borderId="0" fillId="25" fontId="1" numFmtId="0" xfId="0" applyFont="1"/>
    <xf borderId="0" fillId="3" fontId="22" numFmtId="165" xfId="0" applyFont="1" applyNumberFormat="1"/>
    <xf borderId="0" fillId="3" fontId="22" numFmtId="0" xfId="0" applyFont="1"/>
    <xf borderId="0" fillId="0" fontId="22" numFmtId="164" xfId="0" applyFont="1" applyNumberFormat="1"/>
    <xf borderId="0" fillId="0" fontId="23" numFmtId="0" xfId="0" applyAlignment="1" applyFont="1">
      <alignment horizontal="center" readingOrder="0"/>
    </xf>
    <xf borderId="0" fillId="0" fontId="43" numFmtId="0" xfId="0" applyAlignment="1" applyFont="1">
      <alignment horizontal="center" readingOrder="0"/>
    </xf>
    <xf borderId="0" fillId="0" fontId="43" numFmtId="165" xfId="0" applyAlignment="1" applyFont="1" applyNumberFormat="1">
      <alignment horizontal="center" readingOrder="0"/>
    </xf>
    <xf borderId="1" fillId="0" fontId="43" numFmtId="0" xfId="0" applyAlignment="1" applyBorder="1" applyFont="1">
      <alignment horizontal="center" readingOrder="0"/>
    </xf>
    <xf borderId="11" fillId="0" fontId="43" numFmtId="0" xfId="0" applyAlignment="1" applyBorder="1" applyFont="1">
      <alignment horizontal="center" readingOrder="0"/>
    </xf>
    <xf borderId="7" fillId="0" fontId="43" numFmtId="0" xfId="0" applyAlignment="1" applyBorder="1" applyFont="1">
      <alignment horizontal="center" readingOrder="0"/>
    </xf>
    <xf borderId="8" fillId="0" fontId="21" numFmtId="0" xfId="0" applyBorder="1" applyFont="1"/>
    <xf borderId="0" fillId="0" fontId="22" numFmtId="0" xfId="0" applyAlignment="1" applyFont="1">
      <alignment horizontal="center" readingOrder="0"/>
    </xf>
    <xf borderId="1" fillId="0" fontId="43" numFmtId="165" xfId="0" applyAlignment="1" applyBorder="1" applyFont="1" applyNumberFormat="1">
      <alignment horizontal="center" readingOrder="0"/>
    </xf>
    <xf borderId="23" fillId="0" fontId="43" numFmtId="165" xfId="0" applyAlignment="1" applyBorder="1" applyFont="1" applyNumberFormat="1">
      <alignment horizontal="center" readingOrder="0"/>
    </xf>
    <xf borderId="7" fillId="0" fontId="43" numFmtId="165" xfId="0" applyAlignment="1" applyBorder="1" applyFont="1" applyNumberFormat="1">
      <alignment horizontal="center" readingOrder="0"/>
    </xf>
    <xf borderId="0" fillId="0" fontId="43" numFmtId="167" xfId="0" applyAlignment="1" applyFont="1" applyNumberFormat="1">
      <alignment horizontal="center" readingOrder="0"/>
    </xf>
    <xf borderId="0" fillId="0" fontId="22" numFmtId="168" xfId="0" applyAlignment="1" applyFont="1" applyNumberFormat="1">
      <alignment readingOrder="0"/>
    </xf>
    <xf borderId="0" fillId="0" fontId="22" numFmtId="0" xfId="0" applyAlignment="1" applyFont="1">
      <alignment horizontal="center"/>
    </xf>
    <xf borderId="0" fillId="0" fontId="1" numFmtId="10" xfId="0" applyFont="1" applyNumberFormat="1"/>
    <xf borderId="1" fillId="0" fontId="23" numFmtId="0" xfId="0" applyAlignment="1" applyBorder="1" applyFont="1">
      <alignment horizontal="center" readingOrder="0"/>
    </xf>
    <xf borderId="0" fillId="0" fontId="19" numFmtId="164" xfId="0" applyFont="1" applyNumberFormat="1"/>
    <xf borderId="0" fillId="0" fontId="25" numFmtId="164" xfId="0" applyAlignment="1" applyFont="1" applyNumberFormat="1">
      <alignment readingOrder="0"/>
    </xf>
    <xf borderId="1" fillId="0" fontId="23" numFmtId="164" xfId="0" applyAlignment="1" applyBorder="1" applyFont="1" applyNumberFormat="1">
      <alignment horizontal="center" readingOrder="0"/>
    </xf>
    <xf borderId="0" fillId="0" fontId="23" numFmtId="0" xfId="0" applyFont="1"/>
    <xf borderId="0" fillId="0" fontId="19" numFmtId="0" xfId="0" applyFont="1"/>
    <xf borderId="24" fillId="0" fontId="1" numFmtId="0" xfId="0" applyBorder="1" applyFont="1"/>
    <xf borderId="24" fillId="0" fontId="1" numFmtId="0" xfId="0" applyAlignment="1" applyBorder="1" applyFont="1">
      <alignment readingOrder="0"/>
    </xf>
    <xf borderId="24" fillId="0" fontId="1" numFmtId="0" xfId="0" applyAlignment="1" applyBorder="1" applyFont="1">
      <alignment horizontal="center" readingOrder="0"/>
    </xf>
    <xf borderId="0" fillId="0" fontId="1" numFmtId="0" xfId="0" applyAlignment="1" applyFont="1">
      <alignment horizontal="right" readingOrder="0"/>
    </xf>
    <xf borderId="24" fillId="0" fontId="1" numFmtId="10" xfId="0" applyBorder="1" applyFont="1" applyNumberFormat="1"/>
    <xf borderId="0" fillId="0" fontId="1" numFmtId="49" xfId="0" applyAlignment="1" applyFont="1" applyNumberFormat="1">
      <alignment horizontal="right" readingOrder="0"/>
    </xf>
    <xf borderId="24" fillId="0" fontId="1" numFmtId="0" xfId="0" applyAlignment="1" applyBorder="1" applyFont="1">
      <alignment horizontal="right" readingOrder="0"/>
    </xf>
    <xf borderId="0" fillId="0" fontId="1" numFmtId="0" xfId="0" applyAlignment="1" applyFont="1">
      <alignment horizontal="right" readingOrder="0"/>
    </xf>
    <xf borderId="0" fillId="0" fontId="1" numFmtId="10" xfId="0" applyAlignment="1" applyFont="1" applyNumberFormat="1">
      <alignment horizontal="right" readingOrder="0"/>
    </xf>
    <xf borderId="24" fillId="0" fontId="1" numFmtId="10" xfId="0" applyAlignment="1" applyBorder="1" applyFont="1" applyNumberFormat="1">
      <alignment horizontal="right" readingOrder="0"/>
    </xf>
    <xf borderId="0" fillId="0" fontId="1" numFmtId="164" xfId="0" applyAlignment="1" applyFont="1" applyNumberFormat="1">
      <alignment horizontal="right" readingOrder="0"/>
    </xf>
    <xf borderId="24" fillId="0" fontId="1" numFmtId="164" xfId="0" applyAlignment="1" applyBorder="1" applyFont="1" applyNumberFormat="1">
      <alignment readingOrder="0"/>
    </xf>
    <xf borderId="24" fillId="0" fontId="1" numFmtId="164" xfId="0" applyBorder="1" applyFont="1" applyNumberFormat="1"/>
    <xf borderId="24" fillId="0" fontId="1" numFmtId="10" xfId="0" applyAlignment="1" applyBorder="1" applyFont="1" applyNumberFormat="1">
      <alignment readingOrder="0"/>
    </xf>
    <xf borderId="24" fillId="0" fontId="1" numFmtId="165" xfId="0" applyAlignment="1" applyBorder="1" applyFont="1" applyNumberFormat="1">
      <alignment readingOrder="0"/>
    </xf>
    <xf borderId="0" fillId="0" fontId="1" numFmtId="165" xfId="0" applyAlignment="1" applyFont="1" applyNumberFormat="1">
      <alignment horizontal="right" readingOrder="0"/>
    </xf>
    <xf borderId="0" fillId="0" fontId="1" numFmtId="165" xfId="0" applyAlignment="1" applyFont="1" applyNumberFormat="1">
      <alignment readingOrder="0"/>
    </xf>
    <xf borderId="0" fillId="0" fontId="1" numFmtId="0" xfId="0" applyAlignment="1" applyFont="1">
      <alignment readingOrder="0"/>
    </xf>
    <xf borderId="0" fillId="0" fontId="1" numFmtId="169" xfId="0" applyAlignment="1" applyFont="1" applyNumberFormat="1">
      <alignment readingOrder="0"/>
    </xf>
    <xf borderId="25" fillId="0" fontId="1" numFmtId="0" xfId="0" applyAlignment="1" applyBorder="1" applyFont="1">
      <alignment readingOrder="0"/>
    </xf>
    <xf borderId="25" fillId="0" fontId="1" numFmtId="0" xfId="0" applyBorder="1" applyFont="1"/>
    <xf borderId="2" fillId="0" fontId="1" numFmtId="0" xfId="0" applyAlignment="1" applyBorder="1" applyFont="1">
      <alignment readingOrder="0"/>
    </xf>
    <xf borderId="2" fillId="0" fontId="1" numFmtId="0" xfId="0" applyBorder="1" applyFont="1"/>
    <xf borderId="2" fillId="0" fontId="1" numFmtId="164" xfId="0" applyAlignment="1" applyBorder="1" applyFont="1" applyNumberFormat="1">
      <alignment readingOrder="0"/>
    </xf>
    <xf borderId="2" fillId="0" fontId="1" numFmtId="0" xfId="0" applyAlignment="1" applyBorder="1" applyFont="1">
      <alignment readingOrder="0"/>
    </xf>
    <xf borderId="26" fillId="0" fontId="44" numFmtId="0" xfId="0" applyAlignment="1" applyBorder="1" applyFont="1">
      <alignment readingOrder="0"/>
    </xf>
    <xf borderId="26" fillId="0" fontId="1" numFmtId="0" xfId="0" applyBorder="1" applyFont="1"/>
    <xf borderId="24" fillId="0" fontId="45" numFmtId="0" xfId="0" applyAlignment="1" applyBorder="1" applyFont="1">
      <alignment readingOrder="0"/>
    </xf>
    <xf borderId="2" fillId="0" fontId="1" numFmtId="164" xfId="0" applyBorder="1" applyFont="1" applyNumberFormat="1"/>
    <xf borderId="2" fillId="0" fontId="1" numFmtId="165" xfId="0" applyBorder="1" applyFont="1" applyNumberFormat="1"/>
    <xf borderId="27" fillId="45" fontId="46" numFmtId="164" xfId="0" applyAlignment="1" applyBorder="1" applyFill="1" applyFont="1" applyNumberFormat="1">
      <alignment horizontal="right" vertical="bottom"/>
    </xf>
    <xf borderId="2" fillId="0" fontId="1" numFmtId="165" xfId="0" applyAlignment="1" applyBorder="1" applyFont="1" applyNumberFormat="1">
      <alignment readingOrder="0"/>
    </xf>
    <xf borderId="26" fillId="0" fontId="1" numFmtId="164" xfId="0" applyAlignment="1" applyBorder="1" applyFont="1" applyNumberFormat="1">
      <alignment readingOrder="0"/>
    </xf>
    <xf borderId="0" fillId="0" fontId="1" numFmtId="10" xfId="0" applyFont="1" applyNumberFormat="1"/>
    <xf borderId="0" fillId="0" fontId="1" numFmtId="166" xfId="0" applyAlignment="1" applyFont="1" applyNumberFormat="1">
      <alignment readingOrder="0"/>
    </xf>
    <xf borderId="25" fillId="0" fontId="1" numFmtId="165" xfId="0" applyAlignment="1" applyBorder="1" applyFont="1" applyNumberFormat="1">
      <alignment readingOrder="0"/>
    </xf>
    <xf borderId="2" fillId="0" fontId="47" numFmtId="0" xfId="0" applyAlignment="1" applyBorder="1" applyFont="1">
      <alignment readingOrder="0"/>
    </xf>
    <xf borderId="0" fillId="0" fontId="1" numFmtId="170" xfId="0" applyAlignment="1" applyFont="1" applyNumberFormat="1">
      <alignment readingOrder="0"/>
    </xf>
    <xf borderId="24" fillId="0" fontId="1" numFmtId="49" xfId="0" applyAlignment="1" applyBorder="1" applyFont="1" applyNumberFormat="1">
      <alignment horizontal="right" readingOrder="0"/>
    </xf>
    <xf borderId="0" fillId="5" fontId="48" numFmtId="164" xfId="0" applyAlignment="1" applyFont="1" applyNumberFormat="1">
      <alignment readingOrder="0"/>
    </xf>
    <xf borderId="0" fillId="0" fontId="1" numFmtId="165" xfId="0" applyFont="1" applyNumberFormat="1"/>
    <xf borderId="0" fillId="0" fontId="1" numFmtId="164" xfId="0" applyFont="1" applyNumberFormat="1"/>
    <xf borderId="0" fillId="0" fontId="1" numFmtId="167" xfId="0" applyFont="1" applyNumberFormat="1"/>
    <xf borderId="0" fillId="0" fontId="1" numFmtId="171" xfId="0" applyFont="1" applyNumberFormat="1"/>
    <xf borderId="0" fillId="0" fontId="1" numFmtId="49" xfId="0" applyFont="1" applyNumberFormat="1"/>
    <xf borderId="0" fillId="0" fontId="1" numFmtId="172" xfId="0" applyFont="1" applyNumberFormat="1"/>
    <xf borderId="0" fillId="0" fontId="1" numFmtId="164" xfId="0" applyAlignment="1" applyFont="1" applyNumberFormat="1">
      <alignment readingOrder="0"/>
    </xf>
    <xf borderId="1" fillId="0" fontId="49" numFmtId="165" xfId="0" applyAlignment="1" applyBorder="1" applyFont="1" applyNumberFormat="1">
      <alignment readingOrder="0" shrinkToFit="0" vertical="bottom" wrapText="0"/>
    </xf>
    <xf borderId="24" fillId="0" fontId="1" numFmtId="0" xfId="0" applyAlignment="1" applyBorder="1" applyFont="1">
      <alignment horizontal="left" readingOrder="0"/>
    </xf>
    <xf borderId="24" fillId="5" fontId="3" numFmtId="0" xfId="0" applyAlignment="1" applyBorder="1" applyFont="1">
      <alignment vertical="bottom"/>
    </xf>
    <xf borderId="24" fillId="5" fontId="3" numFmtId="10" xfId="0" applyAlignment="1" applyBorder="1" applyFont="1" applyNumberFormat="1">
      <alignment horizontal="right" vertical="bottom"/>
    </xf>
    <xf borderId="24" fillId="5" fontId="3" numFmtId="10" xfId="0" applyAlignment="1" applyBorder="1" applyFont="1" applyNumberFormat="1">
      <alignment vertical="bottom"/>
    </xf>
    <xf borderId="24" fillId="2" fontId="3" numFmtId="0" xfId="0" applyAlignment="1" applyBorder="1" applyFont="1">
      <alignment vertical="bottom"/>
    </xf>
    <xf borderId="24" fillId="2" fontId="3" numFmtId="49" xfId="0" applyAlignment="1" applyBorder="1" applyFont="1" applyNumberFormat="1">
      <alignment horizontal="right" vertical="bottom"/>
    </xf>
    <xf borderId="24" fillId="2" fontId="3" numFmtId="10" xfId="0" applyAlignment="1" applyBorder="1" applyFont="1" applyNumberFormat="1">
      <alignment horizontal="right" vertical="bottom"/>
    </xf>
    <xf borderId="24" fillId="2" fontId="3" numFmtId="0" xfId="0" applyAlignment="1" applyBorder="1" applyFont="1">
      <alignment horizontal="left" vertical="bottom"/>
    </xf>
    <xf borderId="24" fillId="2" fontId="3" numFmtId="10" xfId="0" applyAlignment="1" applyBorder="1" applyFont="1" applyNumberFormat="1">
      <alignment horizontal="right" readingOrder="0" vertical="bottom"/>
    </xf>
    <xf borderId="28" fillId="0" fontId="1" numFmtId="0" xfId="0" applyBorder="1" applyFont="1"/>
    <xf borderId="0" fillId="0" fontId="1" numFmtId="9" xfId="0" applyAlignment="1" applyFont="1" applyNumberFormat="1">
      <alignment readingOrder="0"/>
    </xf>
    <xf borderId="24" fillId="0" fontId="1" numFmtId="0" xfId="0" applyAlignment="1" applyBorder="1" applyFont="1">
      <alignment horizontal="center"/>
    </xf>
    <xf borderId="24" fillId="0" fontId="1" numFmtId="0" xfId="0" applyBorder="1" applyFont="1"/>
    <xf borderId="24" fillId="0" fontId="1" numFmtId="2" xfId="0" applyBorder="1" applyFont="1" applyNumberFormat="1"/>
    <xf borderId="24" fillId="0" fontId="1" numFmtId="49" xfId="0" applyAlignment="1" applyBorder="1" applyFont="1" applyNumberFormat="1">
      <alignment horizontal="right"/>
    </xf>
    <xf borderId="0" fillId="0" fontId="1" numFmtId="49" xfId="0" applyFont="1" applyNumberFormat="1"/>
    <xf borderId="0" fillId="0" fontId="3" numFmtId="10" xfId="0" applyAlignment="1" applyFont="1" applyNumberFormat="1">
      <alignment vertical="bottom"/>
    </xf>
    <xf borderId="0" fillId="0" fontId="3" numFmtId="49" xfId="0" applyAlignment="1" applyFont="1" applyNumberFormat="1">
      <alignment vertical="bottom"/>
    </xf>
    <xf borderId="24" fillId="0" fontId="1" numFmtId="10" xfId="0" applyAlignment="1" applyBorder="1" applyFont="1" applyNumberFormat="1">
      <alignment horizontal="right"/>
    </xf>
    <xf borderId="0" fillId="0" fontId="1" numFmtId="164" xfId="0" applyFont="1" applyNumberFormat="1"/>
    <xf borderId="24" fillId="0" fontId="1" numFmtId="165" xfId="0" applyBorder="1" applyFont="1" applyNumberFormat="1"/>
    <xf borderId="0" fillId="0" fontId="1" numFmtId="165" xfId="0" applyFont="1" applyNumberFormat="1"/>
    <xf borderId="25" fillId="0" fontId="1" numFmtId="165" xfId="0" applyBorder="1" applyFont="1" applyNumberFormat="1"/>
    <xf borderId="28" fillId="0" fontId="1" numFmtId="0" xfId="0" applyAlignment="1" applyBorder="1" applyFont="1">
      <alignment readingOrder="0"/>
    </xf>
    <xf borderId="28" fillId="0" fontId="1" numFmtId="0" xfId="0" applyBorder="1" applyFont="1"/>
    <xf borderId="0" fillId="0" fontId="1" numFmtId="0" xfId="0" applyFont="1"/>
    <xf borderId="0" fillId="0" fontId="1" numFmtId="49" xfId="0" applyAlignment="1" applyFont="1" applyNumberFormat="1">
      <alignment readingOrder="0"/>
    </xf>
    <xf borderId="0" fillId="0" fontId="3" numFmtId="10" xfId="0" applyAlignment="1" applyFont="1" applyNumberFormat="1">
      <alignment vertical="bottom"/>
    </xf>
    <xf borderId="0" fillId="0" fontId="3" numFmtId="49" xfId="0" applyAlignment="1" applyFont="1" applyNumberFormat="1">
      <alignment vertical="bottom"/>
    </xf>
    <xf borderId="0" fillId="0" fontId="3" numFmtId="49" xfId="0" applyAlignment="1" applyFont="1" applyNumberFormat="1">
      <alignment readingOrder="0" vertical="bottom"/>
    </xf>
    <xf borderId="0" fillId="0" fontId="3" numFmtId="10" xfId="0" applyAlignment="1" applyFont="1" applyNumberFormat="1">
      <alignment readingOrder="0" vertical="bottom"/>
    </xf>
    <xf borderId="0" fillId="0" fontId="1" numFmtId="10" xfId="0" applyAlignment="1" applyFont="1" applyNumberFormat="1">
      <alignment readingOrder="0"/>
    </xf>
    <xf borderId="25" fillId="0" fontId="3" numFmtId="0" xfId="0" applyAlignment="1" applyBorder="1" applyFont="1">
      <alignment vertical="bottom"/>
    </xf>
    <xf borderId="25" fillId="0" fontId="3" numFmtId="165" xfId="0" applyAlignment="1" applyBorder="1" applyFont="1" applyNumberFormat="1">
      <alignment horizontal="right" vertical="bottom"/>
    </xf>
    <xf borderId="0" fillId="0" fontId="3" numFmtId="165" xfId="0" applyAlignment="1" applyFont="1" applyNumberFormat="1">
      <alignment vertical="bottom"/>
    </xf>
    <xf borderId="2" fillId="0" fontId="3" numFmtId="0" xfId="0" applyAlignment="1" applyBorder="1" applyFont="1">
      <alignment vertical="bottom"/>
    </xf>
    <xf borderId="0" fillId="0" fontId="3" numFmtId="165" xfId="0" applyAlignment="1" applyFont="1" applyNumberFormat="1">
      <alignment readingOrder="0" vertical="bottom"/>
    </xf>
    <xf borderId="24" fillId="2" fontId="3" numFmtId="49" xfId="0" applyAlignment="1" applyBorder="1" applyFont="1" applyNumberFormat="1">
      <alignment horizontal="right" readingOrder="0" vertical="bottom"/>
    </xf>
    <xf borderId="25" fillId="0" fontId="3" numFmtId="165" xfId="0" applyAlignment="1" applyBorder="1" applyFont="1" applyNumberFormat="1">
      <alignment horizontal="right" readingOrder="0" vertical="bottom"/>
    </xf>
    <xf borderId="25" fillId="0" fontId="1" numFmtId="164" xfId="0" applyAlignment="1" applyBorder="1" applyFont="1" applyNumberFormat="1">
      <alignment readingOrder="0"/>
    </xf>
    <xf borderId="6" fillId="0" fontId="1" numFmtId="0" xfId="0" applyAlignment="1" applyBorder="1" applyFont="1">
      <alignment horizontal="center" readingOrder="0"/>
    </xf>
    <xf borderId="0" fillId="0" fontId="50" numFmtId="0" xfId="0" applyAlignment="1" applyFont="1">
      <alignment readingOrder="0" shrinkToFit="0" vertical="bottom" wrapText="0"/>
    </xf>
    <xf borderId="0" fillId="0" fontId="50" numFmtId="173" xfId="0" applyAlignment="1" applyFont="1" applyNumberFormat="1">
      <alignment readingOrder="0" shrinkToFit="0" vertical="bottom" wrapText="0"/>
    </xf>
    <xf borderId="0" fillId="0" fontId="50" numFmtId="173" xfId="0" applyAlignment="1" applyFont="1" applyNumberFormat="1">
      <alignment shrinkToFit="0" vertical="bottom" wrapText="0"/>
    </xf>
    <xf borderId="0" fillId="0" fontId="50" numFmtId="0" xfId="0" applyAlignment="1" applyFont="1">
      <alignment shrinkToFit="0" vertical="bottom" wrapText="0"/>
    </xf>
  </cellXfs>
  <cellStyles count="1">
    <cellStyle xfId="0" name="Normal" builtinId="0"/>
  </cellStyles>
  <dxfs count="8">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274E13"/>
          <bgColor rgb="FF274E13"/>
        </patternFill>
      </fill>
      <border/>
    </dxf>
    <dxf>
      <font/>
      <fill>
        <patternFill patternType="solid">
          <fgColor rgb="FFBDBDBD"/>
          <bgColor rgb="FFBDBDBD"/>
        </patternFill>
      </fill>
      <border/>
    </dxf>
    <dxf>
      <font/>
      <fill>
        <patternFill patternType="solid">
          <fgColor rgb="FFF3F3F3"/>
          <bgColor rgb="FFF3F3F3"/>
        </patternFill>
      </fill>
      <border/>
    </dxf>
    <dxf>
      <font>
        <color rgb="FFFF0000"/>
      </font>
      <fill>
        <patternFill patternType="none"/>
      </fill>
      <border/>
    </dxf>
  </dxfs>
  <tableStyles count="27">
    <tableStyle count="3" pivot="0" name="ログイン情報-style">
      <tableStyleElement dxfId="1" type="headerRow"/>
      <tableStyleElement dxfId="2" type="firstRowStripe"/>
      <tableStyleElement dxfId="3" type="secondRowStripe"/>
    </tableStyle>
    <tableStyle count="3" pivot="0" name="営業データ-style">
      <tableStyleElement dxfId="4" type="headerRow"/>
      <tableStyleElement dxfId="2" type="firstRowStripe"/>
      <tableStyleElement dxfId="3" type="secondRowStripe"/>
    </tableStyle>
    <tableStyle count="3" pivot="0" name="営業データ-style 2">
      <tableStyleElement dxfId="1" type="headerRow"/>
      <tableStyleElement dxfId="2" type="firstRowStripe"/>
      <tableStyleElement dxfId="3" type="secondRowStripe"/>
    </tableStyle>
    <tableStyle count="3" pivot="0" name="シートまとめ-style">
      <tableStyleElement dxfId="5" type="headerRow"/>
      <tableStyleElement dxfId="2" type="firstRowStripe"/>
      <tableStyleElement dxfId="6" type="secondRowStripe"/>
    </tableStyle>
    <tableStyle count="3" pivot="0" name="2026年1月収益-style">
      <tableStyleElement dxfId="5" type="headerRow"/>
      <tableStyleElement dxfId="2" type="firstRowStripe"/>
      <tableStyleElement dxfId="6" type="secondRowStripe"/>
    </tableStyle>
    <tableStyle count="3" pivot="0" name="2025年12月収益-style">
      <tableStyleElement dxfId="5" type="headerRow"/>
      <tableStyleElement dxfId="2" type="firstRowStripe"/>
      <tableStyleElement dxfId="6" type="secondRowStripe"/>
    </tableStyle>
    <tableStyle count="3" pivot="0" name="2025年11月収益-style">
      <tableStyleElement dxfId="5" type="headerRow"/>
      <tableStyleElement dxfId="2" type="firstRowStripe"/>
      <tableStyleElement dxfId="6" type="secondRowStripe"/>
    </tableStyle>
    <tableStyle count="3" pivot="0" name="2025年10月収益-style">
      <tableStyleElement dxfId="5" type="headerRow"/>
      <tableStyleElement dxfId="2" type="firstRowStripe"/>
      <tableStyleElement dxfId="6" type="secondRowStripe"/>
    </tableStyle>
    <tableStyle count="3" pivot="0" name="2025年9月収益-style">
      <tableStyleElement dxfId="5" type="headerRow"/>
      <tableStyleElement dxfId="2" type="firstRowStripe"/>
      <tableStyleElement dxfId="6" type="secondRowStripe"/>
    </tableStyle>
    <tableStyle count="3" pivot="0" name="2025年9月収益D-style">
      <tableStyleElement dxfId="5" type="headerRow"/>
      <tableStyleElement dxfId="2" type="firstRowStripe"/>
      <tableStyleElement dxfId="6" type="secondRowStripe"/>
    </tableStyle>
    <tableStyle count="3" pivot="0" name="2025年8月収益-style">
      <tableStyleElement dxfId="5" type="headerRow"/>
      <tableStyleElement dxfId="2" type="firstRowStripe"/>
      <tableStyleElement dxfId="6" type="secondRowStripe"/>
    </tableStyle>
    <tableStyle count="3" pivot="0" name="2025年8月収益D-style">
      <tableStyleElement dxfId="5" type="headerRow"/>
      <tableStyleElement dxfId="2" type="firstRowStripe"/>
      <tableStyleElement dxfId="6" type="secondRowStripe"/>
    </tableStyle>
    <tableStyle count="3" pivot="0" name="2025年7月収益-style">
      <tableStyleElement dxfId="5" type="headerRow"/>
      <tableStyleElement dxfId="2" type="firstRowStripe"/>
      <tableStyleElement dxfId="6" type="secondRowStripe"/>
    </tableStyle>
    <tableStyle count="3" pivot="0" name="2025年7月収益D-style">
      <tableStyleElement dxfId="5" type="headerRow"/>
      <tableStyleElement dxfId="2" type="firstRowStripe"/>
      <tableStyleElement dxfId="6" type="secondRowStripe"/>
    </tableStyle>
    <tableStyle count="3" pivot="0" name="2025年6月収益-style">
      <tableStyleElement dxfId="5" type="headerRow"/>
      <tableStyleElement dxfId="2" type="firstRowStripe"/>
      <tableStyleElement dxfId="6" type="secondRowStripe"/>
    </tableStyle>
    <tableStyle count="3" pivot="0" name="2025年5月収益-style">
      <tableStyleElement dxfId="5" type="headerRow"/>
      <tableStyleElement dxfId="2" type="firstRowStripe"/>
      <tableStyleElement dxfId="6" type="secondRowStripe"/>
    </tableStyle>
    <tableStyle count="3" pivot="0" name="2025年4月収益-style">
      <tableStyleElement dxfId="5" type="headerRow"/>
      <tableStyleElement dxfId="2" type="firstRowStripe"/>
      <tableStyleElement dxfId="6" type="secondRowStripe"/>
    </tableStyle>
    <tableStyle count="3" pivot="0" name="2025年3月収益-style">
      <tableStyleElement dxfId="5" type="headerRow"/>
      <tableStyleElement dxfId="2" type="firstRowStripe"/>
      <tableStyleElement dxfId="6" type="secondRowStripe"/>
    </tableStyle>
    <tableStyle count="3" pivot="0" name="2025年2月収益-style">
      <tableStyleElement dxfId="5" type="headerRow"/>
      <tableStyleElement dxfId="2" type="firstRowStripe"/>
      <tableStyleElement dxfId="6" type="secondRowStripe"/>
    </tableStyle>
    <tableStyle count="3" pivot="0" name="2025年1月収益-style">
      <tableStyleElement dxfId="5" type="headerRow"/>
      <tableStyleElement dxfId="2" type="firstRowStripe"/>
      <tableStyleElement dxfId="6" type="secondRowStripe"/>
    </tableStyle>
    <tableStyle count="3" pivot="0" name="2024年12月収益-style">
      <tableStyleElement dxfId="5" type="headerRow"/>
      <tableStyleElement dxfId="2" type="firstRowStripe"/>
      <tableStyleElement dxfId="6" type="secondRowStripe"/>
    </tableStyle>
    <tableStyle count="3" pivot="0" name="2024年12月収益-style 2">
      <tableStyleElement dxfId="5" type="headerRow"/>
      <tableStyleElement dxfId="2" type="firstRowStripe"/>
      <tableStyleElement dxfId="6" type="secondRowStripe"/>
    </tableStyle>
    <tableStyle count="3" pivot="0" name="2024年11月収益-style">
      <tableStyleElement dxfId="5" type="headerRow"/>
      <tableStyleElement dxfId="2" type="firstRowStripe"/>
      <tableStyleElement dxfId="6" type="secondRowStripe"/>
    </tableStyle>
    <tableStyle count="3" pivot="0" name="2024年10月収益-style">
      <tableStyleElement dxfId="5" type="headerRow"/>
      <tableStyleElement dxfId="2" type="firstRowStripe"/>
      <tableStyleElement dxfId="6" type="secondRowStripe"/>
    </tableStyle>
    <tableStyle count="3" pivot="0" name="2024年9月収益-style">
      <tableStyleElement dxfId="5" type="headerRow"/>
      <tableStyleElement dxfId="2" type="firstRowStripe"/>
      <tableStyleElement dxfId="6" type="secondRowStripe"/>
    </tableStyle>
    <tableStyle count="3" pivot="0" name="2024年8月収益-style">
      <tableStyleElement dxfId="5" type="headerRow"/>
      <tableStyleElement dxfId="2" type="firstRowStripe"/>
      <tableStyleElement dxfId="6" type="secondRowStripe"/>
    </tableStyle>
    <tableStyle count="3" pivot="0" name="2024年7月収益-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 tt" id="{9f5cce6d-da61-4d70-9f90-64e6712e8050}" providerId="google-sheets"/>
</x18tc:personList>
</file>

<file path=xl/tables/table1.xml><?xml version="1.0" encoding="utf-8"?>
<table xmlns="http://schemas.openxmlformats.org/spreadsheetml/2006/main" headerRowCount="0" ref="B1:J20"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ログイン情報-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55:I78"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営業データ-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108:O132" displayName="Table_3" name="Table_3" id="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営業データ-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2:E129" displayName="Table_4" name="Table_4" id="4">
  <tableColumns count="4">
    <tableColumn name="Column1" id="1"/>
    <tableColumn name="Column2" id="2"/>
    <tableColumn name="Column3" id="3"/>
    <tableColumn name="Column4" id="4"/>
  </tableColumns>
  <tableStyleInfo name="シートまとめ-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1:H44"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2026年1月収益-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1:H44"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2025年12月収益-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B1:H44"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2025年11月収益-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1:I44"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年10月収益-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B1:G44" displayName="Table_9" name="Table_9" id="9">
  <tableColumns count="6">
    <tableColumn name="Column1" id="1"/>
    <tableColumn name="Column2" id="2"/>
    <tableColumn name="Column3" id="3"/>
    <tableColumn name="Column4" id="4"/>
    <tableColumn name="Column5" id="5"/>
    <tableColumn name="Column6" id="6"/>
  </tableColumns>
  <tableStyleInfo name="2025年9月収益-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B1:I44" displayName="Table_10" name="Table_10" id="10">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年9月収益D-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B1:J44"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025年8月収益-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1:G44" displayName="Table_12" name="Table_12" id="12">
  <tableColumns count="6">
    <tableColumn name="Column1" id="1"/>
    <tableColumn name="Column2" id="2"/>
    <tableColumn name="Column3" id="3"/>
    <tableColumn name="Column4" id="4"/>
    <tableColumn name="Column5" id="5"/>
    <tableColumn name="Column6" id="6"/>
  </tableColumns>
  <tableStyleInfo name="2025年8月収益D-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B1:G44" displayName="Table_13" name="Table_13" id="13">
  <tableColumns count="6">
    <tableColumn name="Column1" id="1"/>
    <tableColumn name="Column2" id="2"/>
    <tableColumn name="Column3" id="3"/>
    <tableColumn name="Column4" id="4"/>
    <tableColumn name="Column5" id="5"/>
    <tableColumn name="Column6" id="6"/>
  </tableColumns>
  <tableStyleInfo name="2025年7月収益-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B1:G44" displayName="Table_14" name="Table_14" id="14">
  <tableColumns count="6">
    <tableColumn name="Column1" id="1"/>
    <tableColumn name="Column2" id="2"/>
    <tableColumn name="Column3" id="3"/>
    <tableColumn name="Column4" id="4"/>
    <tableColumn name="Column5" id="5"/>
    <tableColumn name="Column6" id="6"/>
  </tableColumns>
  <tableStyleInfo name="2025年7月収益D-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B1:F44" displayName="Table_15" name="Table_15" id="15">
  <tableColumns count="5">
    <tableColumn name="Column1" id="1"/>
    <tableColumn name="Column2" id="2"/>
    <tableColumn name="Column3" id="3"/>
    <tableColumn name="Column4" id="4"/>
    <tableColumn name="Column5" id="5"/>
  </tableColumns>
  <tableStyleInfo name="2025年6月収益-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B1:F44" displayName="Table_16" name="Table_16" id="16">
  <tableColumns count="5">
    <tableColumn name="Column1" id="1"/>
    <tableColumn name="Column2" id="2"/>
    <tableColumn name="Column3" id="3"/>
    <tableColumn name="Column4" id="4"/>
    <tableColumn name="Column5" id="5"/>
  </tableColumns>
  <tableStyleInfo name="2025年5月収益-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B1:F44" displayName="Table_17" name="Table_17" id="17">
  <tableColumns count="5">
    <tableColumn name="Column1" id="1"/>
    <tableColumn name="Column2" id="2"/>
    <tableColumn name="Column3" id="3"/>
    <tableColumn name="Column4" id="4"/>
    <tableColumn name="Column5" id="5"/>
  </tableColumns>
  <tableStyleInfo name="2025年4月収益-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B1:G44" displayName="Table_18" name="Table_18" id="18">
  <tableColumns count="6">
    <tableColumn name="Column1" id="1"/>
    <tableColumn name="Column2" id="2"/>
    <tableColumn name="Column3" id="3"/>
    <tableColumn name="Column4" id="4"/>
    <tableColumn name="Column5" id="5"/>
    <tableColumn name="Column6" id="6"/>
  </tableColumns>
  <tableStyleInfo name="2025年3月収益-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B1:F42" displayName="Table_19" name="Table_19" id="19">
  <tableColumns count="5">
    <tableColumn name="Column1" id="1"/>
    <tableColumn name="Column2" id="2"/>
    <tableColumn name="Column3" id="3"/>
    <tableColumn name="Column4" id="4"/>
    <tableColumn name="Column5" id="5"/>
  </tableColumns>
  <tableStyleInfo name="2025年2月収益-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B1:F42" displayName="Table_20" name="Table_20" id="20">
  <tableColumns count="5">
    <tableColumn name="Column1" id="1"/>
    <tableColumn name="Column2" id="2"/>
    <tableColumn name="Column3" id="3"/>
    <tableColumn name="Column4" id="4"/>
    <tableColumn name="Column5" id="5"/>
  </tableColumns>
  <tableStyleInfo name="2025年1月収益-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B1:F1011" displayName="Table_21" name="Table_21" id="21">
  <tableColumns count="5">
    <tableColumn name="Column1" id="1"/>
    <tableColumn name="Column2" id="2"/>
    <tableColumn name="Column3" id="3"/>
    <tableColumn name="Column4" id="4"/>
    <tableColumn name="Column5" id="5"/>
  </tableColumns>
  <tableStyleInfo name="2024年12月収益-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H1:H42" displayName="Table_22" name="Table_22" id="22">
  <tableColumns count="1">
    <tableColumn name="Column1" id="1"/>
  </tableColumns>
  <tableStyleInfo name="2024年12月収益-style 2"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B1:F1011" displayName="Table_23" name="Table_23" id="23">
  <tableColumns count="5">
    <tableColumn name="Column1" id="1"/>
    <tableColumn name="Column2" id="2"/>
    <tableColumn name="Column3" id="3"/>
    <tableColumn name="Column4" id="4"/>
    <tableColumn name="Column5" id="5"/>
  </tableColumns>
  <tableStyleInfo name="2024年11月収益-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B1:F42" displayName="Table_24" name="Table_24" id="24">
  <tableColumns count="5">
    <tableColumn name="Column1" id="1"/>
    <tableColumn name="Column2" id="2"/>
    <tableColumn name="Column3" id="3"/>
    <tableColumn name="Column4" id="4"/>
    <tableColumn name="Column5" id="5"/>
  </tableColumns>
  <tableStyleInfo name="2024年10月収益-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B1:F1011" displayName="Table_25" name="Table_25" id="25">
  <tableColumns count="5">
    <tableColumn name="Column1" id="1"/>
    <tableColumn name="Column2" id="2"/>
    <tableColumn name="Column3" id="3"/>
    <tableColumn name="Column4" id="4"/>
    <tableColumn name="Column5" id="5"/>
  </tableColumns>
  <tableStyleInfo name="2024年9月収益-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B1:F42" displayName="Table_26" name="Table_26" id="26">
  <tableColumns count="5">
    <tableColumn name="Column1" id="1"/>
    <tableColumn name="Column2" id="2"/>
    <tableColumn name="Column3" id="3"/>
    <tableColumn name="Column4" id="4"/>
    <tableColumn name="Column5" id="5"/>
  </tableColumns>
  <tableStyleInfo name="2024年8月収益-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B1:F42" displayName="Table_27" name="Table_27" id="27">
  <tableColumns count="5">
    <tableColumn name="Column1" id="1"/>
    <tableColumn name="Column2" id="2"/>
    <tableColumn name="Column3" id="3"/>
    <tableColumn name="Column4" id="4"/>
    <tableColumn name="Column5" id="5"/>
  </tableColumns>
  <tableStyleInfo name="2024年7月収益-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K29" dT="2025-04-04T09:10:20.00" personId="{9f5cce6d-da61-4d70-9f90-64e6712e8050}" id="{47a0045c-8f0d-4c9a-b044-e7da82f307d0}" done="1">
    <x18tc:text xml:space="preserve">未支払い</x18tc:text>
  </x18tc:threadedComment>
  <x18tc:threadedComment ref="AN30" dT="2025-02-22T12:46:47.00" personId="{9f5cce6d-da61-4d70-9f90-64e6712e8050}" id="{56cc424d-8ee5-4e08-8d7d-467c17b09200}" done="1">
    <x18tc:text xml:space="preserve">未支払い</x18tc:text>
  </x18tc:threadedComment>
  <x18tc:threadedComment ref="AE30" dT="2025-04-17T15:24:46.00" personId="{9f5cce6d-da61-4d70-9f90-64e6712e8050}" id="{cd0a684e-ae99-4df7-ad98-f98fbdd51f08}" done="0">
    <x18tc:text xml:space="preserve">未支払い</x18tc:text>
  </x18tc:threadedComment>
  <x18tc:threadedComment ref="Y28" dT="2025-06-23T13:30:46.00" personId="{9f5cce6d-da61-4d70-9f90-64e6712e8050}" id="{35bbd6cd-c890-4298-89a0-837a8298ba8c}" done="1">
    <x18tc:text xml:space="preserve">未支払い</x18tc:text>
  </x18tc:threadedComment>
  <x18tc:threadedComment ref="AK30" dT="2025-04-17T15:26:25.00" personId="{9f5cce6d-da61-4d70-9f90-64e6712e8050}" id="{80db1bbb-02c4-410e-bca1-af8699db5e21}" done="0">
    <x18tc:text xml:space="preserve">未払い</x18tc:text>
  </x18tc:threadedComment>
  <x18tc:threadedComment ref="AK29" dT="2025-02-22T12:45:41.00" personId="{9f5cce6d-da61-4d70-9f90-64e6712e8050}" id="{9938beae-3166-4bca-a82d-0db4bd4e0918}" done="1">
    <x18tc:text xml:space="preserve">未支払い</x18tc:text>
  </x18tc:threadedComment>
  <x18tc:threadedComment ref="AE33" dT="2025-07-14T18:27:08.00" personId="{9f5cce6d-da61-4d70-9f90-64e6712e8050}" id="{4c5dd864-e9c6-488d-aa50-1e0cfb5fa729}" done="0">
    <x18tc:text xml:space="preserve">マリさんPESO円行ミスによる修正</x18tc:text>
  </x18tc:threadedComment>
  <x18tc:threadedComment ref="Y29" dT="2025-06-23T13:30:42.00" personId="{9f5cce6d-da61-4d70-9f90-64e6712e8050}" id="{baa1bd7c-366b-4468-89f1-202980f7b049}" done="1">
    <x18tc:text xml:space="preserve">未支払い</x18tc:text>
  </x18tc:threadedComment>
  <x18tc:threadedComment ref="AH30" dT="2025-04-17T15:26:13.00" personId="{9f5cce6d-da61-4d70-9f90-64e6712e8050}" id="{b799126d-60a0-4c76-ae3f-cd434e863bb4}" done="0">
    <x18tc:text xml:space="preserve">未払い</x18tc:text>
  </x18tc:threadedComment>
  <x18tc:threadedComment ref="AB30" dT="2025-06-23T13:30:22.00" personId="{9f5cce6d-da61-4d70-9f90-64e6712e8050}" id="{7c9ad1dc-fe8f-4d77-af53-2703541dd69c}" done="0">
    <x18tc:text xml:space="preserve">未支払い</x18tc:text>
  </x18tc:threadedComment>
  <x18tc:threadedComment ref="AK30" dT="2025-02-22T12:45:32.00" personId="{9f5cce6d-da61-4d70-9f90-64e6712e8050}" id="{1b69c464-fb5e-4094-840c-b67f6cc1a9e4}" done="1">
    <x18tc:text xml:space="preserve">未支払い</x18tc:text>
  </x18tc:threadedComment>
  <x18tc:threadedComment ref="AH29" dT="2025-03-21T10:07:15.00" personId="{9f5cce6d-da61-4d70-9f90-64e6712e8050}" id="{8ed5cd79-08c7-41db-8db4-6c28393dee4f}" done="1">
    <x18tc:text xml:space="preserve">未支払い</x18tc:text>
  </x18tc:threadedComment>
  <x18tc:threadedComment ref="AN30" dT="2025-04-17T15:26:36.00" personId="{9f5cce6d-da61-4d70-9f90-64e6712e8050}" id="{3696d15a-c431-4c40-bffd-c9e9c47313bd}" done="1">
    <x18tc:text xml:space="preserve">未払い</x18tc:text>
  </x18tc:threadedComment>
  <x18tc:threadedComment ref="Y30" dT="2025-06-23T13:30:34.00" personId="{9f5cce6d-da61-4d70-9f90-64e6712e8050}" id="{23b71c0d-1793-48e0-b868-c40c9e7ce161}" done="0">
    <x18tc:text xml:space="preserve">未支払い</x18tc:text>
  </x18tc:threadedComment>
  <x18tc:threadedComment ref="AQ30" dT="2025-04-25T06:15:05.00" personId="{9f5cce6d-da61-4d70-9f90-64e6712e8050}" id="{89acbe9c-79a1-4e9b-bd21-1a1c9016316b}" done="1">
    <x18tc:text xml:space="preserve">未清算</x18tc:text>
  </x18tc:threadedComment>
  <x18tc:threadedComment ref="AK29" dT="2025-04-17T15:28:41.00" personId="{9f5cce6d-da61-4d70-9f90-64e6712e8050}" id="{20cd58d4-2557-4da8-b511-c1408f1cafe6}" done="0">
    <x18tc:text xml:space="preserve">未払い</x18tc:text>
  </x18tc:threadedComment>
  <x18tc:threadedComment ref="AH30" dT="2025-03-21T10:07:20.00" personId="{9f5cce6d-da61-4d70-9f90-64e6712e8050}" id="{25e9b802-bca5-4ba3-be85-bf088304d90f}" done="1">
    <x18tc:text xml:space="preserve">未支払い</x18tc:text>
  </x18tc:threadedComment>
  <x18tc:threadedComment ref="V30" dT="2025-06-23T13:30:59.00" personId="{9f5cce6d-da61-4d70-9f90-64e6712e8050}" id="{0653a514-5fea-4d58-9ef6-22c57b92bf9b}" done="0">
    <x18tc:text xml:space="preserve">未支払い</x18tc:text>
  </x18tc:threadedComment>
  <x18tc:threadedComment ref="AH29" dT="2025-04-17T15:28:32.00" personId="{9f5cce6d-da61-4d70-9f90-64e6712e8050}" id="{45e79ad2-6648-4cc5-bb8b-28fb1b7f91bb}" done="0">
    <x18tc:text xml:space="preserve">未払い</x18tc:text>
  </x18tc:threadedComment>
  <x18tc:threadedComment ref="V29" dT="2025-06-23T13:30:55.00" personId="{9f5cce6d-da61-4d70-9f90-64e6712e8050}" id="{8477f6c6-2b67-49af-8b5a-1d02699e70d6}" done="1">
    <x18tc:text xml:space="preserve">未支払い</x18tc:text>
  </x18tc:threadedComment>
  <x18tc:threadedComment ref="V28" dT="2025-06-23T13:30:52.00" personId="{9f5cce6d-da61-4d70-9f90-64e6712e8050}" id="{215b50b7-00b7-488f-bf9e-fb76a7c99141}" done="1">
    <x18tc:text xml:space="preserve">未支払い</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9" dT="2026-01-05T12:18:42.00" personId="{9f5cce6d-da61-4d70-9f90-64e6712e8050}" id="{128a88be-9c1f-4328-8fc8-714100bf8aa7}" done="1">
    <x18tc:text xml:space="preserve">=211533+1918616.37</x18tc:text>
  </x18tc:threadedComment>
  <x18tc:threadedComment ref="C34" dT="2026-01-18T18:55:17.00" personId="{9f5cce6d-da61-4d70-9f90-64e6712e8050}" id="{a3f188fa-67cd-4350-8b87-992f82203662}" done="0">
    <x18tc:text xml:space="preserve">アフィリエイター+プロバイダー</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app.memberpay.jp/dashboard" TargetMode="External"/><Relationship Id="rId22" Type="http://schemas.openxmlformats.org/officeDocument/2006/relationships/hyperlink" Target="https://dashboard.stores.jp/report/?tab=remittance" TargetMode="External"/><Relationship Id="rId21" Type="http://schemas.openxmlformats.org/officeDocument/2006/relationships/hyperlink" Target="https://norikonoheya.memberpay.jp/" TargetMode="External"/><Relationship Id="rId24" Type="http://schemas.openxmlformats.org/officeDocument/2006/relationships/hyperlink" Target="https://dashboard.stores.app/" TargetMode="External"/><Relationship Id="rId23" Type="http://schemas.openxmlformats.org/officeDocument/2006/relationships/hyperlink" Target="https://ogawadesign.stores.jp/" TargetMode="External"/><Relationship Id="rId1" Type="http://schemas.openxmlformats.org/officeDocument/2006/relationships/hyperlink" Target="https://app.getmoneytree.com/app/trends/net-worth" TargetMode="External"/><Relationship Id="rId2" Type="http://schemas.openxmlformats.org/officeDocument/2006/relationships/hyperlink" Target="https://www.ldcloud.net/web/mobile/login" TargetMode="External"/><Relationship Id="rId3" Type="http://schemas.openxmlformats.org/officeDocument/2006/relationships/hyperlink" Target="https://peraichiapp.com/users/login/" TargetMode="External"/><Relationship Id="rId4" Type="http://schemas.openxmlformats.org/officeDocument/2006/relationships/hyperlink" Target="https://hljxe.hp.peraichi.com/" TargetMode="External"/><Relationship Id="rId9" Type="http://schemas.openxmlformats.org/officeDocument/2006/relationships/hyperlink" Target="https://peraichiapp.com/users/login/" TargetMode="External"/><Relationship Id="rId26" Type="http://schemas.openxmlformats.org/officeDocument/2006/relationships/hyperlink" Target="https://m.kuku.lu/" TargetMode="External"/><Relationship Id="rId25" Type="http://schemas.openxmlformats.org/officeDocument/2006/relationships/hyperlink" Target="https://hitomidesign.stores.jp/" TargetMode="External"/><Relationship Id="rId27" Type="http://schemas.openxmlformats.org/officeDocument/2006/relationships/drawing" Target="../drawings/drawing2.xml"/><Relationship Id="rId5" Type="http://schemas.openxmlformats.org/officeDocument/2006/relationships/hyperlink" Target="https://peraichiapp.com/users/login/" TargetMode="External"/><Relationship Id="rId6" Type="http://schemas.openxmlformats.org/officeDocument/2006/relationships/hyperlink" Target="https://h1x0y.hp.peraichi.com/" TargetMode="External"/><Relationship Id="rId29" Type="http://schemas.openxmlformats.org/officeDocument/2006/relationships/table" Target="../tables/table1.xml"/><Relationship Id="rId7" Type="http://schemas.openxmlformats.org/officeDocument/2006/relationships/hyperlink" Target="https://peraichiapp.com/users/login/" TargetMode="External"/><Relationship Id="rId8" Type="http://schemas.openxmlformats.org/officeDocument/2006/relationships/hyperlink" Target="https://bh7nd.hp.peraichi.com/" TargetMode="External"/><Relationship Id="rId11" Type="http://schemas.openxmlformats.org/officeDocument/2006/relationships/hyperlink" Target="https://peraichiapp.com/users/login/" TargetMode="External"/><Relationship Id="rId10" Type="http://schemas.openxmlformats.org/officeDocument/2006/relationships/hyperlink" Target="https://f4eqv.hp.peraichi.com/" TargetMode="External"/><Relationship Id="rId13" Type="http://schemas.openxmlformats.org/officeDocument/2006/relationships/hyperlink" Target="https://7phz6.hp.peraichi.com/" TargetMode="External"/><Relationship Id="rId12" Type="http://schemas.openxmlformats.org/officeDocument/2006/relationships/hyperlink" Target="https://peraichiapp.com/users/login/" TargetMode="External"/><Relationship Id="rId15" Type="http://schemas.openxmlformats.org/officeDocument/2006/relationships/hyperlink" Target="https://contentcorner.stores.jp/" TargetMode="External"/><Relationship Id="rId14" Type="http://schemas.openxmlformats.org/officeDocument/2006/relationships/hyperlink" Target="http://store.jp/" TargetMode="External"/><Relationship Id="rId17" Type="http://schemas.openxmlformats.org/officeDocument/2006/relationships/hyperlink" Target="https://aflitiger.stores.jp/" TargetMode="External"/><Relationship Id="rId16" Type="http://schemas.openxmlformats.org/officeDocument/2006/relationships/hyperlink" Target="https://dashboard.stores.jp/report/?tab=remittance" TargetMode="External"/><Relationship Id="rId19" Type="http://schemas.openxmlformats.org/officeDocument/2006/relationships/hyperlink" Target="https://norikonoheya.stores.jp" TargetMode="External"/><Relationship Id="rId18" Type="http://schemas.openxmlformats.org/officeDocument/2006/relationships/hyperlink" Target="http://store.j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spreadsheets/d/1knAB2V53UxVX9M1NaCB6kA_OqzzvsMRmb50X7JoP5sg/edit?gid=704804644" TargetMode="External"/><Relationship Id="rId42" Type="http://schemas.openxmlformats.org/officeDocument/2006/relationships/hyperlink" Target="https://docs.google.com/spreadsheets/d/1VUWR1tThTkUsED6h4jYnLAFO7gJvv9tn10R872CwhK8/edit?gid=1145697343" TargetMode="External"/><Relationship Id="rId41" Type="http://schemas.openxmlformats.org/officeDocument/2006/relationships/hyperlink" Target="https://docs.google.com/spreadsheets/d/1GDKSYxnT4c0yRL_JS-fuzkEwkxgSVWmAQabQW5sXuaU/edit?gid=1732137804" TargetMode="External"/><Relationship Id="rId44" Type="http://schemas.openxmlformats.org/officeDocument/2006/relationships/hyperlink" Target="https://docs.google.com/spreadsheets/d/1VvjVgZ258NB2UzIOdG2prPUY3Nsr5nHav4__ln1_q8U/edit?usp=sharing" TargetMode="External"/><Relationship Id="rId43" Type="http://schemas.openxmlformats.org/officeDocument/2006/relationships/hyperlink" Target="https://docs.google.com/spreadsheets/d/1A1d8a4jCWo7o1QhIjoUgH-4nwne3vabOmU8diE3Fdu8/edit?gid=1650759560" TargetMode="External"/><Relationship Id="rId46" Type="http://schemas.openxmlformats.org/officeDocument/2006/relationships/hyperlink" Target="https://docs.google.com/spreadsheets/d/1Rg9hAgqy4FOBN0F9yEZFADMdmQl9xpNeFM5Z5Z99VZY/edit?gid=0" TargetMode="External"/><Relationship Id="rId45" Type="http://schemas.openxmlformats.org/officeDocument/2006/relationships/hyperlink" Target="https://docs.google.com/spreadsheets/d/1ZlDZNXdv9Z8Eyakxql4v5xhXJ-UgNQ6DS515lF3Ve4I/edit?usp=sharing" TargetMode="External"/><Relationship Id="rId1" Type="http://schemas.openxmlformats.org/officeDocument/2006/relationships/hyperlink" Target="https://docs.google.com/spreadsheets/d/1T1trhXRLFLmvsw6NF2ctVVuwIVOBYo9gekGltVhcgf4/edit?gid=2089831337" TargetMode="External"/><Relationship Id="rId2" Type="http://schemas.openxmlformats.org/officeDocument/2006/relationships/hyperlink" Target="https://docs.google.com/spreadsheets/d/14XIjmVcs8qf6tS7n0A5FnYSYOV-msbbCaARCRnN4wc0/edit?gid=0" TargetMode="External"/><Relationship Id="rId3" Type="http://schemas.openxmlformats.org/officeDocument/2006/relationships/hyperlink" Target="https://docs.google.com/spreadsheets/d/19eD15JPI2SoHKLgnXs8hXbY1ZpP5huYLpI6fo8Mr8bk/edit?gid=441054899" TargetMode="External"/><Relationship Id="rId4" Type="http://schemas.openxmlformats.org/officeDocument/2006/relationships/hyperlink" Target="https://docs.google.com/spreadsheets/d/1t2YDL0W_FSrPAtUBku2Z8HGiTZPLv8M1UVfIaROZ8Vc/edit?usp=sharing" TargetMode="External"/><Relationship Id="rId9" Type="http://schemas.openxmlformats.org/officeDocument/2006/relationships/hyperlink" Target="https://docs.google.com/spreadsheets/d/1NzugtBxvrjbwprdJ3UJh-QfTIm61HxnySjCs2DhWXO0/edit?gid=1485379724" TargetMode="External"/><Relationship Id="rId48" Type="http://schemas.openxmlformats.org/officeDocument/2006/relationships/hyperlink" Target="https://docs.google.com/spreadsheets/d/1G9XLCqQPg-spKGJhMFKNHVI9M2mPNyccj9BJNg-8XN0/edit?gid=1388364056" TargetMode="External"/><Relationship Id="rId47" Type="http://schemas.openxmlformats.org/officeDocument/2006/relationships/hyperlink" Target="https://docs.google.com/spreadsheets/d/1JBTKhsX94elKRefCiHugurq7ZvyMoYZoBETqB62y2JM/edit?gid=0" TargetMode="External"/><Relationship Id="rId49" Type="http://schemas.openxmlformats.org/officeDocument/2006/relationships/hyperlink" Target="https://docs.google.com/spreadsheets/d/1u3fJuRwF0u4C04fdHqqjJ47A0bPy1JdtnH52FNlYFGU/edit?gid=0" TargetMode="External"/><Relationship Id="rId5" Type="http://schemas.openxmlformats.org/officeDocument/2006/relationships/hyperlink" Target="https://docs.google.com/spreadsheets/d/1DTUC32YJHSyBa8CTkg1se2r2AQ3xxkB4dVQorqRF3gM/edit?gid=0" TargetMode="External"/><Relationship Id="rId6" Type="http://schemas.openxmlformats.org/officeDocument/2006/relationships/hyperlink" Target="https://docs.google.com/spreadsheets/d/1IQ05Dc9TE4AMwJzFRQDEJSGFNYHLKOkxgx7Fz5DM9ck/edit?gid=0" TargetMode="External"/><Relationship Id="rId7" Type="http://schemas.openxmlformats.org/officeDocument/2006/relationships/hyperlink" Target="https://docs.google.com/spreadsheets/d/1-7D4xn7jPVWxK4Hv_jQ4ruRle9vkJvezFGDqi1GFnd4/edit?gid=0" TargetMode="External"/><Relationship Id="rId8" Type="http://schemas.openxmlformats.org/officeDocument/2006/relationships/hyperlink" Target="https://docs.google.com/spreadsheets/d/14TMKG3wMlr7bVuDirYrw4abQ53_H-KZVarVgfXdR5pc/edit?gid=1563093964" TargetMode="External"/><Relationship Id="rId31" Type="http://schemas.openxmlformats.org/officeDocument/2006/relationships/hyperlink" Target="https://docs.google.com/spreadsheets/d/1lOaRl54pl4wRVOvIhf1LCTPNHda5wroCvWyn69LNvvc/edit?gid=0" TargetMode="External"/><Relationship Id="rId30" Type="http://schemas.openxmlformats.org/officeDocument/2006/relationships/hyperlink" Target="https://docs.google.com/spreadsheets/d/1G5jFwlM3dch0PGoau7_0JE7mCKeDG1EAV91dPdnwIs4/edit?gid=965343278" TargetMode="External"/><Relationship Id="rId33" Type="http://schemas.openxmlformats.org/officeDocument/2006/relationships/hyperlink" Target="https://docs.google.com/spreadsheets/d/1WpJvatgKuVTKS5YIEhTU9Vgi7BA7iMWx5g9niYmy39Y/edit?gid=0" TargetMode="External"/><Relationship Id="rId32" Type="http://schemas.openxmlformats.org/officeDocument/2006/relationships/hyperlink" Target="https://docs.google.com/spreadsheets/d/1lOaRl54pl4wRVOvIhf1LCTPNHda5wroCvWyn69LNvvc/edit?gid=1145697343" TargetMode="External"/><Relationship Id="rId35" Type="http://schemas.openxmlformats.org/officeDocument/2006/relationships/hyperlink" Target="https://docs.google.com/spreadsheets/d/1VcXpGxVCx038wKjMbsraIWMYYjCtSqAkBRLyxtEH7B8/edit?gid=1369730177" TargetMode="External"/><Relationship Id="rId34" Type="http://schemas.openxmlformats.org/officeDocument/2006/relationships/hyperlink" Target="https://docs.google.com/spreadsheets/d/1ZuAC4KXT1-OKMIGsWUWp2SWGqzrLpReJHH5K674-_gI/edit?gid=0" TargetMode="External"/><Relationship Id="rId37" Type="http://schemas.openxmlformats.org/officeDocument/2006/relationships/hyperlink" Target="https://docs.google.com/spreadsheets/d/1hs7lDEWl3aqZCNELOHJ3W4x_fICLInX1n9Up--SMMKw/edit?gid=992341450" TargetMode="External"/><Relationship Id="rId36" Type="http://schemas.openxmlformats.org/officeDocument/2006/relationships/hyperlink" Target="https://docs.google.com/spreadsheets/d/1rIjVoas-Lzbw17abcKggB9y2Lg6BuRUY9J9vbYX3BTo/edit?gid=976302755" TargetMode="External"/><Relationship Id="rId39" Type="http://schemas.openxmlformats.org/officeDocument/2006/relationships/hyperlink" Target="https://docs.google.com/spreadsheets/d/1TIxxGKXBgnByCOe5utZbNnHSF9mtAnXqzehBwE_NaGc/edit?gid=1259461157" TargetMode="External"/><Relationship Id="rId38" Type="http://schemas.openxmlformats.org/officeDocument/2006/relationships/hyperlink" Target="https://docs.google.com/spreadsheets/d/1On-yzcYzVYX-SKOHMb-E87V8QJGjMyeJLAKoWRXg2Nk/edit?gid=1983021448" TargetMode="External"/><Relationship Id="rId20" Type="http://schemas.openxmlformats.org/officeDocument/2006/relationships/hyperlink" Target="https://docs.google.com/spreadsheets/d/1RU8MWWQqUe2qMkZwxm-pnHjLc1877wd4e299FV-zMfo/edit?usp=sharing" TargetMode="External"/><Relationship Id="rId22" Type="http://schemas.openxmlformats.org/officeDocument/2006/relationships/hyperlink" Target="https://docs.google.com/spreadsheets/d/1JSq5IYiP3uXDsXhbDw28lYGEaJA3kFpB-8FUPJNc0WQ/edit?usp=sharing" TargetMode="External"/><Relationship Id="rId21" Type="http://schemas.openxmlformats.org/officeDocument/2006/relationships/hyperlink" Target="https://docs.google.com/spreadsheets/d/1xQfQPXYrNd8-wxyQ1Mk4c3xS5qARAPgI9yiS0K4mVLA/edit?usp=sharing" TargetMode="External"/><Relationship Id="rId24" Type="http://schemas.openxmlformats.org/officeDocument/2006/relationships/hyperlink" Target="https://docs.google.com/spreadsheets/d/1DlPYyHqALEXjVrIS8-NLSJqVyq7TkU4qIvYkU9GiNGY/edit?gid=0" TargetMode="External"/><Relationship Id="rId23" Type="http://schemas.openxmlformats.org/officeDocument/2006/relationships/hyperlink" Target="https://docs.google.com/spreadsheets/d/18s0zwW8MkvgGIWswb_5sDcp8eF_jfpRoV17r3xX6NO0/edit?gid=0" TargetMode="External"/><Relationship Id="rId60" Type="http://schemas.openxmlformats.org/officeDocument/2006/relationships/table" Target="../tables/table4.xml"/><Relationship Id="rId26" Type="http://schemas.openxmlformats.org/officeDocument/2006/relationships/hyperlink" Target="https://docs.google.com/spreadsheets/d/1wQNVMmuj-a4xpp5BuA75uVJ7tQLnllAFiullap81ALE/edit?usp=sharing" TargetMode="External"/><Relationship Id="rId25" Type="http://schemas.openxmlformats.org/officeDocument/2006/relationships/hyperlink" Target="https://docs.google.com/spreadsheets/d/1p9ccg4xcnBW255bsb0SRlPfvuckiWZc3ag0YBAUdXrE/edit?gid=1680971485" TargetMode="External"/><Relationship Id="rId28" Type="http://schemas.openxmlformats.org/officeDocument/2006/relationships/hyperlink" Target="https://docs.google.com/spreadsheets/d/18Y7q33TB_4CauTQemGNnS2A-1KkpAZKblBsyaJA7LR8/edit?gid=0" TargetMode="External"/><Relationship Id="rId27" Type="http://schemas.openxmlformats.org/officeDocument/2006/relationships/hyperlink" Target="https://docs.google.com/spreadsheets/d/1ESPRy1HoY4ufwKaRQLpUCpjQmdqYgquR/edit?gid=2055936698" TargetMode="External"/><Relationship Id="rId29" Type="http://schemas.openxmlformats.org/officeDocument/2006/relationships/hyperlink" Target="https://docs.google.com/spreadsheets/d/1NNJBI9h3MmZTIL92g0kjdX9FDu1aiobcH1jc4o4OlFE/edit?gid=0" TargetMode="External"/><Relationship Id="rId51" Type="http://schemas.openxmlformats.org/officeDocument/2006/relationships/hyperlink" Target="https://docs.google.com/spreadsheets/d/1rIjVoas-Lzbw17abcKggB9y2Lg6BuRUY9J9vbYX3BTo/edit?gid=0" TargetMode="External"/><Relationship Id="rId50" Type="http://schemas.openxmlformats.org/officeDocument/2006/relationships/hyperlink" Target="https://docs.google.com/spreadsheets/d/1w7p_hnmOPH9H6W5schndBstJUCo6GAzctOXp2jl6v9g/edit?gid=790450177" TargetMode="External"/><Relationship Id="rId53" Type="http://schemas.openxmlformats.org/officeDocument/2006/relationships/hyperlink" Target="https://docs.google.com/spreadsheets/d/1Gyhs3_5MfzFDRg9sXSmq7y3joOcn_Mss40lhXBCL3CY/edit?gid=610707892" TargetMode="External"/><Relationship Id="rId52" Type="http://schemas.openxmlformats.org/officeDocument/2006/relationships/hyperlink" Target="https://docs.google.com/spreadsheets/d/11tNWvhbn5fFEZKz61AoHibmPT1DVSUEjMDmBzkejwvU/edit?gid=0" TargetMode="External"/><Relationship Id="rId11" Type="http://schemas.openxmlformats.org/officeDocument/2006/relationships/hyperlink" Target="https://docs.google.com/spreadsheets/d/1hs7lDEWl3aqZCNELOHJ3W4x_fICLInX1n9Up--SMMKw/edit?gid=992341450" TargetMode="External"/><Relationship Id="rId55" Type="http://schemas.openxmlformats.org/officeDocument/2006/relationships/hyperlink" Target="https://docs.google.com/spreadsheets/d/1arsroiMq9Zb6ILpjpg6D42dXVaUDZcSuoMitRNG9VCc/edit?gid=1786886565" TargetMode="External"/><Relationship Id="rId10" Type="http://schemas.openxmlformats.org/officeDocument/2006/relationships/hyperlink" Target="https://docs.google.com/spreadsheets/d/18x6IWuQJn1ECOgQSNubEgXz8Xj1z6J9FHAFuT_pHK4I/edit?gid=619570511" TargetMode="External"/><Relationship Id="rId54" Type="http://schemas.openxmlformats.org/officeDocument/2006/relationships/hyperlink" Target="https://docs.google.com/spreadsheets/d/1Ez9pr71moWqVJXx3qQg3AHgh0PU5gItbCeElPQwl3rI/edit?usp=sharing" TargetMode="External"/><Relationship Id="rId13" Type="http://schemas.openxmlformats.org/officeDocument/2006/relationships/hyperlink" Target="https://docs.google.com/spreadsheets/d/1MBNCLrFtp3uGvnqofQQR8vTd0o9xmYlSUaowMIKWNR8/edit?gid=0" TargetMode="External"/><Relationship Id="rId57" Type="http://schemas.openxmlformats.org/officeDocument/2006/relationships/hyperlink" Target="https://docs.google.com/spreadsheets/d/1fZMBNk5-kulRwASx2B9DPX82HYxD9_xsplXmQigsxSg/edit?usp=sharing" TargetMode="External"/><Relationship Id="rId12" Type="http://schemas.openxmlformats.org/officeDocument/2006/relationships/hyperlink" Target="https://docs.google.com/spreadsheets/d/1T1trhXRLFLmvsw6NF2ctVVuwIVOBYo9gekGltVhcgf4/edit?gid=1483108432" TargetMode="External"/><Relationship Id="rId56" Type="http://schemas.openxmlformats.org/officeDocument/2006/relationships/hyperlink" Target="https://docs.google.com/spreadsheets/d/1JjkwcfBiwWrKbDDPsfo8MeTL3Hs-cBXGLH2mDj5Q_R0/edit?usp=sharing" TargetMode="External"/><Relationship Id="rId15" Type="http://schemas.openxmlformats.org/officeDocument/2006/relationships/hyperlink" Target="https://docs.google.com/spreadsheets/d/11QmPanSRxykbUTB_EqX7W510tAZnhZpBpW7QiSnxobM/edit?gid=941121920" TargetMode="External"/><Relationship Id="rId14" Type="http://schemas.openxmlformats.org/officeDocument/2006/relationships/hyperlink" Target="https://docs.google.com/spreadsheets/d/1Bfp5d90nEOnjHAR976CVxYHcpxX_J0anxI2w8OTJnsU/edit?gid=0" TargetMode="External"/><Relationship Id="rId58" Type="http://schemas.openxmlformats.org/officeDocument/2006/relationships/drawing" Target="../drawings/drawing4.xml"/><Relationship Id="rId17" Type="http://schemas.openxmlformats.org/officeDocument/2006/relationships/hyperlink" Target="https://docs.google.com/document/d/18wThd2o5n6_G_G2thy-dTQUKm_0mT8hxHEpKluOo-m0/edit?tab=t.0" TargetMode="External"/><Relationship Id="rId16" Type="http://schemas.openxmlformats.org/officeDocument/2006/relationships/hyperlink" Target="https://docs.google.com/spreadsheets/d/12d14wcOMXJQGiE1SgOrroORQ6MNdgPTZ1Qx2EneljKA/edit?gid=1564874204" TargetMode="External"/><Relationship Id="rId19" Type="http://schemas.openxmlformats.org/officeDocument/2006/relationships/hyperlink" Target="https://docs.google.com/spreadsheets/d/1EYW0axbvIM3_qW8F6fKNkPg29oWP2Ac4a0IadqE3zzI/edit?gid=0" TargetMode="External"/><Relationship Id="rId18" Type="http://schemas.openxmlformats.org/officeDocument/2006/relationships/hyperlink" Target="https://docs.google.com/spreadsheets/d/1vYc4iTJ16E7R6SUnGhwdB4aOJULuweZOJUwnvK3B2Ug/edit?pli=1&amp;gid=69945731"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SNrQs1oiYtSIRoAQ6-0wGW92vkxfJIr34Fp44cxHgRg/edit?usp=sharing" TargetMode="External"/><Relationship Id="rId2" Type="http://schemas.openxmlformats.org/officeDocument/2006/relationships/hyperlink" Target="https://docs.google.com/spreadsheets/d/1t2YDL0W_FSrPAtUBku2Z8HGiTZPLv8M1UVfIaROZ8Vc/edit?usp=sharing" TargetMode="External"/><Relationship Id="rId3" Type="http://schemas.openxmlformats.org/officeDocument/2006/relationships/hyperlink" Target="https://docs.google.com/spreadsheets/d/19eD15JPI2SoHKLgnXs8hXbY1ZpP5huYLpI6fo8Mr8bk/edit?gid=441054899" TargetMode="External"/><Relationship Id="rId4" Type="http://schemas.openxmlformats.org/officeDocument/2006/relationships/hyperlink" Target="https://docs.google.com/spreadsheets/d/14XIjmVcs8qf6tS7n0A5FnYSYOV-msbbCaARCRnN4wc0/edit?gid=0" TargetMode="External"/><Relationship Id="rId5" Type="http://schemas.openxmlformats.org/officeDocument/2006/relationships/hyperlink" Target="https://docs.google.com/spreadsheets/d/1T1trhXRLFLmvsw6NF2ctVVuwIVOBYo9gekGltVhcgf4/edit?gid=2089831337" TargetMode="External"/><Relationship Id="rId6" Type="http://schemas.openxmlformats.org/officeDocument/2006/relationships/drawing" Target="../drawings/drawing6.xml"/><Relationship Id="rId8"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7D4xn7jPVWxK4Hv_jQ4ruRle9vkJvezFGDqi1GFnd4/edit?gid=0" TargetMode="External"/><Relationship Id="rId9" Type="http://schemas.openxmlformats.org/officeDocument/2006/relationships/drawing" Target="../drawings/drawing7.xml"/><Relationship Id="rId5" Type="http://schemas.openxmlformats.org/officeDocument/2006/relationships/hyperlink" Target="https://docs.google.com/spreadsheets/d/1t2YDL0W_FSrPAtUBku2Z8HGiTZPLv8M1UVfIaROZ8Vc/edit?usp=sharing" TargetMode="External"/><Relationship Id="rId6" Type="http://schemas.openxmlformats.org/officeDocument/2006/relationships/hyperlink" Target="https://docs.google.com/spreadsheets/d/19eD15JPI2SoHKLgnXs8hXbY1ZpP5huYLpI6fo8Mr8bk/edit?gid=441054899" TargetMode="External"/><Relationship Id="rId7" Type="http://schemas.openxmlformats.org/officeDocument/2006/relationships/hyperlink" Target="https://docs.google.com/spreadsheets/d/14XIjmVcs8qf6tS7n0A5FnYSYOV-msbbCaARCRnN4wc0/edit?gid=0" TargetMode="External"/><Relationship Id="rId8" Type="http://schemas.openxmlformats.org/officeDocument/2006/relationships/hyperlink" Target="https://docs.google.com/spreadsheets/d/1T1trhXRLFLmvsw6NF2ctVVuwIVOBYo9gekGltVhcgf4/edit?gid=2089831337" TargetMode="External"/><Relationship Id="rId10" Type="http://schemas.openxmlformats.org/officeDocument/2006/relationships/vmlDrawing" Target="../drawings/vmlDrawing2.vml"/><Relationship Id="rId12"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7.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8.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9.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0.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1.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2.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3.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4.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5.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6.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7.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SNrQs1oiYtSIRoAQ6-0wGW92vkxfJIr34Fp44cxHgRg/edit?usp=sharing"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8.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19.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0.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spreadsheets/d/1-7D4xn7jPVWxK4Hv_jQ4ruRle9vkJvezFGDqi1GFnd4/edit?gid=0" TargetMode="External"/><Relationship Id="rId2" Type="http://schemas.openxmlformats.org/officeDocument/2006/relationships/hyperlink" Target="https://docs.google.com/spreadsheets/d/1t2YDL0W_FSrPAtUBku2Z8HGiTZPLv8M1UVfIaROZ8Vc/edit?usp=sharing" TargetMode="External"/><Relationship Id="rId3" Type="http://schemas.openxmlformats.org/officeDocument/2006/relationships/hyperlink" Target="https://docs.google.com/spreadsheets/d/19eD15JPI2SoHKLgnXs8hXbY1ZpP5huYLpI6fo8Mr8bk/edit?gid=441054899" TargetMode="External"/><Relationship Id="rId4" Type="http://schemas.openxmlformats.org/officeDocument/2006/relationships/hyperlink" Target="https://docs.google.com/spreadsheets/d/14XIjmVcs8qf6tS7n0A5FnYSYOV-msbbCaARCRnN4wc0/edit?gid=0" TargetMode="External"/><Relationship Id="rId9" Type="http://schemas.openxmlformats.org/officeDocument/2006/relationships/table" Target="../tables/table21.xml"/><Relationship Id="rId5" Type="http://schemas.openxmlformats.org/officeDocument/2006/relationships/hyperlink" Target="https://docs.google.com/spreadsheets/d/1T1trhXRLFLmvsw6NF2ctVVuwIVOBYo9gekGltVhcgf4/edit?gid=2089831337" TargetMode="External"/><Relationship Id="rId6" Type="http://schemas.openxmlformats.org/officeDocument/2006/relationships/drawing" Target="../drawings/drawing25.xml"/><Relationship Id="rId10"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3.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4.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5.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6.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DTUC32YJHSyBa8CTkg1se2r2AQ3xxkB4dVQorqRF3gM/edit?gid=0" TargetMode="External"/><Relationship Id="rId2" Type="http://schemas.openxmlformats.org/officeDocument/2006/relationships/hyperlink" Target="https://docs.google.com/spreadsheets/d/1-7D4xn7jPVWxK4Hv_jQ4ruRle9vkJvezFGDqi1GFnd4/edit?gid=0" TargetMode="External"/><Relationship Id="rId3" Type="http://schemas.openxmlformats.org/officeDocument/2006/relationships/hyperlink" Target="https://docs.google.com/spreadsheets/d/1t2YDL0W_FSrPAtUBku2Z8HGiTZPLv8M1UVfIaROZ8Vc/edit?usp=sharing" TargetMode="External"/><Relationship Id="rId4" Type="http://schemas.openxmlformats.org/officeDocument/2006/relationships/hyperlink" Target="https://docs.google.com/spreadsheets/d/19eD15JPI2SoHKLgnXs8hXbY1ZpP5huYLpI6fo8Mr8bk/edit?gid=441054899" TargetMode="External"/><Relationship Id="rId9" Type="http://schemas.openxmlformats.org/officeDocument/2006/relationships/table" Target="../tables/table27.xml"/><Relationship Id="rId5" Type="http://schemas.openxmlformats.org/officeDocument/2006/relationships/hyperlink" Target="https://docs.google.com/spreadsheets/d/14XIjmVcs8qf6tS7n0A5FnYSYOV-msbbCaARCRnN4wc0/edit?gid=0" TargetMode="External"/><Relationship Id="rId6" Type="http://schemas.openxmlformats.org/officeDocument/2006/relationships/hyperlink" Target="https://docs.google.com/spreadsheets/d/1T1trhXRLFLmvsw6NF2ctVVuwIVOBYo9gekGltVhcgf4/edit?gid=2089831337" TargetMode="External"/><Relationship Id="rId7"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row r="2">
      <c r="B2" s="1" t="s">
        <v>1</v>
      </c>
    </row>
    <row r="3">
      <c r="B3" s="1" t="s">
        <v>2</v>
      </c>
    </row>
    <row r="4">
      <c r="B4" s="1" t="s">
        <v>3</v>
      </c>
    </row>
    <row r="5">
      <c r="B5" s="1" t="s">
        <v>4</v>
      </c>
    </row>
    <row r="6">
      <c r="B6" s="1" t="s">
        <v>5</v>
      </c>
    </row>
    <row r="7">
      <c r="B7" s="1" t="s">
        <v>6</v>
      </c>
    </row>
    <row r="8">
      <c r="B8" s="1" t="s">
        <v>7</v>
      </c>
    </row>
    <row r="9">
      <c r="B9" s="1" t="s">
        <v>8</v>
      </c>
    </row>
    <row r="10">
      <c r="B10" s="1" t="s">
        <v>9</v>
      </c>
    </row>
    <row r="11">
      <c r="B11" s="1" t="s">
        <v>10</v>
      </c>
    </row>
    <row r="14">
      <c r="B14" s="1" t="s">
        <v>11</v>
      </c>
    </row>
    <row r="15">
      <c r="B15" s="1" t="s">
        <v>12</v>
      </c>
    </row>
    <row r="16">
      <c r="B16" s="1" t="s">
        <v>13</v>
      </c>
    </row>
    <row r="17">
      <c r="B17" s="1" t="s">
        <v>14</v>
      </c>
    </row>
    <row r="19">
      <c r="B19" s="1" t="s">
        <v>15</v>
      </c>
    </row>
    <row r="20">
      <c r="B20" s="1" t="s">
        <v>12</v>
      </c>
    </row>
    <row r="21">
      <c r="B21" s="1" t="s">
        <v>16</v>
      </c>
    </row>
    <row r="22">
      <c r="B22" s="1" t="s">
        <v>17</v>
      </c>
    </row>
    <row r="24">
      <c r="B24" s="1" t="s">
        <v>18</v>
      </c>
    </row>
    <row r="25">
      <c r="B25" s="1" t="s">
        <v>12</v>
      </c>
    </row>
    <row r="26">
      <c r="B26" s="1" t="s">
        <v>19</v>
      </c>
    </row>
    <row r="27">
      <c r="B27" s="1"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13"/>
    <col customWidth="1" min="3" max="3" width="19.75"/>
    <col customWidth="1" min="4" max="4" width="24.13"/>
    <col customWidth="1" min="5" max="5" width="16.0"/>
    <col customWidth="1" min="6" max="6" width="21.5"/>
  </cols>
  <sheetData>
    <row r="1">
      <c r="B1" s="2" t="s">
        <v>21</v>
      </c>
      <c r="C1" s="2" t="s">
        <v>22</v>
      </c>
      <c r="D1" s="2" t="s">
        <v>23</v>
      </c>
      <c r="E1" s="2" t="s">
        <v>24</v>
      </c>
      <c r="F1" s="2" t="s">
        <v>25</v>
      </c>
      <c r="G1" s="3"/>
      <c r="H1" s="3"/>
      <c r="I1" s="4" t="s">
        <v>26</v>
      </c>
      <c r="J1" s="4" t="s">
        <v>27</v>
      </c>
    </row>
    <row r="2">
      <c r="B2" s="2" t="s">
        <v>28</v>
      </c>
      <c r="C2" s="5"/>
      <c r="D2" s="5"/>
      <c r="E2" s="5"/>
      <c r="F2" s="5"/>
      <c r="G2" s="6"/>
      <c r="H2" s="6"/>
      <c r="I2" s="7"/>
      <c r="J2" s="7"/>
    </row>
    <row r="3">
      <c r="B3" s="2" t="s">
        <v>29</v>
      </c>
      <c r="C3" s="8" t="s">
        <v>30</v>
      </c>
      <c r="D3" s="2" t="s">
        <v>31</v>
      </c>
      <c r="E3" s="2" t="s">
        <v>32</v>
      </c>
      <c r="F3" s="5"/>
      <c r="G3" s="6"/>
      <c r="H3" s="6"/>
      <c r="I3" s="7"/>
      <c r="J3" s="7"/>
    </row>
    <row r="4">
      <c r="B4" s="2" t="s">
        <v>33</v>
      </c>
      <c r="C4" s="8" t="s">
        <v>34</v>
      </c>
      <c r="D4" s="2" t="s">
        <v>35</v>
      </c>
      <c r="E4" s="2" t="s">
        <v>32</v>
      </c>
      <c r="F4" s="2" t="s">
        <v>36</v>
      </c>
      <c r="G4" s="3"/>
      <c r="H4" s="3"/>
      <c r="I4" s="4" t="s">
        <v>37</v>
      </c>
      <c r="J4" s="9"/>
    </row>
    <row r="5">
      <c r="B5" s="10" t="s">
        <v>38</v>
      </c>
      <c r="C5" s="11" t="s">
        <v>39</v>
      </c>
      <c r="D5" s="12" t="s">
        <v>40</v>
      </c>
      <c r="E5" s="12" t="s">
        <v>32</v>
      </c>
      <c r="F5" s="12" t="s">
        <v>41</v>
      </c>
      <c r="G5" s="13" t="s">
        <v>42</v>
      </c>
      <c r="H5" s="14"/>
      <c r="I5" s="15" t="s">
        <v>43</v>
      </c>
      <c r="J5" s="16"/>
    </row>
    <row r="6">
      <c r="B6" s="10" t="s">
        <v>44</v>
      </c>
      <c r="C6" s="11" t="s">
        <v>39</v>
      </c>
      <c r="D6" s="12" t="s">
        <v>45</v>
      </c>
      <c r="E6" s="12" t="s">
        <v>32</v>
      </c>
      <c r="F6" s="12" t="s">
        <v>46</v>
      </c>
      <c r="G6" s="17" t="s">
        <v>47</v>
      </c>
      <c r="H6" s="18"/>
      <c r="I6" s="19" t="s">
        <v>43</v>
      </c>
      <c r="J6" s="20"/>
    </row>
    <row r="7">
      <c r="B7" s="21" t="s">
        <v>48</v>
      </c>
      <c r="C7" s="22" t="s">
        <v>39</v>
      </c>
      <c r="D7" s="21" t="s">
        <v>49</v>
      </c>
      <c r="E7" s="21" t="s">
        <v>32</v>
      </c>
      <c r="F7" s="21" t="s">
        <v>50</v>
      </c>
      <c r="G7" s="23" t="s">
        <v>51</v>
      </c>
      <c r="H7" s="24"/>
      <c r="I7" s="25" t="s">
        <v>52</v>
      </c>
      <c r="J7" s="26"/>
    </row>
    <row r="8">
      <c r="B8" s="10" t="s">
        <v>53</v>
      </c>
      <c r="C8" s="27" t="s">
        <v>39</v>
      </c>
      <c r="D8" s="10" t="s">
        <v>54</v>
      </c>
      <c r="E8" s="2" t="s">
        <v>32</v>
      </c>
      <c r="F8" s="2" t="s">
        <v>55</v>
      </c>
      <c r="G8" s="28" t="s">
        <v>56</v>
      </c>
      <c r="H8" s="6"/>
      <c r="I8" s="25" t="s">
        <v>52</v>
      </c>
      <c r="J8" s="26"/>
    </row>
    <row r="9">
      <c r="B9" s="10" t="s">
        <v>57</v>
      </c>
      <c r="C9" s="27" t="s">
        <v>39</v>
      </c>
      <c r="D9" s="10" t="s">
        <v>58</v>
      </c>
      <c r="E9" s="2" t="s">
        <v>32</v>
      </c>
      <c r="F9" s="2" t="s">
        <v>59</v>
      </c>
      <c r="G9" s="6"/>
      <c r="H9" s="6"/>
      <c r="I9" s="19" t="s">
        <v>43</v>
      </c>
      <c r="J9" s="20"/>
    </row>
    <row r="10" ht="18.0" customHeight="1">
      <c r="B10" s="29" t="s">
        <v>60</v>
      </c>
      <c r="C10" s="30" t="s">
        <v>39</v>
      </c>
      <c r="D10" s="29" t="s">
        <v>61</v>
      </c>
      <c r="E10" s="29" t="s">
        <v>32</v>
      </c>
      <c r="F10" s="29" t="s">
        <v>62</v>
      </c>
      <c r="G10" s="31" t="s">
        <v>63</v>
      </c>
      <c r="H10" s="6"/>
      <c r="I10" s="25" t="s">
        <v>52</v>
      </c>
      <c r="J10" s="26"/>
    </row>
    <row r="11">
      <c r="B11" s="2" t="s">
        <v>64</v>
      </c>
      <c r="C11" s="27" t="s">
        <v>65</v>
      </c>
      <c r="D11" s="32" t="s">
        <v>40</v>
      </c>
      <c r="E11" s="33" t="s">
        <v>66</v>
      </c>
      <c r="F11" s="2" t="s">
        <v>41</v>
      </c>
      <c r="G11" s="34" t="s">
        <v>67</v>
      </c>
      <c r="H11" s="3"/>
      <c r="I11" s="4" t="s">
        <v>37</v>
      </c>
      <c r="J11" s="4" t="s">
        <v>68</v>
      </c>
    </row>
    <row r="12">
      <c r="B12" s="35" t="s">
        <v>69</v>
      </c>
      <c r="C12" s="36" t="s">
        <v>65</v>
      </c>
      <c r="D12" s="35" t="s">
        <v>49</v>
      </c>
      <c r="E12" s="37" t="s">
        <v>70</v>
      </c>
      <c r="F12" s="37" t="s">
        <v>50</v>
      </c>
      <c r="G12" s="38" t="s">
        <v>71</v>
      </c>
      <c r="H12" s="39" t="s">
        <v>72</v>
      </c>
      <c r="I12" s="40"/>
      <c r="J12" s="41"/>
    </row>
    <row r="13">
      <c r="B13" s="2" t="s">
        <v>73</v>
      </c>
      <c r="C13" s="27" t="s">
        <v>65</v>
      </c>
      <c r="D13" s="10" t="s">
        <v>45</v>
      </c>
      <c r="E13" s="2" t="s">
        <v>70</v>
      </c>
      <c r="F13" s="2" t="s">
        <v>46</v>
      </c>
      <c r="G13" s="34" t="s">
        <v>74</v>
      </c>
      <c r="H13" s="3"/>
      <c r="I13" s="4" t="s">
        <v>37</v>
      </c>
      <c r="J13" s="4" t="s">
        <v>75</v>
      </c>
    </row>
    <row r="14">
      <c r="B14" s="37" t="s">
        <v>76</v>
      </c>
      <c r="C14" s="42" t="s">
        <v>77</v>
      </c>
      <c r="D14" s="35" t="s">
        <v>45</v>
      </c>
      <c r="E14" s="37" t="s">
        <v>32</v>
      </c>
      <c r="F14" s="37" t="s">
        <v>46</v>
      </c>
      <c r="G14" s="38" t="s">
        <v>78</v>
      </c>
      <c r="H14" s="39" t="s">
        <v>72</v>
      </c>
      <c r="I14" s="40"/>
      <c r="J14" s="41"/>
    </row>
    <row r="15">
      <c r="B15" s="43" t="s">
        <v>79</v>
      </c>
      <c r="C15" s="44" t="s">
        <v>65</v>
      </c>
      <c r="D15" s="43" t="s">
        <v>54</v>
      </c>
      <c r="E15" s="43" t="s">
        <v>70</v>
      </c>
      <c r="F15" s="43" t="s">
        <v>55</v>
      </c>
      <c r="G15" s="45" t="s">
        <v>80</v>
      </c>
      <c r="H15" s="6"/>
      <c r="I15" s="4" t="s">
        <v>37</v>
      </c>
      <c r="J15" s="4" t="s">
        <v>81</v>
      </c>
    </row>
    <row r="16">
      <c r="B16" s="29" t="s">
        <v>82</v>
      </c>
      <c r="C16" s="30" t="s">
        <v>83</v>
      </c>
      <c r="D16" s="29" t="s">
        <v>84</v>
      </c>
      <c r="E16" s="29" t="s">
        <v>70</v>
      </c>
      <c r="F16" s="29" t="s">
        <v>62</v>
      </c>
      <c r="G16" s="28" t="s">
        <v>85</v>
      </c>
      <c r="H16" s="6"/>
      <c r="I16" s="4" t="s">
        <v>37</v>
      </c>
      <c r="J16" s="7"/>
    </row>
    <row r="17">
      <c r="B17" s="12"/>
      <c r="C17" s="12"/>
      <c r="D17" s="12"/>
      <c r="E17" s="5"/>
      <c r="F17" s="5"/>
      <c r="G17" s="6"/>
      <c r="H17" s="6"/>
      <c r="I17" s="7"/>
      <c r="J17" s="7"/>
    </row>
    <row r="18">
      <c r="B18" s="10" t="s">
        <v>86</v>
      </c>
      <c r="C18" s="27" t="s">
        <v>87</v>
      </c>
      <c r="D18" s="10">
        <v>8.59063391204E11</v>
      </c>
      <c r="E18" s="2" t="s">
        <v>88</v>
      </c>
      <c r="F18" s="5"/>
      <c r="G18" s="6"/>
      <c r="H18" s="6"/>
      <c r="I18" s="7"/>
      <c r="J18" s="7"/>
    </row>
    <row r="19">
      <c r="B19" s="5"/>
      <c r="C19" s="12"/>
      <c r="D19" s="12"/>
      <c r="E19" s="5"/>
      <c r="F19" s="5"/>
      <c r="G19" s="6"/>
      <c r="H19" s="6"/>
      <c r="I19" s="7"/>
      <c r="J19" s="7"/>
    </row>
    <row r="20">
      <c r="B20" s="10"/>
      <c r="C20" s="5"/>
      <c r="D20" s="12"/>
      <c r="E20" s="12"/>
      <c r="F20" s="12"/>
      <c r="G20" s="46"/>
      <c r="H20" s="46"/>
      <c r="I20" s="47"/>
      <c r="J20" s="47"/>
    </row>
    <row r="24">
      <c r="B24" s="48" t="s">
        <v>89</v>
      </c>
      <c r="C24" s="48" t="s">
        <v>90</v>
      </c>
      <c r="D24" s="48">
        <v>-1.002400440893E12</v>
      </c>
      <c r="E24" s="49"/>
    </row>
    <row r="25">
      <c r="B25" s="50" t="s">
        <v>91</v>
      </c>
      <c r="C25" s="50">
        <v>6396.0</v>
      </c>
      <c r="D25" s="50" t="s">
        <v>92</v>
      </c>
      <c r="E25" s="51"/>
    </row>
    <row r="26">
      <c r="B26" s="50" t="s">
        <v>93</v>
      </c>
      <c r="C26" s="50">
        <v>2.0</v>
      </c>
      <c r="D26" s="50" t="s">
        <v>94</v>
      </c>
      <c r="E26" s="51"/>
    </row>
    <row r="27">
      <c r="B27" s="50" t="s">
        <v>95</v>
      </c>
      <c r="C27" s="50">
        <v>7.0</v>
      </c>
      <c r="D27" s="50" t="s">
        <v>96</v>
      </c>
      <c r="E27" s="51"/>
    </row>
    <row r="28">
      <c r="B28" s="50" t="s">
        <v>97</v>
      </c>
      <c r="C28" s="50">
        <v>4.0</v>
      </c>
      <c r="D28" s="50" t="s">
        <v>98</v>
      </c>
      <c r="E28" s="51"/>
    </row>
    <row r="29">
      <c r="B29" s="50" t="s">
        <v>99</v>
      </c>
      <c r="C29" s="50">
        <v>54.0</v>
      </c>
      <c r="D29" s="50" t="s">
        <v>100</v>
      </c>
      <c r="E29" s="51"/>
    </row>
    <row r="30">
      <c r="B30" s="50" t="s">
        <v>101</v>
      </c>
      <c r="C30" s="50">
        <v>34327.0</v>
      </c>
      <c r="D30" s="50" t="s">
        <v>102</v>
      </c>
      <c r="E30" s="51"/>
    </row>
    <row r="31">
      <c r="B31" s="50" t="s">
        <v>103</v>
      </c>
      <c r="C31" s="50">
        <v>28.0</v>
      </c>
      <c r="D31" s="50" t="s">
        <v>104</v>
      </c>
      <c r="E31" s="51"/>
    </row>
    <row r="32">
      <c r="B32" s="50" t="s">
        <v>105</v>
      </c>
      <c r="C32" s="50">
        <v>21.0</v>
      </c>
      <c r="D32" s="50" t="s">
        <v>106</v>
      </c>
      <c r="E32" s="51"/>
    </row>
    <row r="33">
      <c r="B33" s="50" t="s">
        <v>107</v>
      </c>
      <c r="C33" s="50">
        <v>23.0</v>
      </c>
      <c r="D33" s="50" t="s">
        <v>108</v>
      </c>
      <c r="E33" s="51"/>
    </row>
    <row r="34">
      <c r="B34" s="50" t="s">
        <v>109</v>
      </c>
      <c r="C34" s="50">
        <v>33334.0</v>
      </c>
      <c r="D34" s="50" t="s">
        <v>110</v>
      </c>
      <c r="E34" s="51"/>
    </row>
    <row r="35">
      <c r="B35" s="52" t="s">
        <v>111</v>
      </c>
      <c r="C35" s="52">
        <v>26480.0</v>
      </c>
      <c r="D35" s="52" t="s">
        <v>112</v>
      </c>
      <c r="E35" s="53"/>
    </row>
    <row r="36">
      <c r="B36" s="54" t="s">
        <v>113</v>
      </c>
      <c r="C36" s="54">
        <v>31072.0</v>
      </c>
      <c r="D36" s="55"/>
      <c r="E36" s="55"/>
    </row>
    <row r="37">
      <c r="B37" s="54" t="s">
        <v>114</v>
      </c>
      <c r="C37" s="54">
        <v>48.0</v>
      </c>
      <c r="D37" s="55"/>
      <c r="E37" s="55"/>
    </row>
  </sheetData>
  <hyperlinks>
    <hyperlink r:id="rId1" ref="C3"/>
    <hyperlink r:id="rId2" ref="C4"/>
    <hyperlink r:id="rId3" ref="C5"/>
    <hyperlink r:id="rId4" ref="G5"/>
    <hyperlink r:id="rId5" ref="C6"/>
    <hyperlink r:id="rId6" ref="G6"/>
    <hyperlink r:id="rId7" ref="C7"/>
    <hyperlink r:id="rId8" ref="G7"/>
    <hyperlink r:id="rId9" ref="C8"/>
    <hyperlink r:id="rId10" ref="G8"/>
    <hyperlink r:id="rId11" ref="C9"/>
    <hyperlink r:id="rId12" ref="C10"/>
    <hyperlink r:id="rId13" ref="G10"/>
    <hyperlink r:id="rId14" ref="C11"/>
    <hyperlink r:id="rId15" ref="G11"/>
    <hyperlink r:id="rId16" ref="C12"/>
    <hyperlink r:id="rId17" ref="G12"/>
    <hyperlink r:id="rId18" ref="C13"/>
    <hyperlink r:id="rId19" ref="G13"/>
    <hyperlink r:id="rId20" ref="C14"/>
    <hyperlink r:id="rId21" ref="G14"/>
    <hyperlink r:id="rId22" ref="C15"/>
    <hyperlink r:id="rId23" ref="G15"/>
    <hyperlink r:id="rId24" ref="C16"/>
    <hyperlink r:id="rId25" ref="G16"/>
    <hyperlink r:id="rId26" ref="C18"/>
  </hyperlinks>
  <drawing r:id="rId27"/>
  <tableParts count="1">
    <tablePart r:id="rId2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13"/>
    <col customWidth="1" min="3" max="3" width="20.75"/>
    <col customWidth="1" min="4" max="4" width="21.0"/>
    <col customWidth="1" min="5" max="5" width="17.38"/>
    <col customWidth="1" min="7" max="8" width="18.88"/>
    <col customWidth="1" min="9" max="9" width="22.13"/>
    <col customWidth="1" min="10" max="10" width="21.25"/>
    <col customWidth="1" min="11" max="11" width="21.0"/>
    <col customWidth="1" min="12" max="12" width="19.0"/>
    <col customWidth="1" min="13" max="13" width="18.25"/>
    <col customWidth="1" min="14" max="14" width="20.0"/>
    <col customWidth="1" min="15" max="15" width="21.38"/>
    <col customWidth="1" min="16" max="16" width="18.0"/>
    <col customWidth="1" min="17" max="17" width="20.13"/>
    <col customWidth="1" min="20" max="21" width="16.38"/>
    <col customWidth="1" min="24" max="25" width="15.13"/>
    <col customWidth="1" min="28" max="29" width="17.88"/>
    <col customWidth="1" min="32" max="32" width="21.13"/>
    <col customWidth="1" min="33" max="33" width="15.63"/>
    <col customWidth="1" min="36" max="36" width="24.0"/>
    <col customWidth="1" min="37" max="38" width="18.63"/>
  </cols>
  <sheetData>
    <row r="1">
      <c r="B1" s="56" t="s">
        <v>115</v>
      </c>
    </row>
    <row r="3">
      <c r="B3" s="57" t="str">
        <f>IFERROR(__xludf.DUMMYFUNCTION("IMPORTRANGE(""11QmPanSRxykbUTB_EqX7W510tAZnhZpBpW7QiSnxobM"", ""リスト別データ!B3:R8"")
"),"TOTAL")</f>
        <v>TOTAL</v>
      </c>
      <c r="C3" s="58"/>
      <c r="D3" s="58"/>
      <c r="E3" s="58"/>
      <c r="F3" s="58"/>
      <c r="G3" s="58"/>
      <c r="H3" s="58"/>
      <c r="I3" s="58"/>
      <c r="J3" s="58"/>
      <c r="K3" s="58"/>
      <c r="L3" s="59"/>
      <c r="M3" s="60"/>
      <c r="N3" s="61"/>
      <c r="O3" s="61"/>
      <c r="P3" s="61"/>
      <c r="Q3" s="62"/>
      <c r="R3" s="62"/>
    </row>
    <row r="4">
      <c r="B4" s="63"/>
      <c r="C4" s="64" t="str">
        <f>IFERROR(__xludf.DUMMYFUNCTION("""COMPUTED_VALUE"""),"リスト件数")</f>
        <v>リスト件数</v>
      </c>
      <c r="D4" s="64" t="str">
        <f>IFERROR(__xludf.DUMMYFUNCTION("""COMPUTED_VALUE"""),"アカウント作成数")</f>
        <v>アカウント作成数</v>
      </c>
      <c r="E4" s="64" t="str">
        <f>IFERROR(__xludf.DUMMYFUNCTION("""COMPUTED_VALUE"""),"LINE登録数")</f>
        <v>LINE登録数</v>
      </c>
      <c r="F4" s="64" t="str">
        <f>IFERROR(__xludf.DUMMYFUNCTION("""COMPUTED_VALUE"""),"打電数")</f>
        <v>打電数</v>
      </c>
      <c r="G4" s="64" t="str">
        <f>IFERROR(__xludf.DUMMYFUNCTION("""COMPUTED_VALUE"""),"着電数")</f>
        <v>着電数</v>
      </c>
      <c r="H4" s="64" t="str">
        <f>IFERROR(__xludf.DUMMYFUNCTION("""COMPUTED_VALUE"""),"新規信用枠")</f>
        <v>新規信用枠</v>
      </c>
      <c r="I4" s="64" t="str">
        <f>IFERROR(__xludf.DUMMYFUNCTION("""COMPUTED_VALUE"""),"着電率")</f>
        <v>着電率</v>
      </c>
      <c r="J4" s="64" t="str">
        <f>IFERROR(__xludf.DUMMYFUNCTION("""COMPUTED_VALUE"""),"LINE登録率")</f>
        <v>LINE登録率</v>
      </c>
      <c r="K4" s="64" t="str">
        <f>IFERROR(__xludf.DUMMYFUNCTION("""COMPUTED_VALUE"""),"アカウント作成率")</f>
        <v>アカウント作成率</v>
      </c>
      <c r="L4" s="65" t="str">
        <f>IFERROR(__xludf.DUMMYFUNCTION("""COMPUTED_VALUE"""),"客単価")</f>
        <v>客単価</v>
      </c>
      <c r="M4" s="60"/>
      <c r="N4" s="61"/>
      <c r="O4" s="61"/>
      <c r="P4" s="61"/>
      <c r="Q4" s="62"/>
      <c r="R4" s="62"/>
    </row>
    <row r="5">
      <c r="B5" s="66" t="str">
        <f>IFERROR(__xludf.DUMMYFUNCTION("""COMPUTED_VALUE"""),"リストC")</f>
        <v>リストC</v>
      </c>
      <c r="C5" s="67">
        <f>IFERROR(__xludf.DUMMYFUNCTION("""COMPUTED_VALUE"""),50000.0)</f>
        <v>50000</v>
      </c>
      <c r="D5" s="68">
        <f>IFERROR(__xludf.DUMMYFUNCTION("""COMPUTED_VALUE"""),87.5)</f>
        <v>87.5</v>
      </c>
      <c r="E5" s="68">
        <f>IFERROR(__xludf.DUMMYFUNCTION("""COMPUTED_VALUE"""),123.0)</f>
        <v>123</v>
      </c>
      <c r="F5" s="69">
        <f>IFERROR(__xludf.DUMMYFUNCTION("""COMPUTED_VALUE"""),105235.0)</f>
        <v>105235</v>
      </c>
      <c r="G5" s="69">
        <f>IFERROR(__xludf.DUMMYFUNCTION("""COMPUTED_VALUE"""),6786.0)</f>
        <v>6786</v>
      </c>
      <c r="H5" s="70">
        <f>IFERROR(__xludf.DUMMYFUNCTION("""COMPUTED_VALUE"""),2660185.0)</f>
        <v>2660185</v>
      </c>
      <c r="I5" s="71">
        <f>IFERROR(__xludf.DUMMYFUNCTION("""COMPUTED_VALUE"""),0.13572)</f>
        <v>0.13572</v>
      </c>
      <c r="J5" s="71">
        <f>IFERROR(__xludf.DUMMYFUNCTION("""COMPUTED_VALUE"""),0.00246)</f>
        <v>0.00246</v>
      </c>
      <c r="K5" s="71">
        <f>IFERROR(__xludf.DUMMYFUNCTION("""COMPUTED_VALUE"""),0.00175)</f>
        <v>0.00175</v>
      </c>
      <c r="L5" s="72">
        <f>IFERROR(__xludf.DUMMYFUNCTION("""COMPUTED_VALUE"""),30402.114285714284)</f>
        <v>30402.11429</v>
      </c>
      <c r="M5" s="60"/>
      <c r="N5" s="61"/>
      <c r="O5" s="61"/>
      <c r="P5" s="61"/>
      <c r="Q5" s="62"/>
      <c r="R5" s="62"/>
    </row>
    <row r="6">
      <c r="B6" s="63" t="str">
        <f>IFERROR(__xludf.DUMMYFUNCTION("""COMPUTED_VALUE"""),"リストBE")</f>
        <v>リストBE</v>
      </c>
      <c r="C6" s="73">
        <f>IFERROR(__xludf.DUMMYFUNCTION("""COMPUTED_VALUE"""),5000.0)</f>
        <v>5000</v>
      </c>
      <c r="D6" s="74">
        <f>IFERROR(__xludf.DUMMYFUNCTION("""COMPUTED_VALUE"""),12.0)</f>
        <v>12</v>
      </c>
      <c r="E6" s="74">
        <f>IFERROR(__xludf.DUMMYFUNCTION("""COMPUTED_VALUE"""),20.0)</f>
        <v>20</v>
      </c>
      <c r="F6" s="75">
        <f>IFERROR(__xludf.DUMMYFUNCTION("""COMPUTED_VALUE"""),8284.0)</f>
        <v>8284</v>
      </c>
      <c r="G6" s="75">
        <f>IFERROR(__xludf.DUMMYFUNCTION("""COMPUTED_VALUE"""),874.0)</f>
        <v>874</v>
      </c>
      <c r="H6" s="76">
        <f>IFERROR(__xludf.DUMMYFUNCTION("""COMPUTED_VALUE"""),665000.0)</f>
        <v>665000</v>
      </c>
      <c r="I6" s="77">
        <f>IFERROR(__xludf.DUMMYFUNCTION("""COMPUTED_VALUE"""),0.1748)</f>
        <v>0.1748</v>
      </c>
      <c r="J6" s="77">
        <f>IFERROR(__xludf.DUMMYFUNCTION("""COMPUTED_VALUE"""),0.004)</f>
        <v>0.004</v>
      </c>
      <c r="K6" s="77">
        <f>IFERROR(__xludf.DUMMYFUNCTION("""COMPUTED_VALUE"""),0.0024)</f>
        <v>0.0024</v>
      </c>
      <c r="L6" s="78">
        <f>IFERROR(__xludf.DUMMYFUNCTION("""COMPUTED_VALUE"""),55416.666666666664)</f>
        <v>55416.66667</v>
      </c>
      <c r="M6" s="60"/>
      <c r="N6" s="61"/>
      <c r="O6" s="61"/>
      <c r="P6" s="61"/>
      <c r="Q6" s="62"/>
      <c r="R6" s="62"/>
    </row>
    <row r="7">
      <c r="B7" s="66" t="str">
        <f>IFERROR(__xludf.DUMMYFUNCTION("""COMPUTED_VALUE"""),"リストS")</f>
        <v>リストS</v>
      </c>
      <c r="C7" s="67">
        <f>IFERROR(__xludf.DUMMYFUNCTION("""COMPUTED_VALUE"""),78000.0)</f>
        <v>78000</v>
      </c>
      <c r="D7" s="68">
        <f>IFERROR(__xludf.DUMMYFUNCTION("""COMPUTED_VALUE"""),641.5)</f>
        <v>641.5</v>
      </c>
      <c r="E7" s="68">
        <f>IFERROR(__xludf.DUMMYFUNCTION("""COMPUTED_VALUE"""),1007.0)</f>
        <v>1007</v>
      </c>
      <c r="F7" s="69">
        <f>IFERROR(__xludf.DUMMYFUNCTION("""COMPUTED_VALUE"""),385557.0)</f>
        <v>385557</v>
      </c>
      <c r="G7" s="69">
        <f>IFERROR(__xludf.DUMMYFUNCTION("""COMPUTED_VALUE"""),22312.0)</f>
        <v>22312</v>
      </c>
      <c r="H7" s="70">
        <f>IFERROR(__xludf.DUMMYFUNCTION("""COMPUTED_VALUE"""),4.0818115E7)</f>
        <v>40818115</v>
      </c>
      <c r="I7" s="71">
        <f>IFERROR(__xludf.DUMMYFUNCTION("""COMPUTED_VALUE"""),0.28605128205128205)</f>
        <v>0.2860512821</v>
      </c>
      <c r="J7" s="71">
        <f>IFERROR(__xludf.DUMMYFUNCTION("""COMPUTED_VALUE"""),0.01291025641025641)</f>
        <v>0.01291025641</v>
      </c>
      <c r="K7" s="71">
        <f>IFERROR(__xludf.DUMMYFUNCTION("""COMPUTED_VALUE"""),0.008224358974358975)</f>
        <v>0.008224358974</v>
      </c>
      <c r="L7" s="72">
        <f>IFERROR(__xludf.DUMMYFUNCTION("""COMPUTED_VALUE"""),63629.17381137958)</f>
        <v>63629.17381</v>
      </c>
      <c r="M7" s="60"/>
      <c r="N7" s="61"/>
      <c r="O7" s="61"/>
      <c r="P7" s="61"/>
      <c r="Q7" s="62"/>
      <c r="R7" s="62"/>
    </row>
    <row r="8">
      <c r="B8" s="63" t="str">
        <f>IFERROR(__xludf.DUMMYFUNCTION("""COMPUTED_VALUE"""),"リストE")</f>
        <v>リストE</v>
      </c>
      <c r="C8" s="73">
        <f>IFERROR(__xludf.DUMMYFUNCTION("""COMPUTED_VALUE"""),80000.0)</f>
        <v>80000</v>
      </c>
      <c r="D8" s="74">
        <f>IFERROR(__xludf.DUMMYFUNCTION("""COMPUTED_VALUE"""),1002.5)</f>
        <v>1002.5</v>
      </c>
      <c r="E8" s="74">
        <f>IFERROR(__xludf.DUMMYFUNCTION("""COMPUTED_VALUE"""),1405.0)</f>
        <v>1405</v>
      </c>
      <c r="F8" s="75">
        <f>IFERROR(__xludf.DUMMYFUNCTION("""COMPUTED_VALUE"""),384273.0)</f>
        <v>384273</v>
      </c>
      <c r="G8" s="75">
        <f>IFERROR(__xludf.DUMMYFUNCTION("""COMPUTED_VALUE"""),28534.0)</f>
        <v>28534</v>
      </c>
      <c r="H8" s="76">
        <f>IFERROR(__xludf.DUMMYFUNCTION("""COMPUTED_VALUE"""),8.3670082E7)</f>
        <v>83670082</v>
      </c>
      <c r="I8" s="77">
        <f>IFERROR(__xludf.DUMMYFUNCTION("""COMPUTED_VALUE"""),0.356675)</f>
        <v>0.356675</v>
      </c>
      <c r="J8" s="77">
        <f>IFERROR(__xludf.DUMMYFUNCTION("""COMPUTED_VALUE"""),0.0175625)</f>
        <v>0.0175625</v>
      </c>
      <c r="K8" s="77">
        <f>IFERROR(__xludf.DUMMYFUNCTION("""COMPUTED_VALUE"""),0.01253125)</f>
        <v>0.01253125</v>
      </c>
      <c r="L8" s="78">
        <f>IFERROR(__xludf.DUMMYFUNCTION("""COMPUTED_VALUE"""),83461.42842892768)</f>
        <v>83461.42843</v>
      </c>
      <c r="M8" s="60"/>
      <c r="N8" s="61"/>
      <c r="O8" s="61"/>
      <c r="P8" s="61"/>
      <c r="Q8" s="62"/>
      <c r="R8" s="62"/>
    </row>
    <row r="10">
      <c r="A10" s="79"/>
      <c r="B10" s="80" t="str">
        <f>IFERROR(__xludf.DUMMYFUNCTION("IMPORTRANGE(""11QmPanSRxykbUTB_EqX7W510tAZnhZpBpW7QiSnxobM"", ""リスト別データ!B11:BF29"")
"),"11月")</f>
        <v>11月</v>
      </c>
      <c r="C10" s="81"/>
      <c r="D10" s="81"/>
      <c r="E10" s="82"/>
      <c r="F10" s="80" t="str">
        <f>IFERROR(__xludf.DUMMYFUNCTION("""COMPUTED_VALUE"""),"10月")</f>
        <v>10月</v>
      </c>
      <c r="G10" s="81"/>
      <c r="H10" s="81"/>
      <c r="I10" s="82"/>
      <c r="J10" s="80" t="str">
        <f>IFERROR(__xludf.DUMMYFUNCTION("""COMPUTED_VALUE"""),"9月")</f>
        <v>9月</v>
      </c>
      <c r="K10" s="81"/>
      <c r="L10" s="81"/>
      <c r="M10" s="82"/>
      <c r="N10" s="80" t="str">
        <f>IFERROR(__xludf.DUMMYFUNCTION("""COMPUTED_VALUE"""),"8月")</f>
        <v>8月</v>
      </c>
      <c r="O10" s="81"/>
      <c r="P10" s="81"/>
      <c r="Q10" s="82"/>
      <c r="R10" s="80" t="str">
        <f>IFERROR(__xludf.DUMMYFUNCTION("""COMPUTED_VALUE"""),"7月")</f>
        <v>7月</v>
      </c>
      <c r="S10" s="81"/>
      <c r="T10" s="81"/>
      <c r="U10" s="82"/>
      <c r="V10" s="80" t="str">
        <f>IFERROR(__xludf.DUMMYFUNCTION("""COMPUTED_VALUE"""),"6月")</f>
        <v>6月</v>
      </c>
      <c r="W10" s="81"/>
      <c r="X10" s="81"/>
      <c r="Y10" s="82"/>
      <c r="Z10" s="80" t="str">
        <f>IFERROR(__xludf.DUMMYFUNCTION("""COMPUTED_VALUE"""),"5月")</f>
        <v>5月</v>
      </c>
      <c r="AA10" s="81"/>
      <c r="AB10" s="81"/>
      <c r="AC10" s="82"/>
      <c r="AD10" s="80" t="str">
        <f>IFERROR(__xludf.DUMMYFUNCTION("""COMPUTED_VALUE"""),"4月")</f>
        <v>4月</v>
      </c>
      <c r="AE10" s="81"/>
      <c r="AF10" s="81"/>
      <c r="AG10" s="82"/>
      <c r="AH10" s="83" t="str">
        <f>IFERROR(__xludf.DUMMYFUNCTION("""COMPUTED_VALUE"""),"3月")</f>
        <v>3月</v>
      </c>
      <c r="AI10" s="81"/>
      <c r="AJ10" s="81"/>
      <c r="AK10" s="82"/>
      <c r="AL10" s="84" t="str">
        <f>IFERROR(__xludf.DUMMYFUNCTION("""COMPUTED_VALUE"""),"2月")</f>
        <v>2月</v>
      </c>
      <c r="AM10" s="85"/>
      <c r="AN10" s="85"/>
      <c r="AO10" s="86"/>
      <c r="AP10" s="87" t="str">
        <f>IFERROR(__xludf.DUMMYFUNCTION("""COMPUTED_VALUE"""),"1月")</f>
        <v>1月</v>
      </c>
      <c r="AQ10" s="87"/>
      <c r="AR10" s="87"/>
      <c r="AS10" s="87"/>
      <c r="AT10" s="87" t="str">
        <f>IFERROR(__xludf.DUMMYFUNCTION("""COMPUTED_VALUE"""),"12月")</f>
        <v>12月</v>
      </c>
      <c r="AU10" s="87"/>
      <c r="AV10" s="87"/>
      <c r="AW10" s="87"/>
      <c r="AX10" s="87" t="str">
        <f>IFERROR(__xludf.DUMMYFUNCTION("""COMPUTED_VALUE"""),"11月")</f>
        <v>11月</v>
      </c>
      <c r="AY10" s="87"/>
      <c r="AZ10" s="87"/>
      <c r="BA10" s="87"/>
      <c r="BB10" s="87" t="str">
        <f>IFERROR(__xludf.DUMMYFUNCTION("""COMPUTED_VALUE"""),"10月")</f>
        <v>10月</v>
      </c>
      <c r="BC10" s="87"/>
      <c r="BD10" s="87"/>
      <c r="BE10" s="87"/>
      <c r="BF10" s="87" t="str">
        <f>IFERROR(__xludf.DUMMYFUNCTION("""COMPUTED_VALUE"""),"9月")</f>
        <v>9月</v>
      </c>
      <c r="BG10" s="87"/>
      <c r="BH10" s="87"/>
      <c r="BI10" s="87"/>
      <c r="BJ10" s="87"/>
      <c r="BK10" s="87"/>
      <c r="BL10" s="87"/>
      <c r="BM10" s="87"/>
      <c r="BN10" s="87"/>
      <c r="BO10" s="87"/>
      <c r="BP10" s="87"/>
    </row>
    <row r="11">
      <c r="A11" s="79"/>
      <c r="B11" s="88"/>
      <c r="C11" s="88" t="str">
        <f>IFERROR(__xludf.DUMMYFUNCTION("""COMPUTED_VALUE"""),"リスト件数")</f>
        <v>リスト件数</v>
      </c>
      <c r="D11" s="88" t="str">
        <f>IFERROR(__xludf.DUMMYFUNCTION("""COMPUTED_VALUE"""),"アカウント作成数")</f>
        <v>アカウント作成数</v>
      </c>
      <c r="E11" s="88" t="str">
        <f>IFERROR(__xludf.DUMMYFUNCTION("""COMPUTED_VALUE"""),"LINE登録数")</f>
        <v>LINE登録数</v>
      </c>
      <c r="F11" s="88"/>
      <c r="G11" s="88" t="str">
        <f>IFERROR(__xludf.DUMMYFUNCTION("""COMPUTED_VALUE"""),"リスト件数")</f>
        <v>リスト件数</v>
      </c>
      <c r="H11" s="88" t="str">
        <f>IFERROR(__xludf.DUMMYFUNCTION("""COMPUTED_VALUE"""),"アカウント作成数")</f>
        <v>アカウント作成数</v>
      </c>
      <c r="I11" s="88" t="str">
        <f>IFERROR(__xludf.DUMMYFUNCTION("""COMPUTED_VALUE"""),"LINE登録数")</f>
        <v>LINE登録数</v>
      </c>
      <c r="J11" s="88"/>
      <c r="K11" s="88" t="str">
        <f>IFERROR(__xludf.DUMMYFUNCTION("""COMPUTED_VALUE"""),"リスト件数")</f>
        <v>リスト件数</v>
      </c>
      <c r="L11" s="88" t="str">
        <f>IFERROR(__xludf.DUMMYFUNCTION("""COMPUTED_VALUE"""),"アカウント作成数")</f>
        <v>アカウント作成数</v>
      </c>
      <c r="M11" s="88" t="str">
        <f>IFERROR(__xludf.DUMMYFUNCTION("""COMPUTED_VALUE"""),"LINE登録数")</f>
        <v>LINE登録数</v>
      </c>
      <c r="N11" s="88"/>
      <c r="O11" s="88" t="str">
        <f>IFERROR(__xludf.DUMMYFUNCTION("""COMPUTED_VALUE"""),"リスト件数")</f>
        <v>リスト件数</v>
      </c>
      <c r="P11" s="88" t="str">
        <f>IFERROR(__xludf.DUMMYFUNCTION("""COMPUTED_VALUE"""),"アカウント作成数")</f>
        <v>アカウント作成数</v>
      </c>
      <c r="Q11" s="88" t="str">
        <f>IFERROR(__xludf.DUMMYFUNCTION("""COMPUTED_VALUE"""),"LINE登録数")</f>
        <v>LINE登録数</v>
      </c>
      <c r="R11" s="88"/>
      <c r="S11" s="88" t="str">
        <f>IFERROR(__xludf.DUMMYFUNCTION("""COMPUTED_VALUE"""),"リスト件数")</f>
        <v>リスト件数</v>
      </c>
      <c r="T11" s="88" t="str">
        <f>IFERROR(__xludf.DUMMYFUNCTION("""COMPUTED_VALUE"""),"アカウント作成数")</f>
        <v>アカウント作成数</v>
      </c>
      <c r="U11" s="88" t="str">
        <f>IFERROR(__xludf.DUMMYFUNCTION("""COMPUTED_VALUE"""),"LINE登録数")</f>
        <v>LINE登録数</v>
      </c>
      <c r="V11" s="88"/>
      <c r="W11" s="88" t="str">
        <f>IFERROR(__xludf.DUMMYFUNCTION("""COMPUTED_VALUE"""),"リスト件数")</f>
        <v>リスト件数</v>
      </c>
      <c r="X11" s="88" t="str">
        <f>IFERROR(__xludf.DUMMYFUNCTION("""COMPUTED_VALUE"""),"アカウント作成数")</f>
        <v>アカウント作成数</v>
      </c>
      <c r="Y11" s="88" t="str">
        <f>IFERROR(__xludf.DUMMYFUNCTION("""COMPUTED_VALUE"""),"LINE登録数")</f>
        <v>LINE登録数</v>
      </c>
      <c r="Z11" s="88"/>
      <c r="AA11" s="88" t="str">
        <f>IFERROR(__xludf.DUMMYFUNCTION("""COMPUTED_VALUE"""),"リスト件数")</f>
        <v>リスト件数</v>
      </c>
      <c r="AB11" s="88" t="str">
        <f>IFERROR(__xludf.DUMMYFUNCTION("""COMPUTED_VALUE"""),"アカウント作成数")</f>
        <v>アカウント作成数</v>
      </c>
      <c r="AC11" s="88" t="str">
        <f>IFERROR(__xludf.DUMMYFUNCTION("""COMPUTED_VALUE"""),"LINE登録数")</f>
        <v>LINE登録数</v>
      </c>
      <c r="AD11" s="88"/>
      <c r="AE11" s="88" t="str">
        <f>IFERROR(__xludf.DUMMYFUNCTION("""COMPUTED_VALUE"""),"リスト件数")</f>
        <v>リスト件数</v>
      </c>
      <c r="AF11" s="88" t="str">
        <f>IFERROR(__xludf.DUMMYFUNCTION("""COMPUTED_VALUE"""),"アカウント作成数")</f>
        <v>アカウント作成数</v>
      </c>
      <c r="AG11" s="88" t="str">
        <f>IFERROR(__xludf.DUMMYFUNCTION("""COMPUTED_VALUE"""),"LINE登録数")</f>
        <v>LINE登録数</v>
      </c>
      <c r="AH11" s="89"/>
      <c r="AI11" s="89" t="str">
        <f>IFERROR(__xludf.DUMMYFUNCTION("""COMPUTED_VALUE"""),"リスト件数")</f>
        <v>リスト件数</v>
      </c>
      <c r="AJ11" s="89" t="str">
        <f>IFERROR(__xludf.DUMMYFUNCTION("""COMPUTED_VALUE"""),"アカウント作成数")</f>
        <v>アカウント作成数</v>
      </c>
      <c r="AK11" s="90" t="str">
        <f>IFERROR(__xludf.DUMMYFUNCTION("""COMPUTED_VALUE"""),"LINE登録数")</f>
        <v>LINE登録数</v>
      </c>
      <c r="AL11" s="91"/>
      <c r="AM11" s="91" t="str">
        <f>IFERROR(__xludf.DUMMYFUNCTION("""COMPUTED_VALUE"""),"リスト件数")</f>
        <v>リスト件数</v>
      </c>
      <c r="AN11" s="91" t="str">
        <f>IFERROR(__xludf.DUMMYFUNCTION("""COMPUTED_VALUE"""),"アカウント作成数")</f>
        <v>アカウント作成数</v>
      </c>
      <c r="AO11" s="91" t="str">
        <f>IFERROR(__xludf.DUMMYFUNCTION("""COMPUTED_VALUE"""),"LINE登録数")</f>
        <v>LINE登録数</v>
      </c>
      <c r="AP11" s="79"/>
      <c r="AQ11" s="79" t="str">
        <f>IFERROR(__xludf.DUMMYFUNCTION("""COMPUTED_VALUE"""),"リスト件数")</f>
        <v>リスト件数</v>
      </c>
      <c r="AR11" s="79" t="str">
        <f>IFERROR(__xludf.DUMMYFUNCTION("""COMPUTED_VALUE"""),"アカウント作成数")</f>
        <v>アカウント作成数</v>
      </c>
      <c r="AS11" s="79" t="str">
        <f>IFERROR(__xludf.DUMMYFUNCTION("""COMPUTED_VALUE"""),"LINE登録数")</f>
        <v>LINE登録数</v>
      </c>
      <c r="AT11" s="79" t="str">
        <f>IFERROR(__xludf.DUMMYFUNCTION("""COMPUTED_VALUE"""),"月トータル")</f>
        <v>月トータル</v>
      </c>
      <c r="AU11" s="79" t="str">
        <f>IFERROR(__xludf.DUMMYFUNCTION("""COMPUTED_VALUE"""),"リスト件数")</f>
        <v>リスト件数</v>
      </c>
      <c r="AV11" s="79" t="str">
        <f>IFERROR(__xludf.DUMMYFUNCTION("""COMPUTED_VALUE"""),"アカウント作成数")</f>
        <v>アカウント作成数</v>
      </c>
      <c r="AW11" s="79" t="str">
        <f>IFERROR(__xludf.DUMMYFUNCTION("""COMPUTED_VALUE"""),"LINE登録数")</f>
        <v>LINE登録数</v>
      </c>
      <c r="AX11" s="79" t="str">
        <f>IFERROR(__xludf.DUMMYFUNCTION("""COMPUTED_VALUE"""),"月トータル")</f>
        <v>月トータル</v>
      </c>
      <c r="AY11" s="79" t="str">
        <f>IFERROR(__xludf.DUMMYFUNCTION("""COMPUTED_VALUE"""),"リスト件数")</f>
        <v>リスト件数</v>
      </c>
      <c r="AZ11" s="79" t="str">
        <f>IFERROR(__xludf.DUMMYFUNCTION("""COMPUTED_VALUE"""),"アカウント作成数")</f>
        <v>アカウント作成数</v>
      </c>
      <c r="BA11" s="79" t="str">
        <f>IFERROR(__xludf.DUMMYFUNCTION("""COMPUTED_VALUE"""),"LINE登録数")</f>
        <v>LINE登録数</v>
      </c>
      <c r="BB11" s="79" t="str">
        <f>IFERROR(__xludf.DUMMYFUNCTION("""COMPUTED_VALUE"""),"月トータル")</f>
        <v>月トータル</v>
      </c>
      <c r="BC11" s="79" t="str">
        <f>IFERROR(__xludf.DUMMYFUNCTION("""COMPUTED_VALUE"""),"リスト件数")</f>
        <v>リスト件数</v>
      </c>
      <c r="BD11" s="79" t="str">
        <f>IFERROR(__xludf.DUMMYFUNCTION("""COMPUTED_VALUE"""),"アカウント作成数")</f>
        <v>アカウント作成数</v>
      </c>
      <c r="BE11" s="79" t="str">
        <f>IFERROR(__xludf.DUMMYFUNCTION("""COMPUTED_VALUE"""),"LINE登録数")</f>
        <v>LINE登録数</v>
      </c>
      <c r="BF11" s="79" t="str">
        <f>IFERROR(__xludf.DUMMYFUNCTION("""COMPUTED_VALUE"""),"月トータル")</f>
        <v>月トータル</v>
      </c>
      <c r="BG11" s="79"/>
      <c r="BH11" s="79"/>
      <c r="BI11" s="79"/>
      <c r="BJ11" s="79"/>
      <c r="BK11" s="79"/>
      <c r="BL11" s="79"/>
      <c r="BM11" s="79"/>
      <c r="BN11" s="79"/>
      <c r="BO11" s="79"/>
      <c r="BP11" s="79"/>
    </row>
    <row r="12">
      <c r="A12" s="92"/>
      <c r="B12" s="93" t="str">
        <f>IFERROR(__xludf.DUMMYFUNCTION("""COMPUTED_VALUE"""),"リストC")</f>
        <v>リストC</v>
      </c>
      <c r="C12" s="93">
        <f>IFERROR(__xludf.DUMMYFUNCTION("""COMPUTED_VALUE"""),7000.0)</f>
        <v>7000</v>
      </c>
      <c r="D12" s="94">
        <f>IFERROR(__xludf.DUMMYFUNCTION("""COMPUTED_VALUE"""),7.0)</f>
        <v>7</v>
      </c>
      <c r="E12" s="94">
        <f>IFERROR(__xludf.DUMMYFUNCTION("""COMPUTED_VALUE"""),12.0)</f>
        <v>12</v>
      </c>
      <c r="F12" s="93" t="str">
        <f>IFERROR(__xludf.DUMMYFUNCTION("""COMPUTED_VALUE"""),"リストC")</f>
        <v>リストC</v>
      </c>
      <c r="G12" s="93">
        <f>IFERROR(__xludf.DUMMYFUNCTION("""COMPUTED_VALUE"""),8000.0)</f>
        <v>8000</v>
      </c>
      <c r="H12" s="95">
        <f>IFERROR(__xludf.DUMMYFUNCTION("""COMPUTED_VALUE"""),5.0)</f>
        <v>5</v>
      </c>
      <c r="I12" s="95">
        <f>IFERROR(__xludf.DUMMYFUNCTION("""COMPUTED_VALUE"""),6.0)</f>
        <v>6</v>
      </c>
      <c r="J12" s="93" t="str">
        <f>IFERROR(__xludf.DUMMYFUNCTION("""COMPUTED_VALUE"""),"リストC")</f>
        <v>リストC</v>
      </c>
      <c r="K12" s="93">
        <f>IFERROR(__xludf.DUMMYFUNCTION("""COMPUTED_VALUE"""),8000.0)</f>
        <v>8000</v>
      </c>
      <c r="L12" s="94">
        <f>IFERROR(__xludf.DUMMYFUNCTION("""COMPUTED_VALUE"""),13.0)</f>
        <v>13</v>
      </c>
      <c r="M12" s="94">
        <f>IFERROR(__xludf.DUMMYFUNCTION("""COMPUTED_VALUE"""),14.0)</f>
        <v>14</v>
      </c>
      <c r="N12" s="93" t="str">
        <f>IFERROR(__xludf.DUMMYFUNCTION("""COMPUTED_VALUE"""),"リストC")</f>
        <v>リストC</v>
      </c>
      <c r="O12" s="93">
        <f>IFERROR(__xludf.DUMMYFUNCTION("""COMPUTED_VALUE"""),8000.0)</f>
        <v>8000</v>
      </c>
      <c r="P12" s="94">
        <f>IFERROR(__xludf.DUMMYFUNCTION("""COMPUTED_VALUE"""),2.0)</f>
        <v>2</v>
      </c>
      <c r="Q12" s="94">
        <f>IFERROR(__xludf.DUMMYFUNCTION("""COMPUTED_VALUE"""),12.0)</f>
        <v>12</v>
      </c>
      <c r="R12" s="93" t="str">
        <f>IFERROR(__xludf.DUMMYFUNCTION("""COMPUTED_VALUE"""),"リストC")</f>
        <v>リストC</v>
      </c>
      <c r="S12" s="93">
        <f>IFERROR(__xludf.DUMMYFUNCTION("""COMPUTED_VALUE"""),5000.0)</f>
        <v>5000</v>
      </c>
      <c r="T12" s="94">
        <f>IFERROR(__xludf.DUMMYFUNCTION("""COMPUTED_VALUE"""),13.0)</f>
        <v>13</v>
      </c>
      <c r="U12" s="94">
        <f>IFERROR(__xludf.DUMMYFUNCTION("""COMPUTED_VALUE"""),15.0)</f>
        <v>15</v>
      </c>
      <c r="V12" s="93" t="str">
        <f>IFERROR(__xludf.DUMMYFUNCTION("""COMPUTED_VALUE"""),"リストC")</f>
        <v>リストC</v>
      </c>
      <c r="W12" s="93">
        <f>IFERROR(__xludf.DUMMYFUNCTION("""COMPUTED_VALUE"""),4000.0)</f>
        <v>4000</v>
      </c>
      <c r="X12" s="94">
        <f>IFERROR(__xludf.DUMMYFUNCTION("""COMPUTED_VALUE"""),0.0)</f>
        <v>0</v>
      </c>
      <c r="Y12" s="94">
        <f>IFERROR(__xludf.DUMMYFUNCTION("""COMPUTED_VALUE"""),0.0)</f>
        <v>0</v>
      </c>
      <c r="Z12" s="93" t="str">
        <f>IFERROR(__xludf.DUMMYFUNCTION("""COMPUTED_VALUE"""),"リストC")</f>
        <v>リストC</v>
      </c>
      <c r="AA12" s="93">
        <f>IFERROR(__xludf.DUMMYFUNCTION("""COMPUTED_VALUE"""),5000.0)</f>
        <v>5000</v>
      </c>
      <c r="AB12" s="94">
        <f>IFERROR(__xludf.DUMMYFUNCTION("""COMPUTED_VALUE"""),32.5)</f>
        <v>32.5</v>
      </c>
      <c r="AC12" s="94">
        <f>IFERROR(__xludf.DUMMYFUNCTION("""COMPUTED_VALUE"""),43.0)</f>
        <v>43</v>
      </c>
      <c r="AD12" s="93" t="str">
        <f>IFERROR(__xludf.DUMMYFUNCTION("""COMPUTED_VALUE"""),"リストC")</f>
        <v>リストC</v>
      </c>
      <c r="AE12" s="93">
        <f>IFERROR(__xludf.DUMMYFUNCTION("""COMPUTED_VALUE"""),4000.0)</f>
        <v>4000</v>
      </c>
      <c r="AF12" s="94">
        <f>IFERROR(__xludf.DUMMYFUNCTION("""COMPUTED_VALUE"""),15.0)</f>
        <v>15</v>
      </c>
      <c r="AG12" s="94">
        <f>IFERROR(__xludf.DUMMYFUNCTION("""COMPUTED_VALUE"""),21.0)</f>
        <v>21</v>
      </c>
      <c r="AH12" s="96" t="str">
        <f>IFERROR(__xludf.DUMMYFUNCTION("""COMPUTED_VALUE"""),"リストC")</f>
        <v>リストC</v>
      </c>
      <c r="AI12" s="96">
        <f>IFERROR(__xludf.DUMMYFUNCTION("""COMPUTED_VALUE"""),1000.0)</f>
        <v>1000</v>
      </c>
      <c r="AJ12" s="96">
        <f>IFERROR(__xludf.DUMMYFUNCTION("""COMPUTED_VALUE"""),0.0)</f>
        <v>0</v>
      </c>
      <c r="AK12" s="97">
        <f>IFERROR(__xludf.DUMMYFUNCTION("""COMPUTED_VALUE"""),0.0)</f>
        <v>0</v>
      </c>
      <c r="AL12" s="98" t="str">
        <f>IFERROR(__xludf.DUMMYFUNCTION("""COMPUTED_VALUE"""),"リストC")</f>
        <v>リストC</v>
      </c>
      <c r="AM12" s="98">
        <f>IFERROR(__xludf.DUMMYFUNCTION("""COMPUTED_VALUE"""),0.0)</f>
        <v>0</v>
      </c>
      <c r="AN12" s="98">
        <f>IFERROR(__xludf.DUMMYFUNCTION("""COMPUTED_VALUE"""),0.0)</f>
        <v>0</v>
      </c>
      <c r="AO12" s="98">
        <f>IFERROR(__xludf.DUMMYFUNCTION("""COMPUTED_VALUE"""),0.0)</f>
        <v>0</v>
      </c>
      <c r="AP12" s="92" t="str">
        <f>IFERROR(__xludf.DUMMYFUNCTION("""COMPUTED_VALUE"""),"リストC")</f>
        <v>リストC</v>
      </c>
      <c r="AQ12" s="92">
        <f>IFERROR(__xludf.DUMMYFUNCTION("""COMPUTED_VALUE"""),0.0)</f>
        <v>0</v>
      </c>
      <c r="AR12" s="92">
        <f>IFERROR(__xludf.DUMMYFUNCTION("""COMPUTED_VALUE"""),0.0)</f>
        <v>0</v>
      </c>
      <c r="AS12" s="92">
        <f>IFERROR(__xludf.DUMMYFUNCTION("""COMPUTED_VALUE"""),0.0)</f>
        <v>0</v>
      </c>
      <c r="AT12" s="92" t="str">
        <f>IFERROR(__xludf.DUMMYFUNCTION("""COMPUTED_VALUE"""),"リストC")</f>
        <v>リストC</v>
      </c>
      <c r="AU12" s="92">
        <f>IFERROR(__xludf.DUMMYFUNCTION("""COMPUTED_VALUE"""),0.0)</f>
        <v>0</v>
      </c>
      <c r="AV12" s="92">
        <f>IFERROR(__xludf.DUMMYFUNCTION("""COMPUTED_VALUE"""),0.0)</f>
        <v>0</v>
      </c>
      <c r="AW12" s="92">
        <f>IFERROR(__xludf.DUMMYFUNCTION("""COMPUTED_VALUE"""),0.0)</f>
        <v>0</v>
      </c>
      <c r="AX12" s="92" t="str">
        <f>IFERROR(__xludf.DUMMYFUNCTION("""COMPUTED_VALUE"""),"リストC")</f>
        <v>リストC</v>
      </c>
      <c r="AY12" s="92">
        <f>IFERROR(__xludf.DUMMYFUNCTION("""COMPUTED_VALUE"""),0.0)</f>
        <v>0</v>
      </c>
      <c r="AZ12" s="92">
        <f>IFERROR(__xludf.DUMMYFUNCTION("""COMPUTED_VALUE"""),0.0)</f>
        <v>0</v>
      </c>
      <c r="BA12" s="92">
        <f>IFERROR(__xludf.DUMMYFUNCTION("""COMPUTED_VALUE"""),0.0)</f>
        <v>0</v>
      </c>
      <c r="BB12" s="92" t="str">
        <f>IFERROR(__xludf.DUMMYFUNCTION("""COMPUTED_VALUE"""),"リストC")</f>
        <v>リストC</v>
      </c>
      <c r="BC12" s="92">
        <f>IFERROR(__xludf.DUMMYFUNCTION("""COMPUTED_VALUE"""),0.0)</f>
        <v>0</v>
      </c>
      <c r="BD12" s="92">
        <f>IFERROR(__xludf.DUMMYFUNCTION("""COMPUTED_VALUE"""),0.0)</f>
        <v>0</v>
      </c>
      <c r="BE12" s="92">
        <f>IFERROR(__xludf.DUMMYFUNCTION("""COMPUTED_VALUE"""),0.0)</f>
        <v>0</v>
      </c>
      <c r="BF12" s="92" t="str">
        <f>IFERROR(__xludf.DUMMYFUNCTION("""COMPUTED_VALUE"""),"リストC")</f>
        <v>リストC</v>
      </c>
      <c r="BG12" s="92"/>
      <c r="BH12" s="92"/>
      <c r="BI12" s="92"/>
      <c r="BJ12" s="92"/>
      <c r="BK12" s="92"/>
      <c r="BL12" s="92"/>
      <c r="BM12" s="92"/>
      <c r="BN12" s="92"/>
      <c r="BO12" s="92"/>
      <c r="BP12" s="92"/>
    </row>
    <row r="13">
      <c r="A13" s="92"/>
      <c r="B13" s="99" t="str">
        <f>IFERROR(__xludf.DUMMYFUNCTION("""COMPUTED_VALUE"""),"リストBE")</f>
        <v>リストBE</v>
      </c>
      <c r="C13" s="99">
        <f>IFERROR(__xludf.DUMMYFUNCTION("""COMPUTED_VALUE"""),0.0)</f>
        <v>0</v>
      </c>
      <c r="D13" s="100">
        <f>IFERROR(__xludf.DUMMYFUNCTION("""COMPUTED_VALUE"""),0.0)</f>
        <v>0</v>
      </c>
      <c r="E13" s="100">
        <f>IFERROR(__xludf.DUMMYFUNCTION("""COMPUTED_VALUE"""),1.0)</f>
        <v>1</v>
      </c>
      <c r="F13" s="99" t="str">
        <f>IFERROR(__xludf.DUMMYFUNCTION("""COMPUTED_VALUE"""),"リストBE")</f>
        <v>リストBE</v>
      </c>
      <c r="G13" s="99">
        <f>IFERROR(__xludf.DUMMYFUNCTION("""COMPUTED_VALUE"""),0.0)</f>
        <v>0</v>
      </c>
      <c r="H13" s="101">
        <f>IFERROR(__xludf.DUMMYFUNCTION("""COMPUTED_VALUE"""),0.0)</f>
        <v>0</v>
      </c>
      <c r="I13" s="101">
        <f>IFERROR(__xludf.DUMMYFUNCTION("""COMPUTED_VALUE"""),0.0)</f>
        <v>0</v>
      </c>
      <c r="J13" s="99" t="str">
        <f>IFERROR(__xludf.DUMMYFUNCTION("""COMPUTED_VALUE"""),"リストBE")</f>
        <v>リストBE</v>
      </c>
      <c r="K13" s="99">
        <f>IFERROR(__xludf.DUMMYFUNCTION("""COMPUTED_VALUE"""),0.0)</f>
        <v>0</v>
      </c>
      <c r="L13" s="100">
        <f>IFERROR(__xludf.DUMMYFUNCTION("""COMPUTED_VALUE"""),0.0)</f>
        <v>0</v>
      </c>
      <c r="M13" s="100">
        <f>IFERROR(__xludf.DUMMYFUNCTION("""COMPUTED_VALUE"""),0.0)</f>
        <v>0</v>
      </c>
      <c r="N13" s="99" t="str">
        <f>IFERROR(__xludf.DUMMYFUNCTION("""COMPUTED_VALUE"""),"リストBE")</f>
        <v>リストBE</v>
      </c>
      <c r="O13" s="99">
        <f>IFERROR(__xludf.DUMMYFUNCTION("""COMPUTED_VALUE"""),0.0)</f>
        <v>0</v>
      </c>
      <c r="P13" s="100">
        <f>IFERROR(__xludf.DUMMYFUNCTION("""COMPUTED_VALUE"""),0.0)</f>
        <v>0</v>
      </c>
      <c r="Q13" s="100">
        <f>IFERROR(__xludf.DUMMYFUNCTION("""COMPUTED_VALUE"""),0.0)</f>
        <v>0</v>
      </c>
      <c r="R13" s="99" t="str">
        <f>IFERROR(__xludf.DUMMYFUNCTION("""COMPUTED_VALUE"""),"リストBE")</f>
        <v>リストBE</v>
      </c>
      <c r="S13" s="99">
        <f>IFERROR(__xludf.DUMMYFUNCTION("""COMPUTED_VALUE"""),0.0)</f>
        <v>0</v>
      </c>
      <c r="T13" s="100">
        <f>IFERROR(__xludf.DUMMYFUNCTION("""COMPUTED_VALUE"""),0.0)</f>
        <v>0</v>
      </c>
      <c r="U13" s="100">
        <f>IFERROR(__xludf.DUMMYFUNCTION("""COMPUTED_VALUE"""),0.0)</f>
        <v>0</v>
      </c>
      <c r="V13" s="99" t="str">
        <f>IFERROR(__xludf.DUMMYFUNCTION("""COMPUTED_VALUE"""),"リストBE")</f>
        <v>リストBE</v>
      </c>
      <c r="W13" s="99">
        <f>IFERROR(__xludf.DUMMYFUNCTION("""COMPUTED_VALUE"""),0.0)</f>
        <v>0</v>
      </c>
      <c r="X13" s="100">
        <f>IFERROR(__xludf.DUMMYFUNCTION("""COMPUTED_VALUE"""),0.0)</f>
        <v>0</v>
      </c>
      <c r="Y13" s="100">
        <f>IFERROR(__xludf.DUMMYFUNCTION("""COMPUTED_VALUE"""),0.0)</f>
        <v>0</v>
      </c>
      <c r="Z13" s="99" t="str">
        <f>IFERROR(__xludf.DUMMYFUNCTION("""COMPUTED_VALUE"""),"リストBE")</f>
        <v>リストBE</v>
      </c>
      <c r="AA13" s="99">
        <f>IFERROR(__xludf.DUMMYFUNCTION("""COMPUTED_VALUE"""),0.0)</f>
        <v>0</v>
      </c>
      <c r="AB13" s="100">
        <f>IFERROR(__xludf.DUMMYFUNCTION("""COMPUTED_VALUE"""),0.0)</f>
        <v>0</v>
      </c>
      <c r="AC13" s="100">
        <f>IFERROR(__xludf.DUMMYFUNCTION("""COMPUTED_VALUE"""),0.0)</f>
        <v>0</v>
      </c>
      <c r="AD13" s="99" t="str">
        <f>IFERROR(__xludf.DUMMYFUNCTION("""COMPUTED_VALUE"""),"リストBE")</f>
        <v>リストBE</v>
      </c>
      <c r="AE13" s="99">
        <f>IFERROR(__xludf.DUMMYFUNCTION("""COMPUTED_VALUE"""),0.0)</f>
        <v>0</v>
      </c>
      <c r="AF13" s="100">
        <f>IFERROR(__xludf.DUMMYFUNCTION("""COMPUTED_VALUE"""),7.0)</f>
        <v>7</v>
      </c>
      <c r="AG13" s="100">
        <f>IFERROR(__xludf.DUMMYFUNCTION("""COMPUTED_VALUE"""),7.0)</f>
        <v>7</v>
      </c>
      <c r="AH13" s="102" t="str">
        <f>IFERROR(__xludf.DUMMYFUNCTION("""COMPUTED_VALUE"""),"リストBE")</f>
        <v>リストBE</v>
      </c>
      <c r="AI13" s="102">
        <f>IFERROR(__xludf.DUMMYFUNCTION("""COMPUTED_VALUE"""),0.0)</f>
        <v>0</v>
      </c>
      <c r="AJ13" s="103">
        <f>IFERROR(__xludf.DUMMYFUNCTION("""COMPUTED_VALUE"""),0.0)</f>
        <v>0</v>
      </c>
      <c r="AK13" s="104">
        <f>IFERROR(__xludf.DUMMYFUNCTION("""COMPUTED_VALUE"""),0.0)</f>
        <v>0</v>
      </c>
      <c r="AL13" s="105" t="str">
        <f>IFERROR(__xludf.DUMMYFUNCTION("""COMPUTED_VALUE"""),"リストBE")</f>
        <v>リストBE</v>
      </c>
      <c r="AM13" s="105">
        <f>IFERROR(__xludf.DUMMYFUNCTION("""COMPUTED_VALUE"""),2000.0)</f>
        <v>2000</v>
      </c>
      <c r="AN13" s="106">
        <f>IFERROR(__xludf.DUMMYFUNCTION("""COMPUTED_VALUE"""),5.0)</f>
        <v>5</v>
      </c>
      <c r="AO13" s="106">
        <f>IFERROR(__xludf.DUMMYFUNCTION("""COMPUTED_VALUE"""),12.0)</f>
        <v>12</v>
      </c>
      <c r="AP13" s="92" t="str">
        <f>IFERROR(__xludf.DUMMYFUNCTION("""COMPUTED_VALUE"""),"リストBE")</f>
        <v>リストBE</v>
      </c>
      <c r="AQ13" s="92">
        <f>IFERROR(__xludf.DUMMYFUNCTION("""COMPUTED_VALUE"""),3000.0)</f>
        <v>3000</v>
      </c>
      <c r="AR13" s="92">
        <f>IFERROR(__xludf.DUMMYFUNCTION("""COMPUTED_VALUE"""),0.0)</f>
        <v>0</v>
      </c>
      <c r="AS13" s="92">
        <f>IFERROR(__xludf.DUMMYFUNCTION("""COMPUTED_VALUE"""),0.0)</f>
        <v>0</v>
      </c>
      <c r="AT13" s="92" t="str">
        <f>IFERROR(__xludf.DUMMYFUNCTION("""COMPUTED_VALUE"""),"リストBE")</f>
        <v>リストBE</v>
      </c>
      <c r="AU13" s="92">
        <f>IFERROR(__xludf.DUMMYFUNCTION("""COMPUTED_VALUE"""),0.0)</f>
        <v>0</v>
      </c>
      <c r="AV13" s="92">
        <f>IFERROR(__xludf.DUMMYFUNCTION("""COMPUTED_VALUE"""),0.0)</f>
        <v>0</v>
      </c>
      <c r="AW13" s="92">
        <f>IFERROR(__xludf.DUMMYFUNCTION("""COMPUTED_VALUE"""),0.0)</f>
        <v>0</v>
      </c>
      <c r="AX13" s="92" t="str">
        <f>IFERROR(__xludf.DUMMYFUNCTION("""COMPUTED_VALUE"""),"リストBE")</f>
        <v>リストBE</v>
      </c>
      <c r="AY13" s="92">
        <f>IFERROR(__xludf.DUMMYFUNCTION("""COMPUTED_VALUE"""),0.0)</f>
        <v>0</v>
      </c>
      <c r="AZ13" s="92">
        <f>IFERROR(__xludf.DUMMYFUNCTION("""COMPUTED_VALUE"""),0.0)</f>
        <v>0</v>
      </c>
      <c r="BA13" s="92">
        <f>IFERROR(__xludf.DUMMYFUNCTION("""COMPUTED_VALUE"""),0.0)</f>
        <v>0</v>
      </c>
      <c r="BB13" s="92" t="str">
        <f>IFERROR(__xludf.DUMMYFUNCTION("""COMPUTED_VALUE"""),"リストBE")</f>
        <v>リストBE</v>
      </c>
      <c r="BC13" s="92">
        <f>IFERROR(__xludf.DUMMYFUNCTION("""COMPUTED_VALUE"""),0.0)</f>
        <v>0</v>
      </c>
      <c r="BD13" s="92">
        <f>IFERROR(__xludf.DUMMYFUNCTION("""COMPUTED_VALUE"""),0.0)</f>
        <v>0</v>
      </c>
      <c r="BE13" s="92">
        <f>IFERROR(__xludf.DUMMYFUNCTION("""COMPUTED_VALUE"""),0.0)</f>
        <v>0</v>
      </c>
      <c r="BF13" s="92" t="str">
        <f>IFERROR(__xludf.DUMMYFUNCTION("""COMPUTED_VALUE"""),"リストBE")</f>
        <v>リストBE</v>
      </c>
      <c r="BG13" s="92"/>
      <c r="BH13" s="92"/>
      <c r="BI13" s="92"/>
      <c r="BJ13" s="92"/>
      <c r="BK13" s="92"/>
      <c r="BL13" s="92"/>
      <c r="BM13" s="92"/>
      <c r="BN13" s="92"/>
      <c r="BO13" s="92"/>
      <c r="BP13" s="92"/>
    </row>
    <row r="14">
      <c r="A14" s="92"/>
      <c r="B14" s="93" t="str">
        <f>IFERROR(__xludf.DUMMYFUNCTION("""COMPUTED_VALUE"""),"リストS")</f>
        <v>リストS</v>
      </c>
      <c r="C14" s="93">
        <f>IFERROR(__xludf.DUMMYFUNCTION("""COMPUTED_VALUE"""),4000.0)</f>
        <v>4000</v>
      </c>
      <c r="D14" s="94">
        <f>IFERROR(__xludf.DUMMYFUNCTION("""COMPUTED_VALUE"""),8.0)</f>
        <v>8</v>
      </c>
      <c r="E14" s="94">
        <f>IFERROR(__xludf.DUMMYFUNCTION("""COMPUTED_VALUE"""),9.0)</f>
        <v>9</v>
      </c>
      <c r="F14" s="93" t="str">
        <f>IFERROR(__xludf.DUMMYFUNCTION("""COMPUTED_VALUE"""),"リストS")</f>
        <v>リストS</v>
      </c>
      <c r="G14" s="93">
        <f>IFERROR(__xludf.DUMMYFUNCTION("""COMPUTED_VALUE"""),4000.0)</f>
        <v>4000</v>
      </c>
      <c r="H14" s="93">
        <f>IFERROR(__xludf.DUMMYFUNCTION("""COMPUTED_VALUE"""),6.0)</f>
        <v>6</v>
      </c>
      <c r="I14" s="93">
        <f>IFERROR(__xludf.DUMMYFUNCTION("""COMPUTED_VALUE"""),10.0)</f>
        <v>10</v>
      </c>
      <c r="J14" s="93" t="str">
        <f>IFERROR(__xludf.DUMMYFUNCTION("""COMPUTED_VALUE"""),"リストS")</f>
        <v>リストS</v>
      </c>
      <c r="K14" s="93">
        <f>IFERROR(__xludf.DUMMYFUNCTION("""COMPUTED_VALUE"""),4000.0)</f>
        <v>4000</v>
      </c>
      <c r="L14" s="94">
        <f>IFERROR(__xludf.DUMMYFUNCTION("""COMPUTED_VALUE"""),28.0)</f>
        <v>28</v>
      </c>
      <c r="M14" s="94">
        <f>IFERROR(__xludf.DUMMYFUNCTION("""COMPUTED_VALUE"""),39.0)</f>
        <v>39</v>
      </c>
      <c r="N14" s="93" t="str">
        <f>IFERROR(__xludf.DUMMYFUNCTION("""COMPUTED_VALUE"""),"リストS")</f>
        <v>リストS</v>
      </c>
      <c r="O14" s="93">
        <f>IFERROR(__xludf.DUMMYFUNCTION("""COMPUTED_VALUE"""),4000.0)</f>
        <v>4000</v>
      </c>
      <c r="P14" s="94">
        <f>IFERROR(__xludf.DUMMYFUNCTION("""COMPUTED_VALUE"""),0.0)</f>
        <v>0</v>
      </c>
      <c r="Q14" s="94">
        <f>IFERROR(__xludf.DUMMYFUNCTION("""COMPUTED_VALUE"""),7.0)</f>
        <v>7</v>
      </c>
      <c r="R14" s="93" t="str">
        <f>IFERROR(__xludf.DUMMYFUNCTION("""COMPUTED_VALUE"""),"リストS")</f>
        <v>リストS</v>
      </c>
      <c r="S14" s="93">
        <f>IFERROR(__xludf.DUMMYFUNCTION("""COMPUTED_VALUE"""),2500.0)</f>
        <v>2500</v>
      </c>
      <c r="T14" s="94">
        <f>IFERROR(__xludf.DUMMYFUNCTION("""COMPUTED_VALUE"""),9.0)</f>
        <v>9</v>
      </c>
      <c r="U14" s="94">
        <f>IFERROR(__xludf.DUMMYFUNCTION("""COMPUTED_VALUE"""),11.0)</f>
        <v>11</v>
      </c>
      <c r="V14" s="93" t="str">
        <f>IFERROR(__xludf.DUMMYFUNCTION("""COMPUTED_VALUE"""),"リストS")</f>
        <v>リストS</v>
      </c>
      <c r="W14" s="93">
        <f>IFERROR(__xludf.DUMMYFUNCTION("""COMPUTED_VALUE"""),3000.0)</f>
        <v>3000</v>
      </c>
      <c r="X14" s="94">
        <f>IFERROR(__xludf.DUMMYFUNCTION("""COMPUTED_VALUE"""),84.0)</f>
        <v>84</v>
      </c>
      <c r="Y14" s="94">
        <f>IFERROR(__xludf.DUMMYFUNCTION("""COMPUTED_VALUE"""),92.0)</f>
        <v>92</v>
      </c>
      <c r="Z14" s="93" t="str">
        <f>IFERROR(__xludf.DUMMYFUNCTION("""COMPUTED_VALUE"""),"リストS")</f>
        <v>リストS</v>
      </c>
      <c r="AA14" s="93">
        <f>IFERROR(__xludf.DUMMYFUNCTION("""COMPUTED_VALUE"""),2500.0)</f>
        <v>2500</v>
      </c>
      <c r="AB14" s="94">
        <f>IFERROR(__xludf.DUMMYFUNCTION("""COMPUTED_VALUE"""),38.5)</f>
        <v>38.5</v>
      </c>
      <c r="AC14" s="94">
        <f>IFERROR(__xludf.DUMMYFUNCTION("""COMPUTED_VALUE"""),49.0)</f>
        <v>49</v>
      </c>
      <c r="AD14" s="93" t="str">
        <f>IFERROR(__xludf.DUMMYFUNCTION("""COMPUTED_VALUE"""),"リストS")</f>
        <v>リストS</v>
      </c>
      <c r="AE14" s="93">
        <f>IFERROR(__xludf.DUMMYFUNCTION("""COMPUTED_VALUE"""),3000.0)</f>
        <v>3000</v>
      </c>
      <c r="AF14" s="94">
        <f>IFERROR(__xludf.DUMMYFUNCTION("""COMPUTED_VALUE"""),81.0)</f>
        <v>81</v>
      </c>
      <c r="AG14" s="94">
        <f>IFERROR(__xludf.DUMMYFUNCTION("""COMPUTED_VALUE"""),110.0)</f>
        <v>110</v>
      </c>
      <c r="AH14" s="96" t="str">
        <f>IFERROR(__xludf.DUMMYFUNCTION("""COMPUTED_VALUE"""),"リストS")</f>
        <v>リストS</v>
      </c>
      <c r="AI14" s="96">
        <f>IFERROR(__xludf.DUMMYFUNCTION("""COMPUTED_VALUE"""),2000.0)</f>
        <v>2000</v>
      </c>
      <c r="AJ14" s="96">
        <f>IFERROR(__xludf.DUMMYFUNCTION("""COMPUTED_VALUE"""),104.0)</f>
        <v>104</v>
      </c>
      <c r="AK14" s="97">
        <f>IFERROR(__xludf.DUMMYFUNCTION("""COMPUTED_VALUE"""),132.0)</f>
        <v>132</v>
      </c>
      <c r="AL14" s="98" t="str">
        <f>IFERROR(__xludf.DUMMYFUNCTION("""COMPUTED_VALUE"""),"リストS")</f>
        <v>リストS</v>
      </c>
      <c r="AM14" s="98">
        <f>IFERROR(__xludf.DUMMYFUNCTION("""COMPUTED_VALUE"""),2000.0)</f>
        <v>2000</v>
      </c>
      <c r="AN14" s="98">
        <f>IFERROR(__xludf.DUMMYFUNCTION("""COMPUTED_VALUE"""),72.0)</f>
        <v>72</v>
      </c>
      <c r="AO14" s="98">
        <f>IFERROR(__xludf.DUMMYFUNCTION("""COMPUTED_VALUE"""),142.0)</f>
        <v>142</v>
      </c>
      <c r="AP14" s="92" t="str">
        <f>IFERROR(__xludf.DUMMYFUNCTION("""COMPUTED_VALUE"""),"リストS")</f>
        <v>リストS</v>
      </c>
      <c r="AQ14" s="92">
        <f>IFERROR(__xludf.DUMMYFUNCTION("""COMPUTED_VALUE"""),1000.0)</f>
        <v>1000</v>
      </c>
      <c r="AR14" s="92">
        <f>IFERROR(__xludf.DUMMYFUNCTION("""COMPUTED_VALUE"""),57.0)</f>
        <v>57</v>
      </c>
      <c r="AS14" s="92">
        <f>IFERROR(__xludf.DUMMYFUNCTION("""COMPUTED_VALUE"""),104.0)</f>
        <v>104</v>
      </c>
      <c r="AT14" s="92" t="str">
        <f>IFERROR(__xludf.DUMMYFUNCTION("""COMPUTED_VALUE"""),"リストS")</f>
        <v>リストS</v>
      </c>
      <c r="AU14" s="92">
        <f>IFERROR(__xludf.DUMMYFUNCTION("""COMPUTED_VALUE"""),4000.0)</f>
        <v>4000</v>
      </c>
      <c r="AV14" s="92">
        <f>IFERROR(__xludf.DUMMYFUNCTION("""COMPUTED_VALUE"""),22.0)</f>
        <v>22</v>
      </c>
      <c r="AW14" s="92">
        <f>IFERROR(__xludf.DUMMYFUNCTION("""COMPUTED_VALUE"""),48.0)</f>
        <v>48</v>
      </c>
      <c r="AX14" s="92" t="str">
        <f>IFERROR(__xludf.DUMMYFUNCTION("""COMPUTED_VALUE"""),"リストS")</f>
        <v>リストS</v>
      </c>
      <c r="AY14" s="92">
        <f>IFERROR(__xludf.DUMMYFUNCTION("""COMPUTED_VALUE"""),27000.0)</f>
        <v>27000</v>
      </c>
      <c r="AZ14" s="92">
        <f>IFERROR(__xludf.DUMMYFUNCTION("""COMPUTED_VALUE"""),59.0)</f>
        <v>59</v>
      </c>
      <c r="BA14" s="92">
        <f>IFERROR(__xludf.DUMMYFUNCTION("""COMPUTED_VALUE"""),91.0)</f>
        <v>91</v>
      </c>
      <c r="BB14" s="92" t="str">
        <f>IFERROR(__xludf.DUMMYFUNCTION("""COMPUTED_VALUE"""),"リストS")</f>
        <v>リストS</v>
      </c>
      <c r="BC14" s="92">
        <f>IFERROR(__xludf.DUMMYFUNCTION("""COMPUTED_VALUE"""),7000.0)</f>
        <v>7000</v>
      </c>
      <c r="BD14" s="92">
        <f>IFERROR(__xludf.DUMMYFUNCTION("""COMPUTED_VALUE"""),73.0)</f>
        <v>73</v>
      </c>
      <c r="BE14" s="92">
        <f>IFERROR(__xludf.DUMMYFUNCTION("""COMPUTED_VALUE"""),163.0)</f>
        <v>163</v>
      </c>
      <c r="BF14" s="92" t="str">
        <f>IFERROR(__xludf.DUMMYFUNCTION("""COMPUTED_VALUE"""),"リストS")</f>
        <v>リストS</v>
      </c>
      <c r="BG14" s="92"/>
      <c r="BH14" s="92"/>
      <c r="BI14" s="92"/>
      <c r="BJ14" s="92"/>
      <c r="BK14" s="92"/>
      <c r="BL14" s="92"/>
      <c r="BM14" s="92"/>
      <c r="BN14" s="92"/>
      <c r="BO14" s="92"/>
      <c r="BP14" s="92"/>
    </row>
    <row r="15">
      <c r="A15" s="92"/>
      <c r="B15" s="99" t="str">
        <f>IFERROR(__xludf.DUMMYFUNCTION("""COMPUTED_VALUE"""),"リストE")</f>
        <v>リストE</v>
      </c>
      <c r="C15" s="99">
        <f>IFERROR(__xludf.DUMMYFUNCTION("""COMPUTED_VALUE"""),11000.0)</f>
        <v>11000</v>
      </c>
      <c r="D15" s="100">
        <f>IFERROR(__xludf.DUMMYFUNCTION("""COMPUTED_VALUE"""),7.0)</f>
        <v>7</v>
      </c>
      <c r="E15" s="100">
        <f>IFERROR(__xludf.DUMMYFUNCTION("""COMPUTED_VALUE"""),10.0)</f>
        <v>10</v>
      </c>
      <c r="F15" s="99" t="str">
        <f>IFERROR(__xludf.DUMMYFUNCTION("""COMPUTED_VALUE"""),"リストE")</f>
        <v>リストE</v>
      </c>
      <c r="G15" s="99">
        <f>IFERROR(__xludf.DUMMYFUNCTION("""COMPUTED_VALUE"""),4000.0)</f>
        <v>4000</v>
      </c>
      <c r="H15" s="101">
        <f>IFERROR(__xludf.DUMMYFUNCTION("""COMPUTED_VALUE"""),5.0)</f>
        <v>5</v>
      </c>
      <c r="I15" s="101">
        <f>IFERROR(__xludf.DUMMYFUNCTION("""COMPUTED_VALUE"""),7.0)</f>
        <v>7</v>
      </c>
      <c r="J15" s="99" t="str">
        <f>IFERROR(__xludf.DUMMYFUNCTION("""COMPUTED_VALUE"""),"リストE")</f>
        <v>リストE</v>
      </c>
      <c r="K15" s="99">
        <f>IFERROR(__xludf.DUMMYFUNCTION("""COMPUTED_VALUE"""),4000.0)</f>
        <v>4000</v>
      </c>
      <c r="L15" s="100">
        <f>IFERROR(__xludf.DUMMYFUNCTION("""COMPUTED_VALUE"""),40.0)</f>
        <v>40</v>
      </c>
      <c r="M15" s="100">
        <f>IFERROR(__xludf.DUMMYFUNCTION("""COMPUTED_VALUE"""),36.0)</f>
        <v>36</v>
      </c>
      <c r="N15" s="99" t="str">
        <f>IFERROR(__xludf.DUMMYFUNCTION("""COMPUTED_VALUE"""),"リストE")</f>
        <v>リストE</v>
      </c>
      <c r="O15" s="99">
        <f>IFERROR(__xludf.DUMMYFUNCTION("""COMPUTED_VALUE"""),4000.0)</f>
        <v>4000</v>
      </c>
      <c r="P15" s="100">
        <f>IFERROR(__xludf.DUMMYFUNCTION("""COMPUTED_VALUE"""),7.0)</f>
        <v>7</v>
      </c>
      <c r="Q15" s="100">
        <f>IFERROR(__xludf.DUMMYFUNCTION("""COMPUTED_VALUE"""),13.0)</f>
        <v>13</v>
      </c>
      <c r="R15" s="99" t="str">
        <f>IFERROR(__xludf.DUMMYFUNCTION("""COMPUTED_VALUE"""),"リストE")</f>
        <v>リストE</v>
      </c>
      <c r="S15" s="99">
        <f>IFERROR(__xludf.DUMMYFUNCTION("""COMPUTED_VALUE"""),2500.0)</f>
        <v>2500</v>
      </c>
      <c r="T15" s="100">
        <f>IFERROR(__xludf.DUMMYFUNCTION("""COMPUTED_VALUE"""),26.0)</f>
        <v>26</v>
      </c>
      <c r="U15" s="100">
        <f>IFERROR(__xludf.DUMMYFUNCTION("""COMPUTED_VALUE"""),25.0)</f>
        <v>25</v>
      </c>
      <c r="V15" s="99" t="str">
        <f>IFERROR(__xludf.DUMMYFUNCTION("""COMPUTED_VALUE"""),"リストE")</f>
        <v>リストE</v>
      </c>
      <c r="W15" s="99">
        <f>IFERROR(__xludf.DUMMYFUNCTION("""COMPUTED_VALUE"""),3000.0)</f>
        <v>3000</v>
      </c>
      <c r="X15" s="100">
        <f>IFERROR(__xludf.DUMMYFUNCTION("""COMPUTED_VALUE"""),101.0)</f>
        <v>101</v>
      </c>
      <c r="Y15" s="100">
        <f>IFERROR(__xludf.DUMMYFUNCTION("""COMPUTED_VALUE"""),119.0)</f>
        <v>119</v>
      </c>
      <c r="Z15" s="99" t="str">
        <f>IFERROR(__xludf.DUMMYFUNCTION("""COMPUTED_VALUE"""),"リストE")</f>
        <v>リストE</v>
      </c>
      <c r="AA15" s="99">
        <f>IFERROR(__xludf.DUMMYFUNCTION("""COMPUTED_VALUE"""),2500.0)</f>
        <v>2500</v>
      </c>
      <c r="AB15" s="100">
        <f>IFERROR(__xludf.DUMMYFUNCTION("""COMPUTED_VALUE"""),55.5)</f>
        <v>55.5</v>
      </c>
      <c r="AC15" s="100">
        <f>IFERROR(__xludf.DUMMYFUNCTION("""COMPUTED_VALUE"""),52.0)</f>
        <v>52</v>
      </c>
      <c r="AD15" s="99" t="str">
        <f>IFERROR(__xludf.DUMMYFUNCTION("""COMPUTED_VALUE"""),"リストE")</f>
        <v>リストE</v>
      </c>
      <c r="AE15" s="99">
        <f>IFERROR(__xludf.DUMMYFUNCTION("""COMPUTED_VALUE"""),3000.0)</f>
        <v>3000</v>
      </c>
      <c r="AF15" s="100">
        <f>IFERROR(__xludf.DUMMYFUNCTION("""COMPUTED_VALUE"""),97.0)</f>
        <v>97</v>
      </c>
      <c r="AG15" s="100">
        <f>IFERROR(__xludf.DUMMYFUNCTION("""COMPUTED_VALUE"""),129.0)</f>
        <v>129</v>
      </c>
      <c r="AH15" s="102" t="str">
        <f>IFERROR(__xludf.DUMMYFUNCTION("""COMPUTED_VALUE"""),"リストE")</f>
        <v>リストE</v>
      </c>
      <c r="AI15" s="102">
        <f>IFERROR(__xludf.DUMMYFUNCTION("""COMPUTED_VALUE"""),4000.0)</f>
        <v>4000</v>
      </c>
      <c r="AJ15" s="103">
        <f>IFERROR(__xludf.DUMMYFUNCTION("""COMPUTED_VALUE"""),44.0)</f>
        <v>44</v>
      </c>
      <c r="AK15" s="104">
        <f>IFERROR(__xludf.DUMMYFUNCTION("""COMPUTED_VALUE"""),66.0)</f>
        <v>66</v>
      </c>
      <c r="AL15" s="105" t="str">
        <f>IFERROR(__xludf.DUMMYFUNCTION("""COMPUTED_VALUE"""),"リストE")</f>
        <v>リストE</v>
      </c>
      <c r="AM15" s="105">
        <f>IFERROR(__xludf.DUMMYFUNCTION("""COMPUTED_VALUE"""),3000.0)</f>
        <v>3000</v>
      </c>
      <c r="AN15" s="106">
        <f>IFERROR(__xludf.DUMMYFUNCTION("""COMPUTED_VALUE"""),14.0)</f>
        <v>14</v>
      </c>
      <c r="AO15" s="106">
        <f>IFERROR(__xludf.DUMMYFUNCTION("""COMPUTED_VALUE"""),38.0)</f>
        <v>38</v>
      </c>
      <c r="AP15" s="92" t="str">
        <f>IFERROR(__xludf.DUMMYFUNCTION("""COMPUTED_VALUE"""),"リストE")</f>
        <v>リストE</v>
      </c>
      <c r="AQ15" s="92">
        <f>IFERROR(__xludf.DUMMYFUNCTION("""COMPUTED_VALUE"""),1000.0)</f>
        <v>1000</v>
      </c>
      <c r="AR15" s="107">
        <f>IFERROR(__xludf.DUMMYFUNCTION("""COMPUTED_VALUE"""),75.0)</f>
        <v>75</v>
      </c>
      <c r="AS15" s="107">
        <f>IFERROR(__xludf.DUMMYFUNCTION("""COMPUTED_VALUE"""),97.0)</f>
        <v>97</v>
      </c>
      <c r="AT15" s="92" t="str">
        <f>IFERROR(__xludf.DUMMYFUNCTION("""COMPUTED_VALUE"""),"リストE")</f>
        <v>リストE</v>
      </c>
      <c r="AU15" s="92">
        <f>IFERROR(__xludf.DUMMYFUNCTION("""COMPUTED_VALUE"""),2000.0)</f>
        <v>2000</v>
      </c>
      <c r="AV15" s="107">
        <f>IFERROR(__xludf.DUMMYFUNCTION("""COMPUTED_VALUE"""),88.0)</f>
        <v>88</v>
      </c>
      <c r="AW15" s="107">
        <f>IFERROR(__xludf.DUMMYFUNCTION("""COMPUTED_VALUE"""),123.0)</f>
        <v>123</v>
      </c>
      <c r="AX15" s="92" t="str">
        <f>IFERROR(__xludf.DUMMYFUNCTION("""COMPUTED_VALUE"""),"リストE")</f>
        <v>リストE</v>
      </c>
      <c r="AY15" s="92">
        <f>IFERROR(__xludf.DUMMYFUNCTION("""COMPUTED_VALUE"""),9000.0)</f>
        <v>9000</v>
      </c>
      <c r="AZ15" s="107">
        <f>IFERROR(__xludf.DUMMYFUNCTION("""COMPUTED_VALUE"""),88.0)</f>
        <v>88</v>
      </c>
      <c r="BA15" s="107">
        <f>IFERROR(__xludf.DUMMYFUNCTION("""COMPUTED_VALUE"""),145.0)</f>
        <v>145</v>
      </c>
      <c r="BB15" s="92" t="str">
        <f>IFERROR(__xludf.DUMMYFUNCTION("""COMPUTED_VALUE"""),"リストE")</f>
        <v>リストE</v>
      </c>
      <c r="BC15" s="92">
        <f>IFERROR(__xludf.DUMMYFUNCTION("""COMPUTED_VALUE"""),5000.0)</f>
        <v>5000</v>
      </c>
      <c r="BD15" s="107">
        <f>IFERROR(__xludf.DUMMYFUNCTION("""COMPUTED_VALUE"""),82.0)</f>
        <v>82</v>
      </c>
      <c r="BE15" s="107">
        <f>IFERROR(__xludf.DUMMYFUNCTION("""COMPUTED_VALUE"""),147.0)</f>
        <v>147</v>
      </c>
      <c r="BF15" s="92" t="str">
        <f>IFERROR(__xludf.DUMMYFUNCTION("""COMPUTED_VALUE"""),"リストE")</f>
        <v>リストE</v>
      </c>
      <c r="BG15" s="92"/>
      <c r="BH15" s="92"/>
      <c r="BI15" s="92"/>
      <c r="BJ15" s="92"/>
      <c r="BK15" s="92"/>
      <c r="BL15" s="92"/>
      <c r="BM15" s="92"/>
      <c r="BN15" s="92"/>
      <c r="BO15" s="92"/>
      <c r="BP15" s="92"/>
    </row>
    <row r="16">
      <c r="A16" s="92"/>
      <c r="B16" s="108" t="str">
        <f>IFERROR(__xludf.DUMMYFUNCTION("""COMPUTED_VALUE"""),"TOTAL")</f>
        <v>TOTAL</v>
      </c>
      <c r="C16" s="108">
        <f>IFERROR(__xludf.DUMMYFUNCTION("""COMPUTED_VALUE"""),22000.0)</f>
        <v>22000</v>
      </c>
      <c r="D16" s="109">
        <f>IFERROR(__xludf.DUMMYFUNCTION("""COMPUTED_VALUE"""),22.0)</f>
        <v>22</v>
      </c>
      <c r="E16" s="109">
        <f>IFERROR(__xludf.DUMMYFUNCTION("""COMPUTED_VALUE"""),32.0)</f>
        <v>32</v>
      </c>
      <c r="F16" s="108" t="str">
        <f>IFERROR(__xludf.DUMMYFUNCTION("""COMPUTED_VALUE"""),"TOTAL")</f>
        <v>TOTAL</v>
      </c>
      <c r="G16" s="108">
        <f>IFERROR(__xludf.DUMMYFUNCTION("""COMPUTED_VALUE"""),16000.0)</f>
        <v>16000</v>
      </c>
      <c r="H16" s="109">
        <f>IFERROR(__xludf.DUMMYFUNCTION("""COMPUTED_VALUE"""),16.0)</f>
        <v>16</v>
      </c>
      <c r="I16" s="109">
        <f>IFERROR(__xludf.DUMMYFUNCTION("""COMPUTED_VALUE"""),23.0)</f>
        <v>23</v>
      </c>
      <c r="J16" s="108" t="str">
        <f>IFERROR(__xludf.DUMMYFUNCTION("""COMPUTED_VALUE"""),"TOTAL")</f>
        <v>TOTAL</v>
      </c>
      <c r="K16" s="108">
        <f>IFERROR(__xludf.DUMMYFUNCTION("""COMPUTED_VALUE"""),16000.0)</f>
        <v>16000</v>
      </c>
      <c r="L16" s="109">
        <f>IFERROR(__xludf.DUMMYFUNCTION("""COMPUTED_VALUE"""),81.0)</f>
        <v>81</v>
      </c>
      <c r="M16" s="109">
        <f>IFERROR(__xludf.DUMMYFUNCTION("""COMPUTED_VALUE"""),89.0)</f>
        <v>89</v>
      </c>
      <c r="N16" s="108" t="str">
        <f>IFERROR(__xludf.DUMMYFUNCTION("""COMPUTED_VALUE"""),"TOTAL")</f>
        <v>TOTAL</v>
      </c>
      <c r="O16" s="108">
        <f>IFERROR(__xludf.DUMMYFUNCTION("""COMPUTED_VALUE"""),16000.0)</f>
        <v>16000</v>
      </c>
      <c r="P16" s="109">
        <f>IFERROR(__xludf.DUMMYFUNCTION("""COMPUTED_VALUE"""),9.0)</f>
        <v>9</v>
      </c>
      <c r="Q16" s="109">
        <f>IFERROR(__xludf.DUMMYFUNCTION("""COMPUTED_VALUE"""),32.0)</f>
        <v>32</v>
      </c>
      <c r="R16" s="108" t="str">
        <f>IFERROR(__xludf.DUMMYFUNCTION("""COMPUTED_VALUE"""),"TOTAL")</f>
        <v>TOTAL</v>
      </c>
      <c r="S16" s="108">
        <f>IFERROR(__xludf.DUMMYFUNCTION("""COMPUTED_VALUE"""),10000.0)</f>
        <v>10000</v>
      </c>
      <c r="T16" s="109">
        <f>IFERROR(__xludf.DUMMYFUNCTION("""COMPUTED_VALUE"""),48.0)</f>
        <v>48</v>
      </c>
      <c r="U16" s="109">
        <f>IFERROR(__xludf.DUMMYFUNCTION("""COMPUTED_VALUE"""),51.0)</f>
        <v>51</v>
      </c>
      <c r="V16" s="108" t="str">
        <f>IFERROR(__xludf.DUMMYFUNCTION("""COMPUTED_VALUE"""),"TOTAL")</f>
        <v>TOTAL</v>
      </c>
      <c r="W16" s="108">
        <f>IFERROR(__xludf.DUMMYFUNCTION("""COMPUTED_VALUE"""),10000.0)</f>
        <v>10000</v>
      </c>
      <c r="X16" s="109">
        <f>IFERROR(__xludf.DUMMYFUNCTION("""COMPUTED_VALUE"""),185.0)</f>
        <v>185</v>
      </c>
      <c r="Y16" s="109">
        <f>IFERROR(__xludf.DUMMYFUNCTION("""COMPUTED_VALUE"""),211.0)</f>
        <v>211</v>
      </c>
      <c r="Z16" s="108" t="str">
        <f>IFERROR(__xludf.DUMMYFUNCTION("""COMPUTED_VALUE"""),"TOTAL")</f>
        <v>TOTAL</v>
      </c>
      <c r="AA16" s="108">
        <f>IFERROR(__xludf.DUMMYFUNCTION("""COMPUTED_VALUE"""),10000.0)</f>
        <v>10000</v>
      </c>
      <c r="AB16" s="109">
        <f>IFERROR(__xludf.DUMMYFUNCTION("""COMPUTED_VALUE"""),126.5)</f>
        <v>126.5</v>
      </c>
      <c r="AC16" s="109">
        <f>IFERROR(__xludf.DUMMYFUNCTION("""COMPUTED_VALUE"""),144.0)</f>
        <v>144</v>
      </c>
      <c r="AD16" s="108" t="str">
        <f>IFERROR(__xludf.DUMMYFUNCTION("""COMPUTED_VALUE"""),"TOTAL")</f>
        <v>TOTAL</v>
      </c>
      <c r="AE16" s="108">
        <f>IFERROR(__xludf.DUMMYFUNCTION("""COMPUTED_VALUE"""),10000.0)</f>
        <v>10000</v>
      </c>
      <c r="AF16" s="109">
        <f>IFERROR(__xludf.DUMMYFUNCTION("""COMPUTED_VALUE"""),200.0)</f>
        <v>200</v>
      </c>
      <c r="AG16" s="109">
        <f>IFERROR(__xludf.DUMMYFUNCTION("""COMPUTED_VALUE"""),267.0)</f>
        <v>267</v>
      </c>
      <c r="AH16" s="96" t="str">
        <f>IFERROR(__xludf.DUMMYFUNCTION("""COMPUTED_VALUE"""),"TOTAL")</f>
        <v>TOTAL</v>
      </c>
      <c r="AI16" s="96">
        <f>IFERROR(__xludf.DUMMYFUNCTION("""COMPUTED_VALUE"""),7000.0)</f>
        <v>7000</v>
      </c>
      <c r="AJ16" s="96">
        <f>IFERROR(__xludf.DUMMYFUNCTION("""COMPUTED_VALUE"""),148.0)</f>
        <v>148</v>
      </c>
      <c r="AK16" s="97">
        <f>IFERROR(__xludf.DUMMYFUNCTION("""COMPUTED_VALUE"""),198.0)</f>
        <v>198</v>
      </c>
      <c r="AL16" s="98" t="str">
        <f>IFERROR(__xludf.DUMMYFUNCTION("""COMPUTED_VALUE"""),"TOTAL")</f>
        <v>TOTAL</v>
      </c>
      <c r="AM16" s="98">
        <f>IFERROR(__xludf.DUMMYFUNCTION("""COMPUTED_VALUE"""),7000.0)</f>
        <v>7000</v>
      </c>
      <c r="AN16" s="110">
        <f>IFERROR(__xludf.DUMMYFUNCTION("""COMPUTED_VALUE"""),91.0)</f>
        <v>91</v>
      </c>
      <c r="AO16" s="110">
        <f>IFERROR(__xludf.DUMMYFUNCTION("""COMPUTED_VALUE"""),192.0)</f>
        <v>192</v>
      </c>
      <c r="AP16" s="92" t="str">
        <f>IFERROR(__xludf.DUMMYFUNCTION("""COMPUTED_VALUE"""),"TOTAL")</f>
        <v>TOTAL</v>
      </c>
      <c r="AQ16" s="92">
        <f>IFERROR(__xludf.DUMMYFUNCTION("""COMPUTED_VALUE"""),5000.0)</f>
        <v>5000</v>
      </c>
      <c r="AR16" s="92">
        <f>IFERROR(__xludf.DUMMYFUNCTION("""COMPUTED_VALUE"""),132.0)</f>
        <v>132</v>
      </c>
      <c r="AS16" s="92">
        <f>IFERROR(__xludf.DUMMYFUNCTION("""COMPUTED_VALUE"""),201.0)</f>
        <v>201</v>
      </c>
      <c r="AT16" s="92" t="str">
        <f>IFERROR(__xludf.DUMMYFUNCTION("""COMPUTED_VALUE"""),"TOTAL")</f>
        <v>TOTAL</v>
      </c>
      <c r="AU16" s="92">
        <f>IFERROR(__xludf.DUMMYFUNCTION("""COMPUTED_VALUE"""),6000.0)</f>
        <v>6000</v>
      </c>
      <c r="AV16" s="92">
        <f>IFERROR(__xludf.DUMMYFUNCTION("""COMPUTED_VALUE"""),110.0)</f>
        <v>110</v>
      </c>
      <c r="AW16" s="92">
        <f>IFERROR(__xludf.DUMMYFUNCTION("""COMPUTED_VALUE"""),171.0)</f>
        <v>171</v>
      </c>
      <c r="AX16" s="92" t="str">
        <f>IFERROR(__xludf.DUMMYFUNCTION("""COMPUTED_VALUE"""),"TOTAL")</f>
        <v>TOTAL</v>
      </c>
      <c r="AY16" s="92">
        <f>IFERROR(__xludf.DUMMYFUNCTION("""COMPUTED_VALUE"""),36000.0)</f>
        <v>36000</v>
      </c>
      <c r="AZ16" s="107">
        <f>IFERROR(__xludf.DUMMYFUNCTION("""COMPUTED_VALUE"""),147.0)</f>
        <v>147</v>
      </c>
      <c r="BA16" s="107">
        <f>IFERROR(__xludf.DUMMYFUNCTION("""COMPUTED_VALUE"""),236.0)</f>
        <v>236</v>
      </c>
      <c r="BB16" s="92" t="str">
        <f>IFERROR(__xludf.DUMMYFUNCTION("""COMPUTED_VALUE"""),"TOTAL")</f>
        <v>TOTAL</v>
      </c>
      <c r="BC16" s="92">
        <f>IFERROR(__xludf.DUMMYFUNCTION("""COMPUTED_VALUE"""),12000.0)</f>
        <v>12000</v>
      </c>
      <c r="BD16" s="107">
        <f>IFERROR(__xludf.DUMMYFUNCTION("""COMPUTED_VALUE"""),155.0)</f>
        <v>155</v>
      </c>
      <c r="BE16" s="107">
        <f>IFERROR(__xludf.DUMMYFUNCTION("""COMPUTED_VALUE"""),310.0)</f>
        <v>310</v>
      </c>
      <c r="BF16" s="92" t="str">
        <f>IFERROR(__xludf.DUMMYFUNCTION("""COMPUTED_VALUE"""),"TOTAL")</f>
        <v>TOTAL</v>
      </c>
      <c r="BG16" s="92"/>
      <c r="BH16" s="92"/>
      <c r="BI16" s="92"/>
      <c r="BJ16" s="92"/>
      <c r="BK16" s="92"/>
      <c r="BL16" s="92"/>
      <c r="BM16" s="92"/>
      <c r="BN16" s="92"/>
      <c r="BO16" s="92"/>
      <c r="BP16" s="92"/>
    </row>
    <row r="17">
      <c r="A17" s="79"/>
      <c r="B17" s="88"/>
      <c r="C17" s="88" t="str">
        <f>IFERROR(__xludf.DUMMYFUNCTION("""COMPUTED_VALUE"""),"打電数")</f>
        <v>打電数</v>
      </c>
      <c r="D17" s="88" t="str">
        <f>IFERROR(__xludf.DUMMYFUNCTION("""COMPUTED_VALUE"""),"着電数")</f>
        <v>着電数</v>
      </c>
      <c r="E17" s="88" t="str">
        <f>IFERROR(__xludf.DUMMYFUNCTION("""COMPUTED_VALUE"""),"新規信用枠")</f>
        <v>新規信用枠</v>
      </c>
      <c r="F17" s="88"/>
      <c r="G17" s="88" t="str">
        <f>IFERROR(__xludf.DUMMYFUNCTION("""COMPUTED_VALUE"""),"打電数")</f>
        <v>打電数</v>
      </c>
      <c r="H17" s="88" t="str">
        <f>IFERROR(__xludf.DUMMYFUNCTION("""COMPUTED_VALUE"""),"着電数")</f>
        <v>着電数</v>
      </c>
      <c r="I17" s="88" t="str">
        <f>IFERROR(__xludf.DUMMYFUNCTION("""COMPUTED_VALUE"""),"SMS送信数")</f>
        <v>SMS送信数</v>
      </c>
      <c r="J17" s="88"/>
      <c r="K17" s="88" t="str">
        <f>IFERROR(__xludf.DUMMYFUNCTION("""COMPUTED_VALUE"""),"打電数")</f>
        <v>打電数</v>
      </c>
      <c r="L17" s="88" t="str">
        <f>IFERROR(__xludf.DUMMYFUNCTION("""COMPUTED_VALUE"""),"着電数")</f>
        <v>着電数</v>
      </c>
      <c r="M17" s="88" t="str">
        <f>IFERROR(__xludf.DUMMYFUNCTION("""COMPUTED_VALUE"""),"新規信用枠")</f>
        <v>新規信用枠</v>
      </c>
      <c r="N17" s="88"/>
      <c r="O17" s="88" t="str">
        <f>IFERROR(__xludf.DUMMYFUNCTION("""COMPUTED_VALUE"""),"打電数")</f>
        <v>打電数</v>
      </c>
      <c r="P17" s="88" t="str">
        <f>IFERROR(__xludf.DUMMYFUNCTION("""COMPUTED_VALUE"""),"着電数")</f>
        <v>着電数</v>
      </c>
      <c r="Q17" s="88" t="str">
        <f>IFERROR(__xludf.DUMMYFUNCTION("""COMPUTED_VALUE"""),"新規信用枠")</f>
        <v>新規信用枠</v>
      </c>
      <c r="R17" s="88"/>
      <c r="S17" s="88" t="str">
        <f>IFERROR(__xludf.DUMMYFUNCTION("""COMPUTED_VALUE"""),"打電数")</f>
        <v>打電数</v>
      </c>
      <c r="T17" s="88" t="str">
        <f>IFERROR(__xludf.DUMMYFUNCTION("""COMPUTED_VALUE"""),"着電数")</f>
        <v>着電数</v>
      </c>
      <c r="U17" s="88" t="str">
        <f>IFERROR(__xludf.DUMMYFUNCTION("""COMPUTED_VALUE"""),"新規信用枠")</f>
        <v>新規信用枠</v>
      </c>
      <c r="V17" s="88"/>
      <c r="W17" s="88" t="str">
        <f>IFERROR(__xludf.DUMMYFUNCTION("""COMPUTED_VALUE"""),"打電数")</f>
        <v>打電数</v>
      </c>
      <c r="X17" s="88" t="str">
        <f>IFERROR(__xludf.DUMMYFUNCTION("""COMPUTED_VALUE"""),"着電数")</f>
        <v>着電数</v>
      </c>
      <c r="Y17" s="88" t="str">
        <f>IFERROR(__xludf.DUMMYFUNCTION("""COMPUTED_VALUE"""),"新規信用枠")</f>
        <v>新規信用枠</v>
      </c>
      <c r="Z17" s="88"/>
      <c r="AA17" s="88" t="str">
        <f>IFERROR(__xludf.DUMMYFUNCTION("""COMPUTED_VALUE"""),"打電数")</f>
        <v>打電数</v>
      </c>
      <c r="AB17" s="88" t="str">
        <f>IFERROR(__xludf.DUMMYFUNCTION("""COMPUTED_VALUE"""),"着電数")</f>
        <v>着電数</v>
      </c>
      <c r="AC17" s="88" t="str">
        <f>IFERROR(__xludf.DUMMYFUNCTION("""COMPUTED_VALUE"""),"新規信用枠")</f>
        <v>新規信用枠</v>
      </c>
      <c r="AD17" s="88"/>
      <c r="AE17" s="88" t="str">
        <f>IFERROR(__xludf.DUMMYFUNCTION("""COMPUTED_VALUE"""),"打電数")</f>
        <v>打電数</v>
      </c>
      <c r="AF17" s="88" t="str">
        <f>IFERROR(__xludf.DUMMYFUNCTION("""COMPUTED_VALUE"""),"着電数")</f>
        <v>着電数</v>
      </c>
      <c r="AG17" s="88" t="str">
        <f>IFERROR(__xludf.DUMMYFUNCTION("""COMPUTED_VALUE"""),"新規信用枠")</f>
        <v>新規信用枠</v>
      </c>
      <c r="AH17" s="89"/>
      <c r="AI17" s="89" t="str">
        <f>IFERROR(__xludf.DUMMYFUNCTION("""COMPUTED_VALUE"""),"打電数")</f>
        <v>打電数</v>
      </c>
      <c r="AJ17" s="89" t="str">
        <f>IFERROR(__xludf.DUMMYFUNCTION("""COMPUTED_VALUE"""),"着電数")</f>
        <v>着電数</v>
      </c>
      <c r="AK17" s="90" t="str">
        <f>IFERROR(__xludf.DUMMYFUNCTION("""COMPUTED_VALUE"""),"新規信用枠")</f>
        <v>新規信用枠</v>
      </c>
      <c r="AL17" s="91"/>
      <c r="AM17" s="91" t="str">
        <f>IFERROR(__xludf.DUMMYFUNCTION("""COMPUTED_VALUE"""),"打電数")</f>
        <v>打電数</v>
      </c>
      <c r="AN17" s="91" t="str">
        <f>IFERROR(__xludf.DUMMYFUNCTION("""COMPUTED_VALUE"""),"着電数")</f>
        <v>着電数</v>
      </c>
      <c r="AO17" s="91" t="str">
        <f>IFERROR(__xludf.DUMMYFUNCTION("""COMPUTED_VALUE"""),"新規信用枠")</f>
        <v>新規信用枠</v>
      </c>
      <c r="AP17" s="79"/>
      <c r="AQ17" s="79" t="str">
        <f>IFERROR(__xludf.DUMMYFUNCTION("""COMPUTED_VALUE"""),"打電数")</f>
        <v>打電数</v>
      </c>
      <c r="AR17" s="79" t="str">
        <f>IFERROR(__xludf.DUMMYFUNCTION("""COMPUTED_VALUE"""),"着電数")</f>
        <v>着電数</v>
      </c>
      <c r="AS17" s="79" t="str">
        <f>IFERROR(__xludf.DUMMYFUNCTION("""COMPUTED_VALUE"""),"新規信用枠")</f>
        <v>新規信用枠</v>
      </c>
      <c r="AT17" s="79"/>
      <c r="AU17" s="79" t="str">
        <f>IFERROR(__xludf.DUMMYFUNCTION("""COMPUTED_VALUE"""),"打電数")</f>
        <v>打電数</v>
      </c>
      <c r="AV17" s="79" t="str">
        <f>IFERROR(__xludf.DUMMYFUNCTION("""COMPUTED_VALUE"""),"着電数")</f>
        <v>着電数</v>
      </c>
      <c r="AW17" s="79" t="str">
        <f>IFERROR(__xludf.DUMMYFUNCTION("""COMPUTED_VALUE"""),"新規信用枠")</f>
        <v>新規信用枠</v>
      </c>
      <c r="AX17" s="79"/>
      <c r="AY17" s="79" t="str">
        <f>IFERROR(__xludf.DUMMYFUNCTION("""COMPUTED_VALUE"""),"打電数")</f>
        <v>打電数</v>
      </c>
      <c r="AZ17" s="79" t="str">
        <f>IFERROR(__xludf.DUMMYFUNCTION("""COMPUTED_VALUE"""),"着電数")</f>
        <v>着電数</v>
      </c>
      <c r="BA17" s="79" t="str">
        <f>IFERROR(__xludf.DUMMYFUNCTION("""COMPUTED_VALUE"""),"新規信用枠")</f>
        <v>新規信用枠</v>
      </c>
      <c r="BB17" s="79"/>
      <c r="BC17" s="79" t="str">
        <f>IFERROR(__xludf.DUMMYFUNCTION("""COMPUTED_VALUE"""),"打電数")</f>
        <v>打電数</v>
      </c>
      <c r="BD17" s="79" t="str">
        <f>IFERROR(__xludf.DUMMYFUNCTION("""COMPUTED_VALUE"""),"着電数")</f>
        <v>着電数</v>
      </c>
      <c r="BE17" s="79" t="str">
        <f>IFERROR(__xludf.DUMMYFUNCTION("""COMPUTED_VALUE"""),"新規信用枠")</f>
        <v>新規信用枠</v>
      </c>
      <c r="BF17" s="79"/>
      <c r="BG17" s="79"/>
      <c r="BH17" s="79"/>
      <c r="BI17" s="79"/>
      <c r="BJ17" s="79"/>
      <c r="BK17" s="79"/>
      <c r="BL17" s="79"/>
      <c r="BM17" s="79"/>
      <c r="BN17" s="79"/>
      <c r="BO17" s="79"/>
      <c r="BP17" s="79"/>
    </row>
    <row r="18">
      <c r="A18" s="92"/>
      <c r="B18" s="93" t="str">
        <f>IFERROR(__xludf.DUMMYFUNCTION("""COMPUTED_VALUE"""),"リストC")</f>
        <v>リストC</v>
      </c>
      <c r="C18" s="108">
        <f>IFERROR(__xludf.DUMMYFUNCTION("""COMPUTED_VALUE"""),1977.0)</f>
        <v>1977</v>
      </c>
      <c r="D18" s="108">
        <f>IFERROR(__xludf.DUMMYFUNCTION("""COMPUTED_VALUE"""),228.0)</f>
        <v>228</v>
      </c>
      <c r="E18" s="111">
        <f>IFERROR(__xludf.DUMMYFUNCTION("""COMPUTED_VALUE"""),0.0)</f>
        <v>0</v>
      </c>
      <c r="F18" s="108" t="str">
        <f>IFERROR(__xludf.DUMMYFUNCTION("""COMPUTED_VALUE"""),"リストC")</f>
        <v>リストC</v>
      </c>
      <c r="G18" s="108">
        <f>IFERROR(__xludf.DUMMYFUNCTION("""COMPUTED_VALUE"""),4822.0)</f>
        <v>4822</v>
      </c>
      <c r="H18" s="108">
        <f>IFERROR(__xludf.DUMMYFUNCTION("""COMPUTED_VALUE"""),793.0)</f>
        <v>793</v>
      </c>
      <c r="I18" s="109">
        <f>IFERROR(__xludf.DUMMYFUNCTION("""COMPUTED_VALUE"""),185.0)</f>
        <v>185</v>
      </c>
      <c r="J18" s="108" t="str">
        <f>IFERROR(__xludf.DUMMYFUNCTION("""COMPUTED_VALUE"""),"リストC")</f>
        <v>リストC</v>
      </c>
      <c r="K18" s="108">
        <f>IFERROR(__xludf.DUMMYFUNCTION("""COMPUTED_VALUE"""),2741.0)</f>
        <v>2741</v>
      </c>
      <c r="L18" s="108">
        <f>IFERROR(__xludf.DUMMYFUNCTION("""COMPUTED_VALUE"""),351.0)</f>
        <v>351</v>
      </c>
      <c r="M18" s="111">
        <f>IFERROR(__xludf.DUMMYFUNCTION("""COMPUTED_VALUE"""),580000.0)</f>
        <v>580000</v>
      </c>
      <c r="N18" s="108" t="str">
        <f>IFERROR(__xludf.DUMMYFUNCTION("""COMPUTED_VALUE"""),"リストC")</f>
        <v>リストC</v>
      </c>
      <c r="O18" s="108">
        <f>IFERROR(__xludf.DUMMYFUNCTION("""COMPUTED_VALUE"""),0.0)</f>
        <v>0</v>
      </c>
      <c r="P18" s="108">
        <f>IFERROR(__xludf.DUMMYFUNCTION("""COMPUTED_VALUE"""),1100.0)</f>
        <v>1100</v>
      </c>
      <c r="Q18" s="111">
        <f>IFERROR(__xludf.DUMMYFUNCTION("""COMPUTED_VALUE"""),30000.0)</f>
        <v>30000</v>
      </c>
      <c r="R18" s="108" t="str">
        <f>IFERROR(__xludf.DUMMYFUNCTION("""COMPUTED_VALUE"""),"リストC")</f>
        <v>リストC</v>
      </c>
      <c r="S18" s="108">
        <f>IFERROR(__xludf.DUMMYFUNCTION("""COMPUTED_VALUE"""),17785.0)</f>
        <v>17785</v>
      </c>
      <c r="T18" s="108">
        <f>IFERROR(__xludf.DUMMYFUNCTION("""COMPUTED_VALUE"""),1428.0)</f>
        <v>1428</v>
      </c>
      <c r="U18" s="111">
        <f>IFERROR(__xludf.DUMMYFUNCTION("""COMPUTED_VALUE"""),0.0)</f>
        <v>0</v>
      </c>
      <c r="V18" s="108" t="str">
        <f>IFERROR(__xludf.DUMMYFUNCTION("""COMPUTED_VALUE"""),"リストC")</f>
        <v>リストC</v>
      </c>
      <c r="W18" s="108">
        <f>IFERROR(__xludf.DUMMYFUNCTION("""COMPUTED_VALUE"""),0.0)</f>
        <v>0</v>
      </c>
      <c r="X18" s="108">
        <f>IFERROR(__xludf.DUMMYFUNCTION("""COMPUTED_VALUE"""),0.0)</f>
        <v>0</v>
      </c>
      <c r="Y18" s="111">
        <f>IFERROR(__xludf.DUMMYFUNCTION("""COMPUTED_VALUE"""),0.0)</f>
        <v>0</v>
      </c>
      <c r="Z18" s="108" t="str">
        <f>IFERROR(__xludf.DUMMYFUNCTION("""COMPUTED_VALUE"""),"リストC")</f>
        <v>リストC</v>
      </c>
      <c r="AA18" s="108">
        <f>IFERROR(__xludf.DUMMYFUNCTION("""COMPUTED_VALUE"""),69766.0)</f>
        <v>69766</v>
      </c>
      <c r="AB18" s="108">
        <f>IFERROR(__xludf.DUMMYFUNCTION("""COMPUTED_VALUE"""),2591.0)</f>
        <v>2591</v>
      </c>
      <c r="AC18" s="111">
        <f>IFERROR(__xludf.DUMMYFUNCTION("""COMPUTED_VALUE"""),1320000.0)</f>
        <v>1320000</v>
      </c>
      <c r="AD18" s="108" t="str">
        <f>IFERROR(__xludf.DUMMYFUNCTION("""COMPUTED_VALUE"""),"リストC")</f>
        <v>リストC</v>
      </c>
      <c r="AE18" s="108">
        <f>IFERROR(__xludf.DUMMYFUNCTION("""COMPUTED_VALUE"""),8144.0)</f>
        <v>8144</v>
      </c>
      <c r="AF18" s="108">
        <f>IFERROR(__xludf.DUMMYFUNCTION("""COMPUTED_VALUE"""),295.0)</f>
        <v>295</v>
      </c>
      <c r="AG18" s="111">
        <f>IFERROR(__xludf.DUMMYFUNCTION("""COMPUTED_VALUE"""),730000.0)</f>
        <v>730000</v>
      </c>
      <c r="AH18" s="96" t="str">
        <f>IFERROR(__xludf.DUMMYFUNCTION("""COMPUTED_VALUE"""),"リストC")</f>
        <v>リストC</v>
      </c>
      <c r="AI18" s="96">
        <f>IFERROR(__xludf.DUMMYFUNCTION("""COMPUTED_VALUE"""),0.0)</f>
        <v>0</v>
      </c>
      <c r="AJ18" s="96">
        <f>IFERROR(__xludf.DUMMYFUNCTION("""COMPUTED_VALUE"""),0.0)</f>
        <v>0</v>
      </c>
      <c r="AK18" s="97">
        <f>IFERROR(__xludf.DUMMYFUNCTION("""COMPUTED_VALUE"""),0.0)</f>
        <v>0</v>
      </c>
      <c r="AL18" s="98" t="str">
        <f>IFERROR(__xludf.DUMMYFUNCTION("""COMPUTED_VALUE"""),"リストC")</f>
        <v>リストC</v>
      </c>
      <c r="AM18" s="98">
        <f>IFERROR(__xludf.DUMMYFUNCTION("""COMPUTED_VALUE"""),0.0)</f>
        <v>0</v>
      </c>
      <c r="AN18" s="98">
        <f>IFERROR(__xludf.DUMMYFUNCTION("""COMPUTED_VALUE"""),0.0)</f>
        <v>0</v>
      </c>
      <c r="AO18" s="98">
        <f>IFERROR(__xludf.DUMMYFUNCTION("""COMPUTED_VALUE"""),0.0)</f>
        <v>0</v>
      </c>
      <c r="AP18" s="92" t="str">
        <f>IFERROR(__xludf.DUMMYFUNCTION("""COMPUTED_VALUE"""),"リストC")</f>
        <v>リストC</v>
      </c>
      <c r="AQ18" s="92">
        <f>IFERROR(__xludf.DUMMYFUNCTION("""COMPUTED_VALUE"""),0.0)</f>
        <v>0</v>
      </c>
      <c r="AR18" s="92">
        <f>IFERROR(__xludf.DUMMYFUNCTION("""COMPUTED_VALUE"""),0.0)</f>
        <v>0</v>
      </c>
      <c r="AS18" s="92">
        <f>IFERROR(__xludf.DUMMYFUNCTION("""COMPUTED_VALUE"""),0.0)</f>
        <v>0</v>
      </c>
      <c r="AT18" s="92" t="str">
        <f>IFERROR(__xludf.DUMMYFUNCTION("""COMPUTED_VALUE"""),"リストC")</f>
        <v>リストC</v>
      </c>
      <c r="AU18" s="92">
        <f>IFERROR(__xludf.DUMMYFUNCTION("""COMPUTED_VALUE"""),0.0)</f>
        <v>0</v>
      </c>
      <c r="AV18" s="92">
        <f>IFERROR(__xludf.DUMMYFUNCTION("""COMPUTED_VALUE"""),0.0)</f>
        <v>0</v>
      </c>
      <c r="AW18" s="92">
        <f>IFERROR(__xludf.DUMMYFUNCTION("""COMPUTED_VALUE"""),0.0)</f>
        <v>0</v>
      </c>
      <c r="AX18" s="92" t="str">
        <f>IFERROR(__xludf.DUMMYFUNCTION("""COMPUTED_VALUE"""),"リストC")</f>
        <v>リストC</v>
      </c>
      <c r="AY18" s="92">
        <f>IFERROR(__xludf.DUMMYFUNCTION("""COMPUTED_VALUE"""),0.0)</f>
        <v>0</v>
      </c>
      <c r="AZ18" s="92">
        <f>IFERROR(__xludf.DUMMYFUNCTION("""COMPUTED_VALUE"""),0.0)</f>
        <v>0</v>
      </c>
      <c r="BA18" s="92">
        <f>IFERROR(__xludf.DUMMYFUNCTION("""COMPUTED_VALUE"""),0.0)</f>
        <v>0</v>
      </c>
      <c r="BB18" s="92" t="str">
        <f>IFERROR(__xludf.DUMMYFUNCTION("""COMPUTED_VALUE"""),"リストC")</f>
        <v>リストC</v>
      </c>
      <c r="BC18" s="92">
        <f>IFERROR(__xludf.DUMMYFUNCTION("""COMPUTED_VALUE"""),0.0)</f>
        <v>0</v>
      </c>
      <c r="BD18" s="92">
        <f>IFERROR(__xludf.DUMMYFUNCTION("""COMPUTED_VALUE"""),0.0)</f>
        <v>0</v>
      </c>
      <c r="BE18" s="92">
        <f>IFERROR(__xludf.DUMMYFUNCTION("""COMPUTED_VALUE"""),0.0)</f>
        <v>0</v>
      </c>
      <c r="BF18" s="92" t="str">
        <f>IFERROR(__xludf.DUMMYFUNCTION("""COMPUTED_VALUE"""),"リストC")</f>
        <v>リストC</v>
      </c>
      <c r="BG18" s="92"/>
      <c r="BH18" s="92"/>
      <c r="BI18" s="92"/>
      <c r="BJ18" s="92"/>
      <c r="BK18" s="92"/>
      <c r="BL18" s="92"/>
      <c r="BM18" s="92"/>
      <c r="BN18" s="92"/>
      <c r="BO18" s="92"/>
      <c r="BP18" s="92"/>
    </row>
    <row r="19">
      <c r="A19" s="92"/>
      <c r="B19" s="99" t="str">
        <f>IFERROR(__xludf.DUMMYFUNCTION("""COMPUTED_VALUE"""),"リストBE")</f>
        <v>リストBE</v>
      </c>
      <c r="C19" s="99">
        <f>IFERROR(__xludf.DUMMYFUNCTION("""COMPUTED_VALUE"""),1415.0)</f>
        <v>1415</v>
      </c>
      <c r="D19" s="99">
        <f>IFERROR(__xludf.DUMMYFUNCTION("""COMPUTED_VALUE"""),171.0)</f>
        <v>171</v>
      </c>
      <c r="E19" s="112">
        <f>IFERROR(__xludf.DUMMYFUNCTION("""COMPUTED_VALUE"""),0.0)</f>
        <v>0</v>
      </c>
      <c r="F19" s="99" t="str">
        <f>IFERROR(__xludf.DUMMYFUNCTION("""COMPUTED_VALUE"""),"リストBE")</f>
        <v>リストBE</v>
      </c>
      <c r="G19" s="99">
        <f>IFERROR(__xludf.DUMMYFUNCTION("""COMPUTED_VALUE"""),0.0)</f>
        <v>0</v>
      </c>
      <c r="H19" s="99">
        <f>IFERROR(__xludf.DUMMYFUNCTION("""COMPUTED_VALUE"""),0.0)</f>
        <v>0</v>
      </c>
      <c r="I19" s="100">
        <f>IFERROR(__xludf.DUMMYFUNCTION("""COMPUTED_VALUE"""),0.0)</f>
        <v>0</v>
      </c>
      <c r="J19" s="99" t="str">
        <f>IFERROR(__xludf.DUMMYFUNCTION("""COMPUTED_VALUE"""),"リストBE")</f>
        <v>リストBE</v>
      </c>
      <c r="K19" s="99">
        <f>IFERROR(__xludf.DUMMYFUNCTION("""COMPUTED_VALUE"""),0.0)</f>
        <v>0</v>
      </c>
      <c r="L19" s="99">
        <f>IFERROR(__xludf.DUMMYFUNCTION("""COMPUTED_VALUE"""),0.0)</f>
        <v>0</v>
      </c>
      <c r="M19" s="112">
        <f>IFERROR(__xludf.DUMMYFUNCTION("""COMPUTED_VALUE"""),0.0)</f>
        <v>0</v>
      </c>
      <c r="N19" s="99" t="str">
        <f>IFERROR(__xludf.DUMMYFUNCTION("""COMPUTED_VALUE"""),"リストBE")</f>
        <v>リストBE</v>
      </c>
      <c r="O19" s="99">
        <f>IFERROR(__xludf.DUMMYFUNCTION("""COMPUTED_VALUE"""),0.0)</f>
        <v>0</v>
      </c>
      <c r="P19" s="99">
        <f>IFERROR(__xludf.DUMMYFUNCTION("""COMPUTED_VALUE"""),0.0)</f>
        <v>0</v>
      </c>
      <c r="Q19" s="112">
        <f>IFERROR(__xludf.DUMMYFUNCTION("""COMPUTED_VALUE"""),0.0)</f>
        <v>0</v>
      </c>
      <c r="R19" s="99" t="str">
        <f>IFERROR(__xludf.DUMMYFUNCTION("""COMPUTED_VALUE"""),"リストBE")</f>
        <v>リストBE</v>
      </c>
      <c r="S19" s="99">
        <f>IFERROR(__xludf.DUMMYFUNCTION("""COMPUTED_VALUE"""),0.0)</f>
        <v>0</v>
      </c>
      <c r="T19" s="99">
        <f>IFERROR(__xludf.DUMMYFUNCTION("""COMPUTED_VALUE"""),0.0)</f>
        <v>0</v>
      </c>
      <c r="U19" s="112">
        <f>IFERROR(__xludf.DUMMYFUNCTION("""COMPUTED_VALUE"""),0.0)</f>
        <v>0</v>
      </c>
      <c r="V19" s="99" t="str">
        <f>IFERROR(__xludf.DUMMYFUNCTION("""COMPUTED_VALUE"""),"リストBE")</f>
        <v>リストBE</v>
      </c>
      <c r="W19" s="99">
        <f>IFERROR(__xludf.DUMMYFUNCTION("""COMPUTED_VALUE"""),0.0)</f>
        <v>0</v>
      </c>
      <c r="X19" s="99">
        <f>IFERROR(__xludf.DUMMYFUNCTION("""COMPUTED_VALUE"""),0.0)</f>
        <v>0</v>
      </c>
      <c r="Y19" s="112">
        <f>IFERROR(__xludf.DUMMYFUNCTION("""COMPUTED_VALUE"""),0.0)</f>
        <v>0</v>
      </c>
      <c r="Z19" s="99" t="str">
        <f>IFERROR(__xludf.DUMMYFUNCTION("""COMPUTED_VALUE"""),"リストBE")</f>
        <v>リストBE</v>
      </c>
      <c r="AA19" s="99">
        <f>IFERROR(__xludf.DUMMYFUNCTION("""COMPUTED_VALUE"""),0.0)</f>
        <v>0</v>
      </c>
      <c r="AB19" s="99">
        <f>IFERROR(__xludf.DUMMYFUNCTION("""COMPUTED_VALUE"""),0.0)</f>
        <v>0</v>
      </c>
      <c r="AC19" s="112">
        <f>IFERROR(__xludf.DUMMYFUNCTION("""COMPUTED_VALUE"""),0.0)</f>
        <v>0</v>
      </c>
      <c r="AD19" s="99" t="str">
        <f>IFERROR(__xludf.DUMMYFUNCTION("""COMPUTED_VALUE"""),"リストBE")</f>
        <v>リストBE</v>
      </c>
      <c r="AE19" s="99">
        <f>IFERROR(__xludf.DUMMYFUNCTION("""COMPUTED_VALUE"""),4388.0)</f>
        <v>4388</v>
      </c>
      <c r="AF19" s="99">
        <f>IFERROR(__xludf.DUMMYFUNCTION("""COMPUTED_VALUE"""),368.0)</f>
        <v>368</v>
      </c>
      <c r="AG19" s="112">
        <f>IFERROR(__xludf.DUMMYFUNCTION("""COMPUTED_VALUE"""),405000.0)</f>
        <v>405000</v>
      </c>
      <c r="AH19" s="102" t="str">
        <f>IFERROR(__xludf.DUMMYFUNCTION("""COMPUTED_VALUE"""),"リストBE")</f>
        <v>リストBE</v>
      </c>
      <c r="AI19" s="102">
        <f>IFERROR(__xludf.DUMMYFUNCTION("""COMPUTED_VALUE"""),0.0)</f>
        <v>0</v>
      </c>
      <c r="AJ19" s="102">
        <f>IFERROR(__xludf.DUMMYFUNCTION("""COMPUTED_VALUE"""),0.0)</f>
        <v>0</v>
      </c>
      <c r="AK19" s="113">
        <f>IFERROR(__xludf.DUMMYFUNCTION("""COMPUTED_VALUE"""),0.0)</f>
        <v>0</v>
      </c>
      <c r="AL19" s="105" t="str">
        <f>IFERROR(__xludf.DUMMYFUNCTION("""COMPUTED_VALUE"""),"リストBE")</f>
        <v>リストBE</v>
      </c>
      <c r="AM19" s="105">
        <f>IFERROR(__xludf.DUMMYFUNCTION("""COMPUTED_VALUE"""),2481.0)</f>
        <v>2481</v>
      </c>
      <c r="AN19" s="105">
        <f>IFERROR(__xludf.DUMMYFUNCTION("""COMPUTED_VALUE"""),335.0)</f>
        <v>335</v>
      </c>
      <c r="AO19" s="114">
        <f>IFERROR(__xludf.DUMMYFUNCTION("""COMPUTED_VALUE"""),260000.0)</f>
        <v>260000</v>
      </c>
      <c r="AP19" s="92" t="str">
        <f>IFERROR(__xludf.DUMMYFUNCTION("""COMPUTED_VALUE"""),"リストBE")</f>
        <v>リストBE</v>
      </c>
      <c r="AQ19" s="92">
        <f>IFERROR(__xludf.DUMMYFUNCTION("""COMPUTED_VALUE"""),0.0)</f>
        <v>0</v>
      </c>
      <c r="AR19" s="92">
        <f>IFERROR(__xludf.DUMMYFUNCTION("""COMPUTED_VALUE"""),0.0)</f>
        <v>0</v>
      </c>
      <c r="AS19" s="92">
        <f>IFERROR(__xludf.DUMMYFUNCTION("""COMPUTED_VALUE"""),0.0)</f>
        <v>0</v>
      </c>
      <c r="AT19" s="92" t="str">
        <f>IFERROR(__xludf.DUMMYFUNCTION("""COMPUTED_VALUE"""),"リストBE")</f>
        <v>リストBE</v>
      </c>
      <c r="AU19" s="92">
        <f>IFERROR(__xludf.DUMMYFUNCTION("""COMPUTED_VALUE"""),0.0)</f>
        <v>0</v>
      </c>
      <c r="AV19" s="92">
        <f>IFERROR(__xludf.DUMMYFUNCTION("""COMPUTED_VALUE"""),0.0)</f>
        <v>0</v>
      </c>
      <c r="AW19" s="92">
        <f>IFERROR(__xludf.DUMMYFUNCTION("""COMPUTED_VALUE"""),0.0)</f>
        <v>0</v>
      </c>
      <c r="AX19" s="92" t="str">
        <f>IFERROR(__xludf.DUMMYFUNCTION("""COMPUTED_VALUE"""),"リストBE")</f>
        <v>リストBE</v>
      </c>
      <c r="AY19" s="92">
        <f>IFERROR(__xludf.DUMMYFUNCTION("""COMPUTED_VALUE"""),0.0)</f>
        <v>0</v>
      </c>
      <c r="AZ19" s="92">
        <f>IFERROR(__xludf.DUMMYFUNCTION("""COMPUTED_VALUE"""),0.0)</f>
        <v>0</v>
      </c>
      <c r="BA19" s="92">
        <f>IFERROR(__xludf.DUMMYFUNCTION("""COMPUTED_VALUE"""),0.0)</f>
        <v>0</v>
      </c>
      <c r="BB19" s="92" t="str">
        <f>IFERROR(__xludf.DUMMYFUNCTION("""COMPUTED_VALUE"""),"リストBE")</f>
        <v>リストBE</v>
      </c>
      <c r="BC19" s="92">
        <f>IFERROR(__xludf.DUMMYFUNCTION("""COMPUTED_VALUE"""),0.0)</f>
        <v>0</v>
      </c>
      <c r="BD19" s="92">
        <f>IFERROR(__xludf.DUMMYFUNCTION("""COMPUTED_VALUE"""),0.0)</f>
        <v>0</v>
      </c>
      <c r="BE19" s="92">
        <f>IFERROR(__xludf.DUMMYFUNCTION("""COMPUTED_VALUE"""),0.0)</f>
        <v>0</v>
      </c>
      <c r="BF19" s="92" t="str">
        <f>IFERROR(__xludf.DUMMYFUNCTION("""COMPUTED_VALUE"""),"リストBE")</f>
        <v>リストBE</v>
      </c>
      <c r="BG19" s="92"/>
      <c r="BH19" s="92"/>
      <c r="BI19" s="92"/>
      <c r="BJ19" s="92"/>
      <c r="BK19" s="92"/>
      <c r="BL19" s="92"/>
      <c r="BM19" s="92"/>
      <c r="BN19" s="92"/>
      <c r="BO19" s="92"/>
      <c r="BP19" s="92"/>
    </row>
    <row r="20">
      <c r="A20" s="92"/>
      <c r="B20" s="93" t="str">
        <f>IFERROR(__xludf.DUMMYFUNCTION("""COMPUTED_VALUE"""),"リストS")</f>
        <v>リストS</v>
      </c>
      <c r="C20" s="108">
        <f>IFERROR(__xludf.DUMMYFUNCTION("""COMPUTED_VALUE"""),3511.0)</f>
        <v>3511</v>
      </c>
      <c r="D20" s="108">
        <f>IFERROR(__xludf.DUMMYFUNCTION("""COMPUTED_VALUE"""),380.0)</f>
        <v>380</v>
      </c>
      <c r="E20" s="111">
        <f>IFERROR(__xludf.DUMMYFUNCTION("""COMPUTED_VALUE"""),0.0)</f>
        <v>0</v>
      </c>
      <c r="F20" s="108" t="str">
        <f>IFERROR(__xludf.DUMMYFUNCTION("""COMPUTED_VALUE"""),"リストS")</f>
        <v>リストS</v>
      </c>
      <c r="G20" s="108">
        <f>IFERROR(__xludf.DUMMYFUNCTION("""COMPUTED_VALUE"""),2740.0)</f>
        <v>2740</v>
      </c>
      <c r="H20" s="108">
        <f>IFERROR(__xludf.DUMMYFUNCTION("""COMPUTED_VALUE"""),435.0)</f>
        <v>435</v>
      </c>
      <c r="I20" s="109">
        <f>IFERROR(__xludf.DUMMYFUNCTION("""COMPUTED_VALUE"""),115.0)</f>
        <v>115</v>
      </c>
      <c r="J20" s="108" t="str">
        <f>IFERROR(__xludf.DUMMYFUNCTION("""COMPUTED_VALUE"""),"リストS")</f>
        <v>リストS</v>
      </c>
      <c r="K20" s="108">
        <f>IFERROR(__xludf.DUMMYFUNCTION("""COMPUTED_VALUE"""),3584.0)</f>
        <v>3584</v>
      </c>
      <c r="L20" s="108">
        <f>IFERROR(__xludf.DUMMYFUNCTION("""COMPUTED_VALUE"""),723.0)</f>
        <v>723</v>
      </c>
      <c r="M20" s="111">
        <f>IFERROR(__xludf.DUMMYFUNCTION("""COMPUTED_VALUE"""),2320000.0)</f>
        <v>2320000</v>
      </c>
      <c r="N20" s="108" t="str">
        <f>IFERROR(__xludf.DUMMYFUNCTION("""COMPUTED_VALUE"""),"リストS")</f>
        <v>リストS</v>
      </c>
      <c r="O20" s="108">
        <f>IFERROR(__xludf.DUMMYFUNCTION("""COMPUTED_VALUE"""),3585.0)</f>
        <v>3585</v>
      </c>
      <c r="P20" s="108">
        <f>IFERROR(__xludf.DUMMYFUNCTION("""COMPUTED_VALUE"""),766.0)</f>
        <v>766</v>
      </c>
      <c r="Q20" s="111">
        <f>IFERROR(__xludf.DUMMYFUNCTION("""COMPUTED_VALUE"""),0.0)</f>
        <v>0</v>
      </c>
      <c r="R20" s="108" t="str">
        <f>IFERROR(__xludf.DUMMYFUNCTION("""COMPUTED_VALUE"""),"リストS")</f>
        <v>リストS</v>
      </c>
      <c r="S20" s="108">
        <f>IFERROR(__xludf.DUMMYFUNCTION("""COMPUTED_VALUE"""),37758.0)</f>
        <v>37758</v>
      </c>
      <c r="T20" s="108">
        <f>IFERROR(__xludf.DUMMYFUNCTION("""COMPUTED_VALUE"""),877.0)</f>
        <v>877</v>
      </c>
      <c r="U20" s="111">
        <f>IFERROR(__xludf.DUMMYFUNCTION("""COMPUTED_VALUE"""),3140000.0)</f>
        <v>3140000</v>
      </c>
      <c r="V20" s="108" t="str">
        <f>IFERROR(__xludf.DUMMYFUNCTION("""COMPUTED_VALUE"""),"リストS")</f>
        <v>リストS</v>
      </c>
      <c r="W20" s="108">
        <f>IFERROR(__xludf.DUMMYFUNCTION("""COMPUTED_VALUE"""),82653.0)</f>
        <v>82653</v>
      </c>
      <c r="X20" s="108">
        <f>IFERROR(__xludf.DUMMYFUNCTION("""COMPUTED_VALUE"""),3008.0)</f>
        <v>3008</v>
      </c>
      <c r="Y20" s="111">
        <f>IFERROR(__xludf.DUMMYFUNCTION("""COMPUTED_VALUE"""),3140000.0)</f>
        <v>3140000</v>
      </c>
      <c r="Z20" s="108" t="str">
        <f>IFERROR(__xludf.DUMMYFUNCTION("""COMPUTED_VALUE"""),"リストS")</f>
        <v>リストS</v>
      </c>
      <c r="AA20" s="108">
        <f>IFERROR(__xludf.DUMMYFUNCTION("""COMPUTED_VALUE"""),63061.0)</f>
        <v>63061</v>
      </c>
      <c r="AB20" s="108">
        <f>IFERROR(__xludf.DUMMYFUNCTION("""COMPUTED_VALUE"""),1730.0)</f>
        <v>1730</v>
      </c>
      <c r="AC20" s="111">
        <f>IFERROR(__xludf.DUMMYFUNCTION("""COMPUTED_VALUE"""),1590000.0)</f>
        <v>1590000</v>
      </c>
      <c r="AD20" s="108" t="str">
        <f>IFERROR(__xludf.DUMMYFUNCTION("""COMPUTED_VALUE"""),"リストS")</f>
        <v>リストS</v>
      </c>
      <c r="AE20" s="108">
        <f>IFERROR(__xludf.DUMMYFUNCTION("""COMPUTED_VALUE"""),43496.0)</f>
        <v>43496</v>
      </c>
      <c r="AF20" s="108">
        <f>IFERROR(__xludf.DUMMYFUNCTION("""COMPUTED_VALUE"""),1943.0)</f>
        <v>1943</v>
      </c>
      <c r="AG20" s="111">
        <f>IFERROR(__xludf.DUMMYFUNCTION("""COMPUTED_VALUE"""),4585000.0)</f>
        <v>4585000</v>
      </c>
      <c r="AH20" s="96" t="str">
        <f>IFERROR(__xludf.DUMMYFUNCTION("""COMPUTED_VALUE"""),"リストS")</f>
        <v>リストS</v>
      </c>
      <c r="AI20" s="96">
        <f>IFERROR(__xludf.DUMMYFUNCTION("""COMPUTED_VALUE"""),45131.0)</f>
        <v>45131</v>
      </c>
      <c r="AJ20" s="96">
        <f>IFERROR(__xludf.DUMMYFUNCTION("""COMPUTED_VALUE"""),2580.0)</f>
        <v>2580</v>
      </c>
      <c r="AK20" s="115">
        <f>IFERROR(__xludf.DUMMYFUNCTION("""COMPUTED_VALUE"""),7043000.0)</f>
        <v>7043000</v>
      </c>
      <c r="AL20" s="98" t="str">
        <f>IFERROR(__xludf.DUMMYFUNCTION("""COMPUTED_VALUE"""),"リストS")</f>
        <v>リストS</v>
      </c>
      <c r="AM20" s="98">
        <f>IFERROR(__xludf.DUMMYFUNCTION("""COMPUTED_VALUE"""),30725.0)</f>
        <v>30725</v>
      </c>
      <c r="AN20" s="98">
        <f>IFERROR(__xludf.DUMMYFUNCTION("""COMPUTED_VALUE"""),2894.0)</f>
        <v>2894</v>
      </c>
      <c r="AO20" s="116">
        <f>IFERROR(__xludf.DUMMYFUNCTION("""COMPUTED_VALUE"""),5670000.0)</f>
        <v>5670000</v>
      </c>
      <c r="AP20" s="92" t="str">
        <f>IFERROR(__xludf.DUMMYFUNCTION("""COMPUTED_VALUE"""),"リストS")</f>
        <v>リストS</v>
      </c>
      <c r="AQ20" s="92">
        <f>IFERROR(__xludf.DUMMYFUNCTION("""COMPUTED_VALUE"""),14550.0)</f>
        <v>14550</v>
      </c>
      <c r="AR20" s="92">
        <f>IFERROR(__xludf.DUMMYFUNCTION("""COMPUTED_VALUE"""),1687.0)</f>
        <v>1687</v>
      </c>
      <c r="AS20" s="117">
        <f>IFERROR(__xludf.DUMMYFUNCTION("""COMPUTED_VALUE"""),3810000.0)</f>
        <v>3810000</v>
      </c>
      <c r="AT20" s="92" t="str">
        <f>IFERROR(__xludf.DUMMYFUNCTION("""COMPUTED_VALUE"""),"リストS")</f>
        <v>リストS</v>
      </c>
      <c r="AU20" s="92">
        <f>IFERROR(__xludf.DUMMYFUNCTION("""COMPUTED_VALUE"""),13305.0)</f>
        <v>13305</v>
      </c>
      <c r="AV20" s="92">
        <f>IFERROR(__xludf.DUMMYFUNCTION("""COMPUTED_VALUE"""),1365.0)</f>
        <v>1365</v>
      </c>
      <c r="AW20" s="117">
        <f>IFERROR(__xludf.DUMMYFUNCTION("""COMPUTED_VALUE"""),1340000.0)</f>
        <v>1340000</v>
      </c>
      <c r="AX20" s="92" t="str">
        <f>IFERROR(__xludf.DUMMYFUNCTION("""COMPUTED_VALUE"""),"リストS")</f>
        <v>リストS</v>
      </c>
      <c r="AY20" s="92">
        <f>IFERROR(__xludf.DUMMYFUNCTION("""COMPUTED_VALUE"""),20729.0)</f>
        <v>20729</v>
      </c>
      <c r="AZ20" s="92">
        <f>IFERROR(__xludf.DUMMYFUNCTION("""COMPUTED_VALUE"""),1962.0)</f>
        <v>1962</v>
      </c>
      <c r="BA20" s="117">
        <f>IFERROR(__xludf.DUMMYFUNCTION("""COMPUTED_VALUE"""),4090000.0)</f>
        <v>4090000</v>
      </c>
      <c r="BB20" s="92" t="str">
        <f>IFERROR(__xludf.DUMMYFUNCTION("""COMPUTED_VALUE"""),"リストS")</f>
        <v>リストS</v>
      </c>
      <c r="BC20" s="92">
        <f>IFERROR(__xludf.DUMMYFUNCTION("""COMPUTED_VALUE"""),20729.0)</f>
        <v>20729</v>
      </c>
      <c r="BD20" s="92">
        <f>IFERROR(__xludf.DUMMYFUNCTION("""COMPUTED_VALUE"""),1962.0)</f>
        <v>1962</v>
      </c>
      <c r="BE20" s="117">
        <f>IFERROR(__xludf.DUMMYFUNCTION("""COMPUTED_VALUE"""),4090000.0)</f>
        <v>4090000</v>
      </c>
      <c r="BF20" s="92" t="str">
        <f>IFERROR(__xludf.DUMMYFUNCTION("""COMPUTED_VALUE"""),"リストS")</f>
        <v>リストS</v>
      </c>
      <c r="BG20" s="92"/>
      <c r="BH20" s="92"/>
      <c r="BI20" s="92"/>
      <c r="BJ20" s="92"/>
      <c r="BK20" s="92"/>
      <c r="BL20" s="92"/>
      <c r="BM20" s="92"/>
      <c r="BN20" s="92"/>
      <c r="BO20" s="92"/>
      <c r="BP20" s="92"/>
    </row>
    <row r="21">
      <c r="A21" s="92"/>
      <c r="B21" s="99" t="str">
        <f>IFERROR(__xludf.DUMMYFUNCTION("""COMPUTED_VALUE"""),"リストE")</f>
        <v>リストE</v>
      </c>
      <c r="C21" s="99">
        <f>IFERROR(__xludf.DUMMYFUNCTION("""COMPUTED_VALUE"""),2803.0)</f>
        <v>2803</v>
      </c>
      <c r="D21" s="99">
        <f>IFERROR(__xludf.DUMMYFUNCTION("""COMPUTED_VALUE"""),337.0)</f>
        <v>337</v>
      </c>
      <c r="E21" s="112">
        <f>IFERROR(__xludf.DUMMYFUNCTION("""COMPUTED_VALUE"""),0.0)</f>
        <v>0</v>
      </c>
      <c r="F21" s="99" t="str">
        <f>IFERROR(__xludf.DUMMYFUNCTION("""COMPUTED_VALUE"""),"リストE")</f>
        <v>リストE</v>
      </c>
      <c r="G21" s="99">
        <f>IFERROR(__xludf.DUMMYFUNCTION("""COMPUTED_VALUE"""),1966.0)</f>
        <v>1966</v>
      </c>
      <c r="H21" s="99">
        <f>IFERROR(__xludf.DUMMYFUNCTION("""COMPUTED_VALUE"""),300.0)</f>
        <v>300</v>
      </c>
      <c r="I21" s="100">
        <f>IFERROR(__xludf.DUMMYFUNCTION("""COMPUTED_VALUE"""),82.0)</f>
        <v>82</v>
      </c>
      <c r="J21" s="99" t="str">
        <f>IFERROR(__xludf.DUMMYFUNCTION("""COMPUTED_VALUE"""),"リストE")</f>
        <v>リストE</v>
      </c>
      <c r="K21" s="99">
        <f>IFERROR(__xludf.DUMMYFUNCTION("""COMPUTED_VALUE"""),2477.0)</f>
        <v>2477</v>
      </c>
      <c r="L21" s="99">
        <f>IFERROR(__xludf.DUMMYFUNCTION("""COMPUTED_VALUE"""),374.0)</f>
        <v>374</v>
      </c>
      <c r="M21" s="112">
        <f>IFERROR(__xludf.DUMMYFUNCTION("""COMPUTED_VALUE"""),2630000.0)</f>
        <v>2630000</v>
      </c>
      <c r="N21" s="99" t="str">
        <f>IFERROR(__xludf.DUMMYFUNCTION("""COMPUTED_VALUE"""),"リストE")</f>
        <v>リストE</v>
      </c>
      <c r="O21" s="99">
        <f>IFERROR(__xludf.DUMMYFUNCTION("""COMPUTED_VALUE"""),6244.0)</f>
        <v>6244</v>
      </c>
      <c r="P21" s="99">
        <f>IFERROR(__xludf.DUMMYFUNCTION("""COMPUTED_VALUE"""),821.0)</f>
        <v>821</v>
      </c>
      <c r="Q21" s="112">
        <f>IFERROR(__xludf.DUMMYFUNCTION("""COMPUTED_VALUE"""),320000.0)</f>
        <v>320000</v>
      </c>
      <c r="R21" s="99" t="str">
        <f>IFERROR(__xludf.DUMMYFUNCTION("""COMPUTED_VALUE"""),"リストE")</f>
        <v>リストE</v>
      </c>
      <c r="S21" s="99">
        <f>IFERROR(__xludf.DUMMYFUNCTION("""COMPUTED_VALUE"""),44468.0)</f>
        <v>44468</v>
      </c>
      <c r="T21" s="99">
        <f>IFERROR(__xludf.DUMMYFUNCTION("""COMPUTED_VALUE"""),1495.0)</f>
        <v>1495</v>
      </c>
      <c r="U21" s="112">
        <f>IFERROR(__xludf.DUMMYFUNCTION("""COMPUTED_VALUE"""),3980000.0)</f>
        <v>3980000</v>
      </c>
      <c r="V21" s="99" t="str">
        <f>IFERROR(__xludf.DUMMYFUNCTION("""COMPUTED_VALUE"""),"リストE")</f>
        <v>リストE</v>
      </c>
      <c r="W21" s="99">
        <f>IFERROR(__xludf.DUMMYFUNCTION("""COMPUTED_VALUE"""),107566.0)</f>
        <v>107566</v>
      </c>
      <c r="X21" s="99">
        <f>IFERROR(__xludf.DUMMYFUNCTION("""COMPUTED_VALUE"""),4794.0)</f>
        <v>4794</v>
      </c>
      <c r="Y21" s="112">
        <f>IFERROR(__xludf.DUMMYFUNCTION("""COMPUTED_VALUE"""),3980000.0)</f>
        <v>3980000</v>
      </c>
      <c r="Z21" s="99" t="str">
        <f>IFERROR(__xludf.DUMMYFUNCTION("""COMPUTED_VALUE"""),"リストE")</f>
        <v>リストE</v>
      </c>
      <c r="AA21" s="99">
        <f>IFERROR(__xludf.DUMMYFUNCTION("""COMPUTED_VALUE"""),37759.0)</f>
        <v>37759</v>
      </c>
      <c r="AB21" s="99">
        <f>IFERROR(__xludf.DUMMYFUNCTION("""COMPUTED_VALUE"""),1792.0)</f>
        <v>1792</v>
      </c>
      <c r="AC21" s="112">
        <f>IFERROR(__xludf.DUMMYFUNCTION("""COMPUTED_VALUE"""),2150000.0)</f>
        <v>2150000</v>
      </c>
      <c r="AD21" s="99" t="str">
        <f>IFERROR(__xludf.DUMMYFUNCTION("""COMPUTED_VALUE"""),"リストE")</f>
        <v>リストE</v>
      </c>
      <c r="AE21" s="99">
        <f>IFERROR(__xludf.DUMMYFUNCTION("""COMPUTED_VALUE"""),39753.0)</f>
        <v>39753</v>
      </c>
      <c r="AF21" s="99">
        <f>IFERROR(__xludf.DUMMYFUNCTION("""COMPUTED_VALUE"""),1882.0)</f>
        <v>1882</v>
      </c>
      <c r="AG21" s="112">
        <f>IFERROR(__xludf.DUMMYFUNCTION("""COMPUTED_VALUE"""),6030000.0)</f>
        <v>6030000</v>
      </c>
      <c r="AH21" s="102" t="str">
        <f>IFERROR(__xludf.DUMMYFUNCTION("""COMPUTED_VALUE"""),"リストE")</f>
        <v>リストE</v>
      </c>
      <c r="AI21" s="102">
        <f>IFERROR(__xludf.DUMMYFUNCTION("""COMPUTED_VALUE"""),18692.0)</f>
        <v>18692</v>
      </c>
      <c r="AJ21" s="102">
        <f>IFERROR(__xludf.DUMMYFUNCTION("""COMPUTED_VALUE"""),1460.0)</f>
        <v>1460</v>
      </c>
      <c r="AK21" s="113">
        <f>IFERROR(__xludf.DUMMYFUNCTION("""COMPUTED_VALUE"""),2860000.0)</f>
        <v>2860000</v>
      </c>
      <c r="AL21" s="105" t="str">
        <f>IFERROR(__xludf.DUMMYFUNCTION("""COMPUTED_VALUE"""),"リストE")</f>
        <v>リストE</v>
      </c>
      <c r="AM21" s="105">
        <f>IFERROR(__xludf.DUMMYFUNCTION("""COMPUTED_VALUE"""),13043.0)</f>
        <v>13043</v>
      </c>
      <c r="AN21" s="105">
        <f>IFERROR(__xludf.DUMMYFUNCTION("""COMPUTED_VALUE"""),1508.0)</f>
        <v>1508</v>
      </c>
      <c r="AO21" s="114">
        <f>IFERROR(__xludf.DUMMYFUNCTION("""COMPUTED_VALUE"""),1200000.0)</f>
        <v>1200000</v>
      </c>
      <c r="AP21" s="92" t="str">
        <f>IFERROR(__xludf.DUMMYFUNCTION("""COMPUTED_VALUE"""),"リストE")</f>
        <v>リストE</v>
      </c>
      <c r="AQ21" s="92">
        <f>IFERROR(__xludf.DUMMYFUNCTION("""COMPUTED_VALUE"""),14878.0)</f>
        <v>14878</v>
      </c>
      <c r="AR21" s="92">
        <f>IFERROR(__xludf.DUMMYFUNCTION("""COMPUTED_VALUE"""),1805.0)</f>
        <v>1805</v>
      </c>
      <c r="AS21" s="117">
        <f>IFERROR(__xludf.DUMMYFUNCTION("""COMPUTED_VALUE"""),6150000.0)</f>
        <v>6150000</v>
      </c>
      <c r="AT21" s="92" t="str">
        <f>IFERROR(__xludf.DUMMYFUNCTION("""COMPUTED_VALUE"""),"リストE")</f>
        <v>リストE</v>
      </c>
      <c r="AU21" s="92">
        <f>IFERROR(__xludf.DUMMYFUNCTION("""COMPUTED_VALUE"""),23381.0)</f>
        <v>23381</v>
      </c>
      <c r="AV21" s="92">
        <f>IFERROR(__xludf.DUMMYFUNCTION("""COMPUTED_VALUE"""),2663.0)</f>
        <v>2663</v>
      </c>
      <c r="AW21" s="117">
        <f>IFERROR(__xludf.DUMMYFUNCTION("""COMPUTED_VALUE"""),7070000.0)</f>
        <v>7070000</v>
      </c>
      <c r="AX21" s="92" t="str">
        <f>IFERROR(__xludf.DUMMYFUNCTION("""COMPUTED_VALUE"""),"リストE")</f>
        <v>リストE</v>
      </c>
      <c r="AY21" s="92">
        <f>IFERROR(__xludf.DUMMYFUNCTION("""COMPUTED_VALUE"""),20220.0)</f>
        <v>20220</v>
      </c>
      <c r="AZ21" s="92">
        <f>IFERROR(__xludf.DUMMYFUNCTION("""COMPUTED_VALUE"""),2883.0)</f>
        <v>2883</v>
      </c>
      <c r="BA21" s="117">
        <f>IFERROR(__xludf.DUMMYFUNCTION("""COMPUTED_VALUE"""),7540000.0)</f>
        <v>7540000</v>
      </c>
      <c r="BB21" s="92" t="str">
        <f>IFERROR(__xludf.DUMMYFUNCTION("""COMPUTED_VALUE"""),"リストE")</f>
        <v>リストE</v>
      </c>
      <c r="BC21" s="92">
        <f>IFERROR(__xludf.DUMMYFUNCTION("""COMPUTED_VALUE"""),20220.0)</f>
        <v>20220</v>
      </c>
      <c r="BD21" s="92">
        <f>IFERROR(__xludf.DUMMYFUNCTION("""COMPUTED_VALUE"""),2883.0)</f>
        <v>2883</v>
      </c>
      <c r="BE21" s="117">
        <f>IFERROR(__xludf.DUMMYFUNCTION("""COMPUTED_VALUE"""),7540000.0)</f>
        <v>7540000</v>
      </c>
      <c r="BF21" s="92" t="str">
        <f>IFERROR(__xludf.DUMMYFUNCTION("""COMPUTED_VALUE"""),"リストE")</f>
        <v>リストE</v>
      </c>
      <c r="BG21" s="92"/>
      <c r="BH21" s="92"/>
      <c r="BI21" s="92"/>
      <c r="BJ21" s="92"/>
      <c r="BK21" s="92"/>
      <c r="BL21" s="92"/>
      <c r="BM21" s="92"/>
      <c r="BN21" s="92"/>
      <c r="BO21" s="92"/>
      <c r="BP21" s="92"/>
    </row>
    <row r="22">
      <c r="A22" s="92"/>
      <c r="B22" s="93" t="str">
        <f>IFERROR(__xludf.DUMMYFUNCTION("""COMPUTED_VALUE"""),"TOTAL")</f>
        <v>TOTAL</v>
      </c>
      <c r="C22" s="93">
        <f>IFERROR(__xludf.DUMMYFUNCTION("""COMPUTED_VALUE"""),9706.0)</f>
        <v>9706</v>
      </c>
      <c r="D22" s="93">
        <f>IFERROR(__xludf.DUMMYFUNCTION("""COMPUTED_VALUE"""),1116.0)</f>
        <v>1116</v>
      </c>
      <c r="E22" s="118">
        <f>IFERROR(__xludf.DUMMYFUNCTION("""COMPUTED_VALUE"""),0.0)</f>
        <v>0</v>
      </c>
      <c r="F22" s="93" t="str">
        <f>IFERROR(__xludf.DUMMYFUNCTION("""COMPUTED_VALUE"""),"TOTAL")</f>
        <v>TOTAL</v>
      </c>
      <c r="G22" s="93">
        <f>IFERROR(__xludf.DUMMYFUNCTION("""COMPUTED_VALUE"""),9528.0)</f>
        <v>9528</v>
      </c>
      <c r="H22" s="93">
        <f>IFERROR(__xludf.DUMMYFUNCTION("""COMPUTED_VALUE"""),1528.0)</f>
        <v>1528</v>
      </c>
      <c r="I22" s="94">
        <f>IFERROR(__xludf.DUMMYFUNCTION("""COMPUTED_VALUE"""),382.0)</f>
        <v>382</v>
      </c>
      <c r="J22" s="93" t="str">
        <f>IFERROR(__xludf.DUMMYFUNCTION("""COMPUTED_VALUE"""),"TOTAL")</f>
        <v>TOTAL</v>
      </c>
      <c r="K22" s="93">
        <f>IFERROR(__xludf.DUMMYFUNCTION("""COMPUTED_VALUE"""),8802.0)</f>
        <v>8802</v>
      </c>
      <c r="L22" s="93">
        <f>IFERROR(__xludf.DUMMYFUNCTION("""COMPUTED_VALUE"""),1448.0)</f>
        <v>1448</v>
      </c>
      <c r="M22" s="118">
        <f>IFERROR(__xludf.DUMMYFUNCTION("""COMPUTED_VALUE"""),5530000.0)</f>
        <v>5530000</v>
      </c>
      <c r="N22" s="93" t="str">
        <f>IFERROR(__xludf.DUMMYFUNCTION("""COMPUTED_VALUE"""),"TOTAL")</f>
        <v>TOTAL</v>
      </c>
      <c r="O22" s="93">
        <f>IFERROR(__xludf.DUMMYFUNCTION("""COMPUTED_VALUE"""),9829.0)</f>
        <v>9829</v>
      </c>
      <c r="P22" s="93">
        <f>IFERROR(__xludf.DUMMYFUNCTION("""COMPUTED_VALUE"""),2687.0)</f>
        <v>2687</v>
      </c>
      <c r="Q22" s="118">
        <f>IFERROR(__xludf.DUMMYFUNCTION("""COMPUTED_VALUE"""),350000.0)</f>
        <v>350000</v>
      </c>
      <c r="R22" s="93" t="str">
        <f>IFERROR(__xludf.DUMMYFUNCTION("""COMPUTED_VALUE"""),"TOTAL")</f>
        <v>TOTAL</v>
      </c>
      <c r="S22" s="93">
        <f>IFERROR(__xludf.DUMMYFUNCTION("""COMPUTED_VALUE"""),100011.0)</f>
        <v>100011</v>
      </c>
      <c r="T22" s="93">
        <f>IFERROR(__xludf.DUMMYFUNCTION("""COMPUTED_VALUE"""),3800.0)</f>
        <v>3800</v>
      </c>
      <c r="U22" s="118">
        <f>IFERROR(__xludf.DUMMYFUNCTION("""COMPUTED_VALUE"""),7120000.0)</f>
        <v>7120000</v>
      </c>
      <c r="V22" s="93" t="str">
        <f>IFERROR(__xludf.DUMMYFUNCTION("""COMPUTED_VALUE"""),"TOTAL")</f>
        <v>TOTAL</v>
      </c>
      <c r="W22" s="93">
        <f>IFERROR(__xludf.DUMMYFUNCTION("""COMPUTED_VALUE"""),190219.0)</f>
        <v>190219</v>
      </c>
      <c r="X22" s="93">
        <f>IFERROR(__xludf.DUMMYFUNCTION("""COMPUTED_VALUE"""),7802.0)</f>
        <v>7802</v>
      </c>
      <c r="Y22" s="118">
        <f>IFERROR(__xludf.DUMMYFUNCTION("""COMPUTED_VALUE"""),7120000.0)</f>
        <v>7120000</v>
      </c>
      <c r="Z22" s="93" t="str">
        <f>IFERROR(__xludf.DUMMYFUNCTION("""COMPUTED_VALUE"""),"TOTAL")</f>
        <v>TOTAL</v>
      </c>
      <c r="AA22" s="93">
        <f>IFERROR(__xludf.DUMMYFUNCTION("""COMPUTED_VALUE"""),170586.0)</f>
        <v>170586</v>
      </c>
      <c r="AB22" s="93">
        <f>IFERROR(__xludf.DUMMYFUNCTION("""COMPUTED_VALUE"""),6113.0)</f>
        <v>6113</v>
      </c>
      <c r="AC22" s="118">
        <f>IFERROR(__xludf.DUMMYFUNCTION("""COMPUTED_VALUE"""),5060000.0)</f>
        <v>5060000</v>
      </c>
      <c r="AD22" s="93" t="str">
        <f>IFERROR(__xludf.DUMMYFUNCTION("""COMPUTED_VALUE"""),"TOTAL")</f>
        <v>TOTAL</v>
      </c>
      <c r="AE22" s="93">
        <f>IFERROR(__xludf.DUMMYFUNCTION("""COMPUTED_VALUE"""),95781.0)</f>
        <v>95781</v>
      </c>
      <c r="AF22" s="93">
        <f>IFERROR(__xludf.DUMMYFUNCTION("""COMPUTED_VALUE"""),4488.0)</f>
        <v>4488</v>
      </c>
      <c r="AG22" s="118">
        <f>IFERROR(__xludf.DUMMYFUNCTION("""COMPUTED_VALUE"""),1.175E7)</f>
        <v>11750000</v>
      </c>
      <c r="AH22" s="96" t="str">
        <f>IFERROR(__xludf.DUMMYFUNCTION("""COMPUTED_VALUE"""),"TOTAL")</f>
        <v>TOTAL</v>
      </c>
      <c r="AI22" s="96">
        <f>IFERROR(__xludf.DUMMYFUNCTION("""COMPUTED_VALUE"""),63823.0)</f>
        <v>63823</v>
      </c>
      <c r="AJ22" s="96">
        <f>IFERROR(__xludf.DUMMYFUNCTION("""COMPUTED_VALUE"""),4040.0)</f>
        <v>4040</v>
      </c>
      <c r="AK22" s="115">
        <f>IFERROR(__xludf.DUMMYFUNCTION("""COMPUTED_VALUE"""),9903000.0)</f>
        <v>9903000</v>
      </c>
      <c r="AL22" s="98" t="str">
        <f>IFERROR(__xludf.DUMMYFUNCTION("""COMPUTED_VALUE"""),"TOTAL")</f>
        <v>TOTAL</v>
      </c>
      <c r="AM22" s="98">
        <f>IFERROR(__xludf.DUMMYFUNCTION("""COMPUTED_VALUE"""),46249.0)</f>
        <v>46249</v>
      </c>
      <c r="AN22" s="98">
        <f>IFERROR(__xludf.DUMMYFUNCTION("""COMPUTED_VALUE"""),4737.0)</f>
        <v>4737</v>
      </c>
      <c r="AO22" s="116">
        <f>IFERROR(__xludf.DUMMYFUNCTION("""COMPUTED_VALUE"""),7130000.0)</f>
        <v>7130000</v>
      </c>
      <c r="AP22" s="92" t="str">
        <f>IFERROR(__xludf.DUMMYFUNCTION("""COMPUTED_VALUE"""),"TOTAL")</f>
        <v>TOTAL</v>
      </c>
      <c r="AQ22" s="92">
        <f>IFERROR(__xludf.DUMMYFUNCTION("""COMPUTED_VALUE"""),29428.0)</f>
        <v>29428</v>
      </c>
      <c r="AR22" s="92">
        <f>IFERROR(__xludf.DUMMYFUNCTION("""COMPUTED_VALUE"""),3492.0)</f>
        <v>3492</v>
      </c>
      <c r="AS22" s="117">
        <f>IFERROR(__xludf.DUMMYFUNCTION("""COMPUTED_VALUE"""),9960000.0)</f>
        <v>9960000</v>
      </c>
      <c r="AT22" s="92" t="str">
        <f>IFERROR(__xludf.DUMMYFUNCTION("""COMPUTED_VALUE"""),"TOTAL")</f>
        <v>TOTAL</v>
      </c>
      <c r="AU22" s="92">
        <f>IFERROR(__xludf.DUMMYFUNCTION("""COMPUTED_VALUE"""),36686.0)</f>
        <v>36686</v>
      </c>
      <c r="AV22" s="92">
        <f>IFERROR(__xludf.DUMMYFUNCTION("""COMPUTED_VALUE"""),4028.0)</f>
        <v>4028</v>
      </c>
      <c r="AW22" s="117">
        <f>IFERROR(__xludf.DUMMYFUNCTION("""COMPUTED_VALUE"""),8410000.0)</f>
        <v>8410000</v>
      </c>
      <c r="AX22" s="92" t="str">
        <f>IFERROR(__xludf.DUMMYFUNCTION("""COMPUTED_VALUE"""),"TOTAL")</f>
        <v>TOTAL</v>
      </c>
      <c r="AY22" s="92">
        <f>IFERROR(__xludf.DUMMYFUNCTION("""COMPUTED_VALUE"""),40949.0)</f>
        <v>40949</v>
      </c>
      <c r="AZ22" s="92">
        <f>IFERROR(__xludf.DUMMYFUNCTION("""COMPUTED_VALUE"""),4845.0)</f>
        <v>4845</v>
      </c>
      <c r="BA22" s="117">
        <f>IFERROR(__xludf.DUMMYFUNCTION("""COMPUTED_VALUE"""),1.163E7)</f>
        <v>11630000</v>
      </c>
      <c r="BB22" s="92" t="str">
        <f>IFERROR(__xludf.DUMMYFUNCTION("""COMPUTED_VALUE"""),"TOTAL")</f>
        <v>TOTAL</v>
      </c>
      <c r="BC22" s="92">
        <f>IFERROR(__xludf.DUMMYFUNCTION("""COMPUTED_VALUE"""),40949.0)</f>
        <v>40949</v>
      </c>
      <c r="BD22" s="92">
        <f>IFERROR(__xludf.DUMMYFUNCTION("""COMPUTED_VALUE"""),4845.0)</f>
        <v>4845</v>
      </c>
      <c r="BE22" s="117">
        <f>IFERROR(__xludf.DUMMYFUNCTION("""COMPUTED_VALUE"""),1.163E7)</f>
        <v>11630000</v>
      </c>
      <c r="BF22" s="92" t="str">
        <f>IFERROR(__xludf.DUMMYFUNCTION("""COMPUTED_VALUE"""),"TOTAL")</f>
        <v>TOTAL</v>
      </c>
      <c r="BG22" s="92"/>
      <c r="BH22" s="92"/>
      <c r="BI22" s="92"/>
      <c r="BJ22" s="92"/>
      <c r="BK22" s="92"/>
      <c r="BL22" s="92"/>
      <c r="BM22" s="92"/>
      <c r="BN22" s="92"/>
      <c r="BO22" s="92"/>
      <c r="BP22" s="92"/>
    </row>
    <row r="23">
      <c r="A23" s="79"/>
      <c r="B23" s="88"/>
      <c r="C23" s="88" t="str">
        <f>IFERROR(__xludf.DUMMYFUNCTION("""COMPUTED_VALUE"""),"着電率")</f>
        <v>着電率</v>
      </c>
      <c r="D23" s="88" t="str">
        <f>IFERROR(__xludf.DUMMYFUNCTION("""COMPUTED_VALUE"""),"LINE登録率")</f>
        <v>LINE登録率</v>
      </c>
      <c r="E23" s="88" t="str">
        <f>IFERROR(__xludf.DUMMYFUNCTION("""COMPUTED_VALUE"""),"アカウント作成率")</f>
        <v>アカウント作成率</v>
      </c>
      <c r="F23" s="88"/>
      <c r="G23" s="88" t="str">
        <f>IFERROR(__xludf.DUMMYFUNCTION("""COMPUTED_VALUE"""),"着電率")</f>
        <v>着電率</v>
      </c>
      <c r="H23" s="88" t="str">
        <f>IFERROR(__xludf.DUMMYFUNCTION("""COMPUTED_VALUE"""),"LINE登録率")</f>
        <v>LINE登録率</v>
      </c>
      <c r="I23" s="88" t="str">
        <f>IFERROR(__xludf.DUMMYFUNCTION("""COMPUTED_VALUE"""),"アカウント作成率")</f>
        <v>アカウント作成率</v>
      </c>
      <c r="J23" s="88"/>
      <c r="K23" s="88" t="str">
        <f>IFERROR(__xludf.DUMMYFUNCTION("""COMPUTED_VALUE"""),"着電率")</f>
        <v>着電率</v>
      </c>
      <c r="L23" s="88" t="str">
        <f>IFERROR(__xludf.DUMMYFUNCTION("""COMPUTED_VALUE"""),"LINE登録率")</f>
        <v>LINE登録率</v>
      </c>
      <c r="M23" s="88" t="str">
        <f>IFERROR(__xludf.DUMMYFUNCTION("""COMPUTED_VALUE"""),"アカウント作成率")</f>
        <v>アカウント作成率</v>
      </c>
      <c r="N23" s="88"/>
      <c r="O23" s="88" t="str">
        <f>IFERROR(__xludf.DUMMYFUNCTION("""COMPUTED_VALUE"""),"着電率")</f>
        <v>着電率</v>
      </c>
      <c r="P23" s="88" t="str">
        <f>IFERROR(__xludf.DUMMYFUNCTION("""COMPUTED_VALUE"""),"LINE登録率")</f>
        <v>LINE登録率</v>
      </c>
      <c r="Q23" s="88" t="str">
        <f>IFERROR(__xludf.DUMMYFUNCTION("""COMPUTED_VALUE"""),"アカウント作成率")</f>
        <v>アカウント作成率</v>
      </c>
      <c r="R23" s="88"/>
      <c r="S23" s="88" t="str">
        <f>IFERROR(__xludf.DUMMYFUNCTION("""COMPUTED_VALUE"""),"着電率")</f>
        <v>着電率</v>
      </c>
      <c r="T23" s="88" t="str">
        <f>IFERROR(__xludf.DUMMYFUNCTION("""COMPUTED_VALUE"""),"LINE登録率")</f>
        <v>LINE登録率</v>
      </c>
      <c r="U23" s="88" t="str">
        <f>IFERROR(__xludf.DUMMYFUNCTION("""COMPUTED_VALUE"""),"アカウント作成率")</f>
        <v>アカウント作成率</v>
      </c>
      <c r="V23" s="88"/>
      <c r="W23" s="88" t="str">
        <f>IFERROR(__xludf.DUMMYFUNCTION("""COMPUTED_VALUE"""),"着電率")</f>
        <v>着電率</v>
      </c>
      <c r="X23" s="88" t="str">
        <f>IFERROR(__xludf.DUMMYFUNCTION("""COMPUTED_VALUE"""),"LINE登録率")</f>
        <v>LINE登録率</v>
      </c>
      <c r="Y23" s="88" t="str">
        <f>IFERROR(__xludf.DUMMYFUNCTION("""COMPUTED_VALUE"""),"アカウント作成率")</f>
        <v>アカウント作成率</v>
      </c>
      <c r="Z23" s="88"/>
      <c r="AA23" s="88" t="str">
        <f>IFERROR(__xludf.DUMMYFUNCTION("""COMPUTED_VALUE"""),"着電率")</f>
        <v>着電率</v>
      </c>
      <c r="AB23" s="88" t="str">
        <f>IFERROR(__xludf.DUMMYFUNCTION("""COMPUTED_VALUE"""),"LINE登録率")</f>
        <v>LINE登録率</v>
      </c>
      <c r="AC23" s="88" t="str">
        <f>IFERROR(__xludf.DUMMYFUNCTION("""COMPUTED_VALUE"""),"アカウント作成率")</f>
        <v>アカウント作成率</v>
      </c>
      <c r="AD23" s="88"/>
      <c r="AE23" s="88" t="str">
        <f>IFERROR(__xludf.DUMMYFUNCTION("""COMPUTED_VALUE"""),"着電率")</f>
        <v>着電率</v>
      </c>
      <c r="AF23" s="88" t="str">
        <f>IFERROR(__xludf.DUMMYFUNCTION("""COMPUTED_VALUE"""),"LINE登録率")</f>
        <v>LINE登録率</v>
      </c>
      <c r="AG23" s="88" t="str">
        <f>IFERROR(__xludf.DUMMYFUNCTION("""COMPUTED_VALUE"""),"アカウント作成率")</f>
        <v>アカウント作成率</v>
      </c>
      <c r="AH23" s="89"/>
      <c r="AI23" s="89" t="str">
        <f>IFERROR(__xludf.DUMMYFUNCTION("""COMPUTED_VALUE"""),"着電率")</f>
        <v>着電率</v>
      </c>
      <c r="AJ23" s="89" t="str">
        <f>IFERROR(__xludf.DUMMYFUNCTION("""COMPUTED_VALUE"""),"LINE登録率")</f>
        <v>LINE登録率</v>
      </c>
      <c r="AK23" s="90" t="str">
        <f>IFERROR(__xludf.DUMMYFUNCTION("""COMPUTED_VALUE"""),"アカウント作成率")</f>
        <v>アカウント作成率</v>
      </c>
      <c r="AL23" s="91"/>
      <c r="AM23" s="91" t="str">
        <f>IFERROR(__xludf.DUMMYFUNCTION("""COMPUTED_VALUE"""),"着電率")</f>
        <v>着電率</v>
      </c>
      <c r="AN23" s="91" t="str">
        <f>IFERROR(__xludf.DUMMYFUNCTION("""COMPUTED_VALUE"""),"LINE登録率")</f>
        <v>LINE登録率</v>
      </c>
      <c r="AO23" s="91" t="str">
        <f>IFERROR(__xludf.DUMMYFUNCTION("""COMPUTED_VALUE"""),"アカウント作成率")</f>
        <v>アカウント作成率</v>
      </c>
      <c r="AP23" s="79"/>
      <c r="AQ23" s="79" t="str">
        <f>IFERROR(__xludf.DUMMYFUNCTION("""COMPUTED_VALUE"""),"着電率")</f>
        <v>着電率</v>
      </c>
      <c r="AR23" s="79" t="str">
        <f>IFERROR(__xludf.DUMMYFUNCTION("""COMPUTED_VALUE"""),"LINE登録率")</f>
        <v>LINE登録率</v>
      </c>
      <c r="AS23" s="79" t="str">
        <f>IFERROR(__xludf.DUMMYFUNCTION("""COMPUTED_VALUE"""),"アカウント作成率")</f>
        <v>アカウント作成率</v>
      </c>
      <c r="AT23" s="79"/>
      <c r="AU23" s="79" t="str">
        <f>IFERROR(__xludf.DUMMYFUNCTION("""COMPUTED_VALUE"""),"着電率")</f>
        <v>着電率</v>
      </c>
      <c r="AV23" s="79" t="str">
        <f>IFERROR(__xludf.DUMMYFUNCTION("""COMPUTED_VALUE"""),"LINE登録率")</f>
        <v>LINE登録率</v>
      </c>
      <c r="AW23" s="79" t="str">
        <f>IFERROR(__xludf.DUMMYFUNCTION("""COMPUTED_VALUE"""),"アカウント作成率")</f>
        <v>アカウント作成率</v>
      </c>
      <c r="AX23" s="79"/>
      <c r="AY23" s="79" t="str">
        <f>IFERROR(__xludf.DUMMYFUNCTION("""COMPUTED_VALUE"""),"着電率")</f>
        <v>着電率</v>
      </c>
      <c r="AZ23" s="79" t="str">
        <f>IFERROR(__xludf.DUMMYFUNCTION("""COMPUTED_VALUE"""),"LINE登録率")</f>
        <v>LINE登録率</v>
      </c>
      <c r="BA23" s="79" t="str">
        <f>IFERROR(__xludf.DUMMYFUNCTION("""COMPUTED_VALUE"""),"アカウント作成率")</f>
        <v>アカウント作成率</v>
      </c>
      <c r="BB23" s="79"/>
      <c r="BC23" s="79" t="str">
        <f>IFERROR(__xludf.DUMMYFUNCTION("""COMPUTED_VALUE"""),"着電率")</f>
        <v>着電率</v>
      </c>
      <c r="BD23" s="79" t="str">
        <f>IFERROR(__xludf.DUMMYFUNCTION("""COMPUTED_VALUE"""),"LINE登録率")</f>
        <v>LINE登録率</v>
      </c>
      <c r="BE23" s="79" t="str">
        <f>IFERROR(__xludf.DUMMYFUNCTION("""COMPUTED_VALUE"""),"アカウント作成率")</f>
        <v>アカウント作成率</v>
      </c>
      <c r="BF23" s="79"/>
      <c r="BG23" s="79"/>
      <c r="BH23" s="79"/>
      <c r="BI23" s="79"/>
      <c r="BJ23" s="79"/>
      <c r="BK23" s="79"/>
      <c r="BL23" s="79"/>
      <c r="BM23" s="79"/>
      <c r="BN23" s="79"/>
      <c r="BO23" s="79"/>
      <c r="BP23" s="79"/>
    </row>
    <row r="24">
      <c r="A24" s="92"/>
      <c r="B24" s="93" t="str">
        <f>IFERROR(__xludf.DUMMYFUNCTION("""COMPUTED_VALUE"""),"リストC")</f>
        <v>リストC</v>
      </c>
      <c r="C24" s="119">
        <f>IFERROR(__xludf.DUMMYFUNCTION("""COMPUTED_VALUE"""),0.12319987581577085)</f>
        <v>0.1231998758</v>
      </c>
      <c r="D24" s="119">
        <f>IFERROR(__xludf.DUMMYFUNCTION("""COMPUTED_VALUE"""),0.1230581465063459)</f>
        <v>0.1230581465</v>
      </c>
      <c r="E24" s="119">
        <f>IFERROR(__xludf.DUMMYFUNCTION("""COMPUTED_VALUE"""),0.06634780211217799)</f>
        <v>0.06634780211</v>
      </c>
      <c r="F24" s="93" t="str">
        <f>IFERROR(__xludf.DUMMYFUNCTION("""COMPUTED_VALUE"""),"リストC")</f>
        <v>リストC</v>
      </c>
      <c r="G24" s="119">
        <f>IFERROR(__xludf.DUMMYFUNCTION("""COMPUTED_VALUE"""),0.17914554609339672)</f>
        <v>0.1791455461</v>
      </c>
      <c r="H24" s="119">
        <f>IFERROR(__xludf.DUMMYFUNCTION("""COMPUTED_VALUE"""),0.0017177159255331335)</f>
        <v>0.001717715926</v>
      </c>
      <c r="I24" s="119">
        <f>IFERROR(__xludf.DUMMYFUNCTION("""COMPUTED_VALUE"""),0.0015058040509998995)</f>
        <v>0.001505804051</v>
      </c>
      <c r="J24" s="93" t="str">
        <f>IFERROR(__xludf.DUMMYFUNCTION("""COMPUTED_VALUE"""),"リストC")</f>
        <v>リストC</v>
      </c>
      <c r="K24" s="119">
        <f>IFERROR(__xludf.DUMMYFUNCTION("""COMPUTED_VALUE"""),0.14220426163679312)</f>
        <v>0.1422042616</v>
      </c>
      <c r="L24" s="119">
        <f>IFERROR(__xludf.DUMMYFUNCTION("""COMPUTED_VALUE"""),0.0091847167562308)</f>
        <v>0.009184716756</v>
      </c>
      <c r="M24" s="119">
        <f>IFERROR(__xludf.DUMMYFUNCTION("""COMPUTED_VALUE"""),0.008887453499291712)</f>
        <v>0.008887453499</v>
      </c>
      <c r="N24" s="93" t="str">
        <f>IFERROR(__xludf.DUMMYFUNCTION("""COMPUTED_VALUE"""),"リストC")</f>
        <v>リストC</v>
      </c>
      <c r="O24" s="119">
        <f>IFERROR(__xludf.DUMMYFUNCTION("""COMPUTED_VALUE"""),0.0)</f>
        <v>0</v>
      </c>
      <c r="P24" s="119">
        <f>IFERROR(__xludf.DUMMYFUNCTION("""COMPUTED_VALUE"""),0.0)</f>
        <v>0</v>
      </c>
      <c r="Q24" s="119">
        <f>IFERROR(__xludf.DUMMYFUNCTION("""COMPUTED_VALUE"""),0.0)</f>
        <v>0</v>
      </c>
      <c r="R24" s="93" t="str">
        <f>IFERROR(__xludf.DUMMYFUNCTION("""COMPUTED_VALUE"""),"リストC")</f>
        <v>リストC</v>
      </c>
      <c r="S24" s="119">
        <f>IFERROR(__xludf.DUMMYFUNCTION("""COMPUTED_VALUE"""),0.07063451078714285)</f>
        <v>0.07063451079</v>
      </c>
      <c r="T24" s="119">
        <f>IFERROR(__xludf.DUMMYFUNCTION("""COMPUTED_VALUE"""),7.839566169139106E-4)</f>
        <v>0.0007839566169</v>
      </c>
      <c r="U24" s="119">
        <f>IFERROR(__xludf.DUMMYFUNCTION("""COMPUTED_VALUE"""),6.793601205648369E-4)</f>
        <v>0.0006793601206</v>
      </c>
      <c r="V24" s="93" t="str">
        <f>IFERROR(__xludf.DUMMYFUNCTION("""COMPUTED_VALUE"""),"リストC")</f>
        <v>リストC</v>
      </c>
      <c r="W24" s="119">
        <f>IFERROR(__xludf.DUMMYFUNCTION("""COMPUTED_VALUE"""),0.019646327767030382)</f>
        <v>0.01964632777</v>
      </c>
      <c r="X24" s="119">
        <f>IFERROR(__xludf.DUMMYFUNCTION("""COMPUTED_VALUE"""),5.846704052254974E-4)</f>
        <v>0.0005846704052</v>
      </c>
      <c r="Y24" s="119">
        <f>IFERROR(__xludf.DUMMYFUNCTION("""COMPUTED_VALUE"""),4.8626205209146076E-4)</f>
        <v>0.0004862620521</v>
      </c>
      <c r="Z24" s="93" t="str">
        <f>IFERROR(__xludf.DUMMYFUNCTION("""COMPUTED_VALUE"""),"リストC")</f>
        <v>リストC</v>
      </c>
      <c r="AA24" s="119">
        <f>IFERROR(__xludf.DUMMYFUNCTION("""COMPUTED_VALUE"""),0.03530911208050261)</f>
        <v>0.03530911208</v>
      </c>
      <c r="AB24" s="119">
        <f>IFERROR(__xludf.DUMMYFUNCTION("""COMPUTED_VALUE"""),6.840404110814048E-4)</f>
        <v>0.0006840404111</v>
      </c>
      <c r="AC24" s="119">
        <f>IFERROR(__xludf.DUMMYFUNCTION("""COMPUTED_VALUE"""),5.307668051278695E-4)</f>
        <v>0.0005307668051</v>
      </c>
      <c r="AD24" s="93" t="str">
        <f>IFERROR(__xludf.DUMMYFUNCTION("""COMPUTED_VALUE"""),"リストC")</f>
        <v>リストC</v>
      </c>
      <c r="AE24" s="119">
        <f>IFERROR(__xludf.DUMMYFUNCTION("""COMPUTED_VALUE"""),0.037447436978039865)</f>
        <v>0.03744743698</v>
      </c>
      <c r="AF24" s="119">
        <f>IFERROR(__xludf.DUMMYFUNCTION("""COMPUTED_VALUE"""),0.01648548894265388)</f>
        <v>0.01648548894</v>
      </c>
      <c r="AG24" s="119">
        <f>IFERROR(__xludf.DUMMYFUNCTION("""COMPUTED_VALUE"""),0.018975495508496868)</f>
        <v>0.01897549551</v>
      </c>
      <c r="AH24" s="96" t="str">
        <f>IFERROR(__xludf.DUMMYFUNCTION("""COMPUTED_VALUE"""),"リストC")</f>
        <v>リストC</v>
      </c>
      <c r="AI24" s="96">
        <f>IFERROR(__xludf.DUMMYFUNCTION("""COMPUTED_VALUE"""),0.0)</f>
        <v>0</v>
      </c>
      <c r="AJ24" s="96">
        <f>IFERROR(__xludf.DUMMYFUNCTION("""COMPUTED_VALUE"""),0.0)</f>
        <v>0</v>
      </c>
      <c r="AK24" s="97">
        <f>IFERROR(__xludf.DUMMYFUNCTION("""COMPUTED_VALUE"""),0.0)</f>
        <v>0</v>
      </c>
      <c r="AL24" s="98" t="str">
        <f>IFERROR(__xludf.DUMMYFUNCTION("""COMPUTED_VALUE"""),"リストC")</f>
        <v>リストC</v>
      </c>
      <c r="AM24" s="98">
        <f>IFERROR(__xludf.DUMMYFUNCTION("""COMPUTED_VALUE"""),0.0)</f>
        <v>0</v>
      </c>
      <c r="AN24" s="98">
        <f>IFERROR(__xludf.DUMMYFUNCTION("""COMPUTED_VALUE"""),0.0)</f>
        <v>0</v>
      </c>
      <c r="AO24" s="98">
        <f>IFERROR(__xludf.DUMMYFUNCTION("""COMPUTED_VALUE"""),0.0)</f>
        <v>0</v>
      </c>
      <c r="AP24" s="92" t="str">
        <f>IFERROR(__xludf.DUMMYFUNCTION("""COMPUTED_VALUE"""),"リストC")</f>
        <v>リストC</v>
      </c>
      <c r="AQ24" s="92">
        <f>IFERROR(__xludf.DUMMYFUNCTION("""COMPUTED_VALUE"""),0.0)</f>
        <v>0</v>
      </c>
      <c r="AR24" s="92">
        <f>IFERROR(__xludf.DUMMYFUNCTION("""COMPUTED_VALUE"""),0.0)</f>
        <v>0</v>
      </c>
      <c r="AS24" s="92">
        <f>IFERROR(__xludf.DUMMYFUNCTION("""COMPUTED_VALUE"""),0.0)</f>
        <v>0</v>
      </c>
      <c r="AT24" s="92" t="str">
        <f>IFERROR(__xludf.DUMMYFUNCTION("""COMPUTED_VALUE"""),"リストC")</f>
        <v>リストC</v>
      </c>
      <c r="AU24" s="92">
        <f>IFERROR(__xludf.DUMMYFUNCTION("""COMPUTED_VALUE"""),0.0)</f>
        <v>0</v>
      </c>
      <c r="AV24" s="92">
        <f>IFERROR(__xludf.DUMMYFUNCTION("""COMPUTED_VALUE"""),0.0)</f>
        <v>0</v>
      </c>
      <c r="AW24" s="92">
        <f>IFERROR(__xludf.DUMMYFUNCTION("""COMPUTED_VALUE"""),0.0)</f>
        <v>0</v>
      </c>
      <c r="AX24" s="92" t="str">
        <f>IFERROR(__xludf.DUMMYFUNCTION("""COMPUTED_VALUE"""),"リストC")</f>
        <v>リストC</v>
      </c>
      <c r="AY24" s="92">
        <f>IFERROR(__xludf.DUMMYFUNCTION("""COMPUTED_VALUE"""),0.0)</f>
        <v>0</v>
      </c>
      <c r="AZ24" s="92">
        <f>IFERROR(__xludf.DUMMYFUNCTION("""COMPUTED_VALUE"""),0.0)</f>
        <v>0</v>
      </c>
      <c r="BA24" s="92">
        <f>IFERROR(__xludf.DUMMYFUNCTION("""COMPUTED_VALUE"""),0.0)</f>
        <v>0</v>
      </c>
      <c r="BB24" s="92" t="str">
        <f>IFERROR(__xludf.DUMMYFUNCTION("""COMPUTED_VALUE"""),"リストC")</f>
        <v>リストC</v>
      </c>
      <c r="BC24" s="92">
        <f>IFERROR(__xludf.DUMMYFUNCTION("""COMPUTED_VALUE"""),0.0)</f>
        <v>0</v>
      </c>
      <c r="BD24" s="92">
        <f>IFERROR(__xludf.DUMMYFUNCTION("""COMPUTED_VALUE"""),0.0)</f>
        <v>0</v>
      </c>
      <c r="BE24" s="92">
        <f>IFERROR(__xludf.DUMMYFUNCTION("""COMPUTED_VALUE"""),0.0)</f>
        <v>0</v>
      </c>
      <c r="BF24" s="92" t="str">
        <f>IFERROR(__xludf.DUMMYFUNCTION("""COMPUTED_VALUE"""),"リストC")</f>
        <v>リストC</v>
      </c>
      <c r="BG24" s="92"/>
      <c r="BH24" s="92"/>
      <c r="BI24" s="92"/>
      <c r="BJ24" s="92"/>
      <c r="BK24" s="92"/>
      <c r="BL24" s="92"/>
      <c r="BM24" s="92"/>
      <c r="BN24" s="92"/>
      <c r="BO24" s="92"/>
      <c r="BP24" s="92"/>
    </row>
    <row r="25">
      <c r="A25" s="79"/>
      <c r="B25" s="99" t="str">
        <f>IFERROR(__xludf.DUMMYFUNCTION("""COMPUTED_VALUE"""),"リストBE")</f>
        <v>リストBE</v>
      </c>
      <c r="C25" s="120">
        <f>IFERROR(__xludf.DUMMYFUNCTION("""COMPUTED_VALUE"""),0.12360086723245745)</f>
        <v>0.1236008672</v>
      </c>
      <c r="D25" s="120">
        <f>IFERROR(__xludf.DUMMYFUNCTION("""COMPUTED_VALUE"""),7.974481658692185E-4)</f>
        <v>0.0007974481659</v>
      </c>
      <c r="E25" s="120">
        <f>IFERROR(__xludf.DUMMYFUNCTION("""COMPUTED_VALUE"""),0.0)</f>
        <v>0</v>
      </c>
      <c r="F25" s="99" t="str">
        <f>IFERROR(__xludf.DUMMYFUNCTION("""COMPUTED_VALUE"""),"リストBE")</f>
        <v>リストBE</v>
      </c>
      <c r="G25" s="120">
        <f>IFERROR(__xludf.DUMMYFUNCTION("""COMPUTED_VALUE"""),0.0)</f>
        <v>0</v>
      </c>
      <c r="H25" s="120">
        <f>IFERROR(__xludf.DUMMYFUNCTION("""COMPUTED_VALUE"""),0.0)</f>
        <v>0</v>
      </c>
      <c r="I25" s="120">
        <f>IFERROR(__xludf.DUMMYFUNCTION("""COMPUTED_VALUE"""),0.0)</f>
        <v>0</v>
      </c>
      <c r="J25" s="99" t="str">
        <f>IFERROR(__xludf.DUMMYFUNCTION("""COMPUTED_VALUE"""),"リストBE")</f>
        <v>リストBE</v>
      </c>
      <c r="K25" s="120">
        <f>IFERROR(__xludf.DUMMYFUNCTION("""COMPUTED_VALUE"""),0.0)</f>
        <v>0</v>
      </c>
      <c r="L25" s="120">
        <f>IFERROR(__xludf.DUMMYFUNCTION("""COMPUTED_VALUE"""),0.0)</f>
        <v>0</v>
      </c>
      <c r="M25" s="120">
        <f>IFERROR(__xludf.DUMMYFUNCTION("""COMPUTED_VALUE"""),0.0)</f>
        <v>0</v>
      </c>
      <c r="N25" s="99" t="str">
        <f>IFERROR(__xludf.DUMMYFUNCTION("""COMPUTED_VALUE"""),"リストBE")</f>
        <v>リストBE</v>
      </c>
      <c r="O25" s="120">
        <f>IFERROR(__xludf.DUMMYFUNCTION("""COMPUTED_VALUE"""),0.0)</f>
        <v>0</v>
      </c>
      <c r="P25" s="120">
        <f>IFERROR(__xludf.DUMMYFUNCTION("""COMPUTED_VALUE"""),0.0)</f>
        <v>0</v>
      </c>
      <c r="Q25" s="120">
        <f>IFERROR(__xludf.DUMMYFUNCTION("""COMPUTED_VALUE"""),0.0)</f>
        <v>0</v>
      </c>
      <c r="R25" s="99" t="str">
        <f>IFERROR(__xludf.DUMMYFUNCTION("""COMPUTED_VALUE"""),"リストBE")</f>
        <v>リストBE</v>
      </c>
      <c r="S25" s="120">
        <f>IFERROR(__xludf.DUMMYFUNCTION("""COMPUTED_VALUE"""),0.0)</f>
        <v>0</v>
      </c>
      <c r="T25" s="120">
        <f>IFERROR(__xludf.DUMMYFUNCTION("""COMPUTED_VALUE"""),0.0)</f>
        <v>0</v>
      </c>
      <c r="U25" s="120">
        <f>IFERROR(__xludf.DUMMYFUNCTION("""COMPUTED_VALUE"""),0.0)</f>
        <v>0</v>
      </c>
      <c r="V25" s="99" t="str">
        <f>IFERROR(__xludf.DUMMYFUNCTION("""COMPUTED_VALUE"""),"リストBE")</f>
        <v>リストBE</v>
      </c>
      <c r="W25" s="120">
        <f>IFERROR(__xludf.DUMMYFUNCTION("""COMPUTED_VALUE"""),0.0)</f>
        <v>0</v>
      </c>
      <c r="X25" s="120">
        <f>IFERROR(__xludf.DUMMYFUNCTION("""COMPUTED_VALUE"""),0.0)</f>
        <v>0</v>
      </c>
      <c r="Y25" s="120">
        <f>IFERROR(__xludf.DUMMYFUNCTION("""COMPUTED_VALUE"""),0.0)</f>
        <v>0</v>
      </c>
      <c r="Z25" s="99" t="str">
        <f>IFERROR(__xludf.DUMMYFUNCTION("""COMPUTED_VALUE"""),"リストBE")</f>
        <v>リストBE</v>
      </c>
      <c r="AA25" s="120">
        <f>IFERROR(__xludf.DUMMYFUNCTION("""COMPUTED_VALUE"""),0.0)</f>
        <v>0</v>
      </c>
      <c r="AB25" s="120">
        <f>IFERROR(__xludf.DUMMYFUNCTION("""COMPUTED_VALUE"""),0.0)</f>
        <v>0</v>
      </c>
      <c r="AC25" s="120">
        <f>IFERROR(__xludf.DUMMYFUNCTION("""COMPUTED_VALUE"""),0.0)</f>
        <v>0</v>
      </c>
      <c r="AD25" s="99" t="str">
        <f>IFERROR(__xludf.DUMMYFUNCTION("""COMPUTED_VALUE"""),"リストBE")</f>
        <v>リストBE</v>
      </c>
      <c r="AE25" s="120">
        <f>IFERROR(__xludf.DUMMYFUNCTION("""COMPUTED_VALUE"""),0.1014325210086349)</f>
        <v>0.101432521</v>
      </c>
      <c r="AF25" s="120">
        <f>IFERROR(__xludf.DUMMYFUNCTION("""COMPUTED_VALUE"""),0.0048627353836681935)</f>
        <v>0.004862735384</v>
      </c>
      <c r="AG25" s="120">
        <f>IFERROR(__xludf.DUMMYFUNCTION("""COMPUTED_VALUE"""),0.0034470206741891813)</f>
        <v>0.003447020674</v>
      </c>
      <c r="AH25" s="102" t="str">
        <f>IFERROR(__xludf.DUMMYFUNCTION("""COMPUTED_VALUE"""),"リストBE")</f>
        <v>リストBE</v>
      </c>
      <c r="AI25" s="121">
        <f>IFERROR(__xludf.DUMMYFUNCTION("""COMPUTED_VALUE"""),0.0)</f>
        <v>0</v>
      </c>
      <c r="AJ25" s="121">
        <f>IFERROR(__xludf.DUMMYFUNCTION("""COMPUTED_VALUE"""),0.0)</f>
        <v>0</v>
      </c>
      <c r="AK25" s="122">
        <f>IFERROR(__xludf.DUMMYFUNCTION("""COMPUTED_VALUE"""),0.0)</f>
        <v>0</v>
      </c>
      <c r="AL25" s="105" t="str">
        <f>IFERROR(__xludf.DUMMYFUNCTION("""COMPUTED_VALUE"""),"リストBE")</f>
        <v>リストBE</v>
      </c>
      <c r="AM25" s="123">
        <f>IFERROR(__xludf.DUMMYFUNCTION("""COMPUTED_VALUE"""),0.10955198525780048)</f>
        <v>0.1095519853</v>
      </c>
      <c r="AN25" s="123">
        <f>IFERROR(__xludf.DUMMYFUNCTION("""COMPUTED_VALUE"""),0.006756206174032764)</f>
        <v>0.006756206174</v>
      </c>
      <c r="AO25" s="123">
        <f>IFERROR(__xludf.DUMMYFUNCTION("""COMPUTED_VALUE"""),0.003097511927956114)</f>
        <v>0.003097511928</v>
      </c>
      <c r="AP25" s="79" t="str">
        <f>IFERROR(__xludf.DUMMYFUNCTION("""COMPUTED_VALUE"""),"リストBE")</f>
        <v>リストBE</v>
      </c>
      <c r="AQ25" s="79">
        <f>IFERROR(__xludf.DUMMYFUNCTION("""COMPUTED_VALUE"""),0.0)</f>
        <v>0</v>
      </c>
      <c r="AR25" s="79">
        <f>IFERROR(__xludf.DUMMYFUNCTION("""COMPUTED_VALUE"""),0.0)</f>
        <v>0</v>
      </c>
      <c r="AS25" s="79">
        <f>IFERROR(__xludf.DUMMYFUNCTION("""COMPUTED_VALUE"""),0.0)</f>
        <v>0</v>
      </c>
      <c r="AT25" s="79" t="str">
        <f>IFERROR(__xludf.DUMMYFUNCTION("""COMPUTED_VALUE"""),"リストBE")</f>
        <v>リストBE</v>
      </c>
      <c r="AU25" s="79">
        <f>IFERROR(__xludf.DUMMYFUNCTION("""COMPUTED_VALUE"""),0.0)</f>
        <v>0</v>
      </c>
      <c r="AV25" s="79">
        <f>IFERROR(__xludf.DUMMYFUNCTION("""COMPUTED_VALUE"""),0.0)</f>
        <v>0</v>
      </c>
      <c r="AW25" s="79">
        <f>IFERROR(__xludf.DUMMYFUNCTION("""COMPUTED_VALUE"""),0.0)</f>
        <v>0</v>
      </c>
      <c r="AX25" s="79" t="str">
        <f>IFERROR(__xludf.DUMMYFUNCTION("""COMPUTED_VALUE"""),"リストBE")</f>
        <v>リストBE</v>
      </c>
      <c r="AY25" s="79">
        <f>IFERROR(__xludf.DUMMYFUNCTION("""COMPUTED_VALUE"""),0.0)</f>
        <v>0</v>
      </c>
      <c r="AZ25" s="79">
        <f>IFERROR(__xludf.DUMMYFUNCTION("""COMPUTED_VALUE"""),0.0)</f>
        <v>0</v>
      </c>
      <c r="BA25" s="79">
        <f>IFERROR(__xludf.DUMMYFUNCTION("""COMPUTED_VALUE"""),0.0)</f>
        <v>0</v>
      </c>
      <c r="BB25" s="79" t="str">
        <f>IFERROR(__xludf.DUMMYFUNCTION("""COMPUTED_VALUE"""),"リストBE")</f>
        <v>リストBE</v>
      </c>
      <c r="BC25" s="79">
        <f>IFERROR(__xludf.DUMMYFUNCTION("""COMPUTED_VALUE"""),0.0)</f>
        <v>0</v>
      </c>
      <c r="BD25" s="79">
        <f>IFERROR(__xludf.DUMMYFUNCTION("""COMPUTED_VALUE"""),0.0)</f>
        <v>0</v>
      </c>
      <c r="BE25" s="79">
        <f>IFERROR(__xludf.DUMMYFUNCTION("""COMPUTED_VALUE"""),0.0)</f>
        <v>0</v>
      </c>
      <c r="BF25" s="79" t="str">
        <f>IFERROR(__xludf.DUMMYFUNCTION("""COMPUTED_VALUE"""),"リストBE")</f>
        <v>リストBE</v>
      </c>
      <c r="BG25" s="79"/>
      <c r="BH25" s="79"/>
      <c r="BI25" s="79"/>
      <c r="BJ25" s="79"/>
      <c r="BK25" s="79"/>
      <c r="BL25" s="79"/>
      <c r="BM25" s="79"/>
      <c r="BN25" s="79"/>
      <c r="BO25" s="79"/>
      <c r="BP25" s="79"/>
    </row>
    <row r="26">
      <c r="A26" s="79"/>
      <c r="B26" s="124" t="str">
        <f>IFERROR(__xludf.DUMMYFUNCTION("""COMPUTED_VALUE"""),"リストS")</f>
        <v>リストS</v>
      </c>
      <c r="C26" s="125">
        <f>IFERROR(__xludf.DUMMYFUNCTION("""COMPUTED_VALUE"""),0.10954618436209033)</f>
        <v>0.1095461844</v>
      </c>
      <c r="D26" s="125">
        <f>IFERROR(__xludf.DUMMYFUNCTION("""COMPUTED_VALUE"""),0.0029648634982637136)</f>
        <v>0.002964863498</v>
      </c>
      <c r="E26" s="125">
        <f>IFERROR(__xludf.DUMMYFUNCTION("""COMPUTED_VALUE"""),0.00271770581165966)</f>
        <v>0.002717705812</v>
      </c>
      <c r="F26" s="124" t="str">
        <f>IFERROR(__xludf.DUMMYFUNCTION("""COMPUTED_VALUE"""),"リストS")</f>
        <v>リストS</v>
      </c>
      <c r="G26" s="125">
        <f>IFERROR(__xludf.DUMMYFUNCTION("""COMPUTED_VALUE"""),0.15713293384063254)</f>
        <v>0.1571329338</v>
      </c>
      <c r="H26" s="125">
        <f>IFERROR(__xludf.DUMMYFUNCTION("""COMPUTED_VALUE"""),0.005950538611789379)</f>
        <v>0.005950538612</v>
      </c>
      <c r="I26" s="125">
        <f>IFERROR(__xludf.DUMMYFUNCTION("""COMPUTED_VALUE"""),0.0030130326612875322)</f>
        <v>0.003013032661</v>
      </c>
      <c r="J26" s="124" t="str">
        <f>IFERROR(__xludf.DUMMYFUNCTION("""COMPUTED_VALUE"""),"リストS")</f>
        <v>リストS</v>
      </c>
      <c r="K26" s="125">
        <f>IFERROR(__xludf.DUMMYFUNCTION("""COMPUTED_VALUE"""),0.17125603542341356)</f>
        <v>0.1712560354</v>
      </c>
      <c r="L26" s="125">
        <f>IFERROR(__xludf.DUMMYFUNCTION("""COMPUTED_VALUE"""),0.016243384679678792)</f>
        <v>0.01624338468</v>
      </c>
      <c r="M26" s="125">
        <f>IFERROR(__xludf.DUMMYFUNCTION("""COMPUTED_VALUE"""),0.013834537930222435)</f>
        <v>0.01383453793</v>
      </c>
      <c r="N26" s="124" t="str">
        <f>IFERROR(__xludf.DUMMYFUNCTION("""COMPUTED_VALUE"""),"リストS")</f>
        <v>リストS</v>
      </c>
      <c r="O26" s="125">
        <f>IFERROR(__xludf.DUMMYFUNCTION("""COMPUTED_VALUE"""),0.017469882769695418)</f>
        <v>0.01746988277</v>
      </c>
      <c r="P26" s="125">
        <f>IFERROR(__xludf.DUMMYFUNCTION("""COMPUTED_VALUE"""),1.5820281601012498E-4)</f>
        <v>0.000158202816</v>
      </c>
      <c r="Q26" s="125">
        <f>IFERROR(__xludf.DUMMYFUNCTION("""COMPUTED_VALUE"""),0.0)</f>
        <v>0</v>
      </c>
      <c r="R26" s="124" t="str">
        <f>IFERROR(__xludf.DUMMYFUNCTION("""COMPUTED_VALUE"""),"リストS")</f>
        <v>リストS</v>
      </c>
      <c r="S26" s="125">
        <f>IFERROR(__xludf.DUMMYFUNCTION("""COMPUTED_VALUE"""),0.020439807046914716)</f>
        <v>0.02043980705</v>
      </c>
      <c r="T26" s="125">
        <f>IFERROR(__xludf.DUMMYFUNCTION("""COMPUTED_VALUE"""),3.109438092924647E-4)</f>
        <v>0.0003109438093</v>
      </c>
      <c r="U26" s="125">
        <f>IFERROR(__xludf.DUMMYFUNCTION("""COMPUTED_VALUE"""),2.3430284935509394E-4)</f>
        <v>0.0002343028494</v>
      </c>
      <c r="V26" s="124" t="str">
        <f>IFERROR(__xludf.DUMMYFUNCTION("""COMPUTED_VALUE"""),"リストS")</f>
        <v>リストS</v>
      </c>
      <c r="W26" s="125">
        <f>IFERROR(__xludf.DUMMYFUNCTION("""COMPUTED_VALUE"""),0.03591875340419506)</f>
        <v>0.0359187534</v>
      </c>
      <c r="X26" s="125">
        <f>IFERROR(__xludf.DUMMYFUNCTION("""COMPUTED_VALUE"""),0.0012034974461566745)</f>
        <v>0.001203497446</v>
      </c>
      <c r="Y26" s="125">
        <f>IFERROR(__xludf.DUMMYFUNCTION("""COMPUTED_VALUE"""),0.0010975656492642602)</f>
        <v>0.001097565649</v>
      </c>
      <c r="Z26" s="124" t="str">
        <f>IFERROR(__xludf.DUMMYFUNCTION("""COMPUTED_VALUE"""),"リストS")</f>
        <v>リストS</v>
      </c>
      <c r="AA26" s="125">
        <f>IFERROR(__xludf.DUMMYFUNCTION("""COMPUTED_VALUE"""),0.04400930426049951)</f>
        <v>0.04400930426</v>
      </c>
      <c r="AB26" s="125">
        <f>IFERROR(__xludf.DUMMYFUNCTION("""COMPUTED_VALUE"""),0.0013014613494240575)</f>
        <v>0.001301461349</v>
      </c>
      <c r="AC26" s="125">
        <f>IFERROR(__xludf.DUMMYFUNCTION("""COMPUTED_VALUE"""),9.808529116195899E-4)</f>
        <v>0.0009808529116</v>
      </c>
      <c r="AD26" s="124" t="str">
        <f>IFERROR(__xludf.DUMMYFUNCTION("""COMPUTED_VALUE"""),"リストS")</f>
        <v>リストS</v>
      </c>
      <c r="AE26" s="125">
        <f>IFERROR(__xludf.DUMMYFUNCTION("""COMPUTED_VALUE"""),0.054582873779094564)</f>
        <v>0.05458287378</v>
      </c>
      <c r="AF26" s="125">
        <f>IFERROR(__xludf.DUMMYFUNCTION("""COMPUTED_VALUE"""),0.0023907947955060984)</f>
        <v>0.002390794796</v>
      </c>
      <c r="AG26" s="125">
        <f>IFERROR(__xludf.DUMMYFUNCTION("""COMPUTED_VALUE"""),0.0018699675893336688)</f>
        <v>0.001869967589</v>
      </c>
      <c r="AH26" s="96" t="str">
        <f>IFERROR(__xludf.DUMMYFUNCTION("""COMPUTED_VALUE"""),"リストS")</f>
        <v>リストS</v>
      </c>
      <c r="AI26" s="126">
        <f>IFERROR(__xludf.DUMMYFUNCTION("""COMPUTED_VALUE"""),0.05214934659837162)</f>
        <v>0.0521493466</v>
      </c>
      <c r="AJ26" s="126">
        <f>IFERROR(__xludf.DUMMYFUNCTION("""COMPUTED_VALUE"""),0.0030334074825015232)</f>
        <v>0.003033407483</v>
      </c>
      <c r="AK26" s="127">
        <f>IFERROR(__xludf.DUMMYFUNCTION("""COMPUTED_VALUE"""),0.0026666180638937427)</f>
        <v>0.002666618064</v>
      </c>
      <c r="AL26" s="98" t="str">
        <f>IFERROR(__xludf.DUMMYFUNCTION("""COMPUTED_VALUE"""),"リストS")</f>
        <v>リストS</v>
      </c>
      <c r="AM26" s="128">
        <f>IFERROR(__xludf.DUMMYFUNCTION("""COMPUTED_VALUE"""),0.09827965608554957)</f>
        <v>0.09827965609</v>
      </c>
      <c r="AN26" s="128">
        <f>IFERROR(__xludf.DUMMYFUNCTION("""COMPUTED_VALUE"""),0.0062810955759963075)</f>
        <v>0.006281095576</v>
      </c>
      <c r="AO26" s="128">
        <f>IFERROR(__xludf.DUMMYFUNCTION("""COMPUTED_VALUE"""),0.0029208151060302087)</f>
        <v>0.002920815106</v>
      </c>
      <c r="AP26" s="79" t="str">
        <f>IFERROR(__xludf.DUMMYFUNCTION("""COMPUTED_VALUE"""),"リストS")</f>
        <v>リストS</v>
      </c>
      <c r="AQ26" s="129">
        <f>IFERROR(__xludf.DUMMYFUNCTION("""COMPUTED_VALUE"""),0.1271596586477591)</f>
        <v>0.1271596586</v>
      </c>
      <c r="AR26" s="130">
        <f>IFERROR(__xludf.DUMMYFUNCTION("""COMPUTED_VALUE"""),0.018393904644614423)</f>
        <v>0.01839390464</v>
      </c>
      <c r="AS26" s="130">
        <f>IFERROR(__xludf.DUMMYFUNCTION("""COMPUTED_VALUE"""),0.004336147017767616)</f>
        <v>0.004336147018</v>
      </c>
      <c r="AT26" s="79" t="str">
        <f>IFERROR(__xludf.DUMMYFUNCTION("""COMPUTED_VALUE"""),"リストS")</f>
        <v>リストS</v>
      </c>
      <c r="AU26" s="130">
        <f>IFERROR(__xludf.DUMMYFUNCTION("""COMPUTED_VALUE"""),0.10321372053061353)</f>
        <v>0.1032137205</v>
      </c>
      <c r="AV26" s="130">
        <f>IFERROR(__xludf.DUMMYFUNCTION("""COMPUTED_VALUE"""),0.004057176164103486)</f>
        <v>0.004057176164</v>
      </c>
      <c r="AW26" s="130">
        <f>IFERROR(__xludf.DUMMYFUNCTION("""COMPUTED_VALUE"""),0.0019767930225497877)</f>
        <v>0.001976793023</v>
      </c>
      <c r="AX26" s="79" t="str">
        <f>IFERROR(__xludf.DUMMYFUNCTION("""COMPUTED_VALUE"""),"リストS")</f>
        <v>リストS</v>
      </c>
      <c r="AY26" s="130">
        <f>IFERROR(__xludf.DUMMYFUNCTION("""COMPUTED_VALUE"""),0.09824587854009907)</f>
        <v>0.09824587854</v>
      </c>
      <c r="AZ26" s="130">
        <f>IFERROR(__xludf.DUMMYFUNCTION("""COMPUTED_VALUE"""),0.004490545760040356)</f>
        <v>0.00449054576</v>
      </c>
      <c r="BA26" s="130">
        <f>IFERROR(__xludf.DUMMYFUNCTION("""COMPUTED_VALUE"""),0.0028980908708195587)</f>
        <v>0.002898090871</v>
      </c>
      <c r="BB26" s="79" t="str">
        <f>IFERROR(__xludf.DUMMYFUNCTION("""COMPUTED_VALUE"""),"リストS")</f>
        <v>リストS</v>
      </c>
      <c r="BC26" s="130">
        <f>IFERROR(__xludf.DUMMYFUNCTION("""COMPUTED_VALUE"""),0.17012049267739537)</f>
        <v>0.1701204927</v>
      </c>
      <c r="BD26" s="130">
        <f>IFERROR(__xludf.DUMMYFUNCTION("""COMPUTED_VALUE"""),0.013555719143759987)</f>
        <v>0.01355571914</v>
      </c>
      <c r="BE26" s="130">
        <f>IFERROR(__xludf.DUMMYFUNCTION("""COMPUTED_VALUE"""),0.006550907097509251)</f>
        <v>0.006550907098</v>
      </c>
      <c r="BF26" s="79" t="str">
        <f>IFERROR(__xludf.DUMMYFUNCTION("""COMPUTED_VALUE"""),"リストS")</f>
        <v>リストS</v>
      </c>
      <c r="BG26" s="79"/>
      <c r="BH26" s="79"/>
      <c r="BI26" s="79"/>
      <c r="BJ26" s="79"/>
      <c r="BK26" s="79"/>
      <c r="BL26" s="79"/>
      <c r="BM26" s="79"/>
      <c r="BN26" s="79"/>
      <c r="BO26" s="79"/>
      <c r="BP26" s="79"/>
    </row>
    <row r="27">
      <c r="A27" s="79"/>
      <c r="B27" s="99" t="str">
        <f>IFERROR(__xludf.DUMMYFUNCTION("""COMPUTED_VALUE"""),"リストE")</f>
        <v>リストE</v>
      </c>
      <c r="C27" s="120">
        <f>IFERROR(__xludf.DUMMYFUNCTION("""COMPUTED_VALUE"""),0.11323100485789075)</f>
        <v>0.1132310049</v>
      </c>
      <c r="D27" s="120">
        <f>IFERROR(__xludf.DUMMYFUNCTION("""COMPUTED_VALUE"""),0.0039557364875050065)</f>
        <v>0.003955736488</v>
      </c>
      <c r="E27" s="120">
        <f>IFERROR(__xludf.DUMMYFUNCTION("""COMPUTED_VALUE"""),0.0026844876450016018)</f>
        <v>0.002684487645</v>
      </c>
      <c r="F27" s="99" t="str">
        <f>IFERROR(__xludf.DUMMYFUNCTION("""COMPUTED_VALUE"""),"リストE")</f>
        <v>リストE</v>
      </c>
      <c r="G27" s="120">
        <f>IFERROR(__xludf.DUMMYFUNCTION("""COMPUTED_VALUE"""),0.17608005149451064)</f>
        <v>0.1760800515</v>
      </c>
      <c r="H27" s="120">
        <f>IFERROR(__xludf.DUMMYFUNCTION("""COMPUTED_VALUE"""),0.007349774821220684)</f>
        <v>0.007349774821</v>
      </c>
      <c r="I27" s="120">
        <f>IFERROR(__xludf.DUMMYFUNCTION("""COMPUTED_VALUE"""),0.005874972980236138)</f>
        <v>0.00587497298</v>
      </c>
      <c r="J27" s="99" t="str">
        <f>IFERROR(__xludf.DUMMYFUNCTION("""COMPUTED_VALUE"""),"リストE")</f>
        <v>リストE</v>
      </c>
      <c r="K27" s="120">
        <f>IFERROR(__xludf.DUMMYFUNCTION("""COMPUTED_VALUE"""),0.16557871536851462)</f>
        <v>0.1655787154</v>
      </c>
      <c r="L27" s="120">
        <f>IFERROR(__xludf.DUMMYFUNCTION("""COMPUTED_VALUE"""),0.019714134383924362)</f>
        <v>0.01971413438</v>
      </c>
      <c r="M27" s="120">
        <f>IFERROR(__xludf.DUMMYFUNCTION("""COMPUTED_VALUE"""),0.018798049082393818)</f>
        <v>0.01879804908</v>
      </c>
      <c r="N27" s="99" t="str">
        <f>IFERROR(__xludf.DUMMYFUNCTION("""COMPUTED_VALUE"""),"リストE")</f>
        <v>リストE</v>
      </c>
      <c r="O27" s="120">
        <f>IFERROR(__xludf.DUMMYFUNCTION("""COMPUTED_VALUE"""),0.03673134015428544)</f>
        <v>0.03673134015</v>
      </c>
      <c r="P27" s="120">
        <f>IFERROR(__xludf.DUMMYFUNCTION("""COMPUTED_VALUE"""),9.839176826610297E-4)</f>
        <v>0.0009839176827</v>
      </c>
      <c r="Q27" s="120">
        <f>IFERROR(__xludf.DUMMYFUNCTION("""COMPUTED_VALUE"""),5.578326178212991E-4)</f>
        <v>0.0005578326178</v>
      </c>
      <c r="R27" s="99" t="str">
        <f>IFERROR(__xludf.DUMMYFUNCTION("""COMPUTED_VALUE"""),"リストE")</f>
        <v>リストE</v>
      </c>
      <c r="S27" s="120">
        <f>IFERROR(__xludf.DUMMYFUNCTION("""COMPUTED_VALUE"""),0.028958613972824458)</f>
        <v>0.02895861397</v>
      </c>
      <c r="T27" s="120">
        <f>IFERROR(__xludf.DUMMYFUNCTION("""COMPUTED_VALUE"""),6.231502129254387E-4)</f>
        <v>0.0006231502129</v>
      </c>
      <c r="U27" s="120">
        <f>IFERROR(__xludf.DUMMYFUNCTION("""COMPUTED_VALUE"""),0.0012073140373843323)</f>
        <v>0.001207314037</v>
      </c>
      <c r="V27" s="99" t="str">
        <f>IFERROR(__xludf.DUMMYFUNCTION("""COMPUTED_VALUE"""),"リストE")</f>
        <v>リストE</v>
      </c>
      <c r="W27" s="120">
        <f>IFERROR(__xludf.DUMMYFUNCTION("""COMPUTED_VALUE"""),0.042575474881817864)</f>
        <v>0.04257547488</v>
      </c>
      <c r="X27" s="120">
        <f>IFERROR(__xludf.DUMMYFUNCTION("""COMPUTED_VALUE"""),0.0011809219799109338)</f>
        <v>0.00118092198</v>
      </c>
      <c r="Y27" s="120">
        <f>IFERROR(__xludf.DUMMYFUNCTION("""COMPUTED_VALUE"""),9.891600391915788E-4)</f>
        <v>0.0009891600392</v>
      </c>
      <c r="Z27" s="99" t="str">
        <f>IFERROR(__xludf.DUMMYFUNCTION("""COMPUTED_VALUE"""),"リストE")</f>
        <v>リストE</v>
      </c>
      <c r="AA27" s="120">
        <f>IFERROR(__xludf.DUMMYFUNCTION("""COMPUTED_VALUE"""),0.05301607294716358)</f>
        <v>0.05301607295</v>
      </c>
      <c r="AB27" s="120">
        <f>IFERROR(__xludf.DUMMYFUNCTION("""COMPUTED_VALUE"""),0.0016654042238497411)</f>
        <v>0.001665404224</v>
      </c>
      <c r="AC27" s="120">
        <f>IFERROR(__xludf.DUMMYFUNCTION("""COMPUTED_VALUE"""),0.0017711495288040037)</f>
        <v>0.001771149529</v>
      </c>
      <c r="AD27" s="99" t="str">
        <f>IFERROR(__xludf.DUMMYFUNCTION("""COMPUTED_VALUE"""),"リストE")</f>
        <v>リストE</v>
      </c>
      <c r="AE27" s="120">
        <f>IFERROR(__xludf.DUMMYFUNCTION("""COMPUTED_VALUE"""),0.038578624451474385)</f>
        <v>0.03857862445</v>
      </c>
      <c r="AF27" s="120">
        <f>IFERROR(__xludf.DUMMYFUNCTION("""COMPUTED_VALUE"""),0.008143914523777605)</f>
        <v>0.008143914524</v>
      </c>
      <c r="AG27" s="120">
        <f>IFERROR(__xludf.DUMMYFUNCTION("""COMPUTED_VALUE"""),0.0029243222301858704)</f>
        <v>0.00292432223</v>
      </c>
      <c r="AH27" s="102" t="str">
        <f>IFERROR(__xludf.DUMMYFUNCTION("""COMPUTED_VALUE"""),"リストE")</f>
        <v>リストE</v>
      </c>
      <c r="AI27" s="121">
        <f>IFERROR(__xludf.DUMMYFUNCTION("""COMPUTED_VALUE"""),0.06255533266081993)</f>
        <v>0.06255533266</v>
      </c>
      <c r="AJ27" s="121">
        <f>IFERROR(__xludf.DUMMYFUNCTION("""COMPUTED_VALUE"""),0.0032473375825234413)</f>
        <v>0.003247337583</v>
      </c>
      <c r="AK27" s="122">
        <f>IFERROR(__xludf.DUMMYFUNCTION("""COMPUTED_VALUE"""),0.0018350860059143147)</f>
        <v>0.001835086006</v>
      </c>
      <c r="AL27" s="105" t="str">
        <f>IFERROR(__xludf.DUMMYFUNCTION("""COMPUTED_VALUE"""),"リストE")</f>
        <v>リストE</v>
      </c>
      <c r="AM27" s="123">
        <f>IFERROR(__xludf.DUMMYFUNCTION("""COMPUTED_VALUE"""),0.1070718987802141)</f>
        <v>0.1070718988</v>
      </c>
      <c r="AN27" s="123">
        <f>IFERROR(__xludf.DUMMYFUNCTION("""COMPUTED_VALUE"""),0.0031688099012666194)</f>
        <v>0.003168809901</v>
      </c>
      <c r="AO27" s="123">
        <f>IFERROR(__xludf.DUMMYFUNCTION("""COMPUTED_VALUE"""),0.001097079289007351)</f>
        <v>0.001097079289</v>
      </c>
      <c r="AP27" s="79" t="str">
        <f>IFERROR(__xludf.DUMMYFUNCTION("""COMPUTED_VALUE"""),"リストE")</f>
        <v>リストE</v>
      </c>
      <c r="AQ27" s="129">
        <f>IFERROR(__xludf.DUMMYFUNCTION("""COMPUTED_VALUE"""),0.1510356825404112)</f>
        <v>0.1510356825</v>
      </c>
      <c r="AR27" s="130">
        <f>IFERROR(__xludf.DUMMYFUNCTION("""COMPUTED_VALUE"""),0.01853972136442799)</f>
        <v>0.01853972136</v>
      </c>
      <c r="AS27" s="130">
        <f>IFERROR(__xludf.DUMMYFUNCTION("""COMPUTED_VALUE"""),0.02565016952617204)</f>
        <v>0.02565016953</v>
      </c>
      <c r="AT27" s="79" t="str">
        <f>IFERROR(__xludf.DUMMYFUNCTION("""COMPUTED_VALUE"""),"リストE")</f>
        <v>リストE</v>
      </c>
      <c r="AU27" s="130">
        <f>IFERROR(__xludf.DUMMYFUNCTION("""COMPUTED_VALUE"""),0.11749327603704401)</f>
        <v>0.117493276</v>
      </c>
      <c r="AV27" s="130">
        <f>IFERROR(__xludf.DUMMYFUNCTION("""COMPUTED_VALUE"""),0.007234899077839902)</f>
        <v>0.007234899078</v>
      </c>
      <c r="AW27" s="130">
        <f>IFERROR(__xludf.DUMMYFUNCTION("""COMPUTED_VALUE"""),0.00626261700706062)</f>
        <v>0.006262617007</v>
      </c>
      <c r="AX27" s="79" t="str">
        <f>IFERROR(__xludf.DUMMYFUNCTION("""COMPUTED_VALUE"""),"リストE")</f>
        <v>リストE</v>
      </c>
      <c r="AY27" s="130">
        <f>IFERROR(__xludf.DUMMYFUNCTION("""COMPUTED_VALUE"""),0.14896658592739753)</f>
        <v>0.1489665859</v>
      </c>
      <c r="AZ27" s="130">
        <f>IFERROR(__xludf.DUMMYFUNCTION("""COMPUTED_VALUE"""),0.010108805399976408)</f>
        <v>0.0101088054</v>
      </c>
      <c r="BA27" s="130">
        <f>IFERROR(__xludf.DUMMYFUNCTION("""COMPUTED_VALUE"""),0.006123646076500831)</f>
        <v>0.006123646077</v>
      </c>
      <c r="BB27" s="79" t="str">
        <f>IFERROR(__xludf.DUMMYFUNCTION("""COMPUTED_VALUE"""),"リストE")</f>
        <v>リストE</v>
      </c>
      <c r="BC27" s="130">
        <f>IFERROR(__xludf.DUMMYFUNCTION("""COMPUTED_VALUE"""),0.10733750734426688)</f>
        <v>0.1073375073</v>
      </c>
      <c r="BD27" s="130">
        <f>IFERROR(__xludf.DUMMYFUNCTION("""COMPUTED_VALUE"""),0.007672104789445741)</f>
        <v>0.007672104789</v>
      </c>
      <c r="BE27" s="130">
        <f>IFERROR(__xludf.DUMMYFUNCTION("""COMPUTED_VALUE"""),0.004758231830448928)</f>
        <v>0.00475823183</v>
      </c>
      <c r="BF27" s="79" t="str">
        <f>IFERROR(__xludf.DUMMYFUNCTION("""COMPUTED_VALUE"""),"リストE")</f>
        <v>リストE</v>
      </c>
      <c r="BG27" s="79"/>
      <c r="BH27" s="79"/>
      <c r="BI27" s="79"/>
      <c r="BJ27" s="79"/>
      <c r="BK27" s="79"/>
      <c r="BL27" s="79"/>
      <c r="BM27" s="79"/>
      <c r="BN27" s="79"/>
      <c r="BO27" s="79"/>
      <c r="BP27" s="79"/>
    </row>
    <row r="28">
      <c r="A28" s="79"/>
      <c r="B28" s="131" t="str">
        <f>IFERROR(__xludf.DUMMYFUNCTION("""COMPUTED_VALUE"""),"TOTAL")</f>
        <v>TOTAL</v>
      </c>
      <c r="C28" s="132">
        <f>IFERROR(__xludf.DUMMYFUNCTION("""COMPUTED_VALUE"""),0.11739448306705236)</f>
        <v>0.1173944831</v>
      </c>
      <c r="D28" s="132">
        <f>IFERROR(__xludf.DUMMYFUNCTION("""COMPUTED_VALUE"""),0.032694048664495955)</f>
        <v>0.03269404866</v>
      </c>
      <c r="E28" s="132">
        <f>IFERROR(__xludf.DUMMYFUNCTION("""COMPUTED_VALUE"""),0.017937498892209813)</f>
        <v>0.01793749889</v>
      </c>
      <c r="F28" s="131" t="str">
        <f>IFERROR(__xludf.DUMMYFUNCTION("""COMPUTED_VALUE"""),"TOTAL")</f>
        <v>TOTAL</v>
      </c>
      <c r="G28" s="132">
        <f>IFERROR(__xludf.DUMMYFUNCTION("""COMPUTED_VALUE"""),0.12808963285713498)</f>
        <v>0.1280896329</v>
      </c>
      <c r="H28" s="132">
        <f>IFERROR(__xludf.DUMMYFUNCTION("""COMPUTED_VALUE"""),0.0037545073396357993)</f>
        <v>0.00375450734</v>
      </c>
      <c r="I28" s="132">
        <f>IFERROR(__xludf.DUMMYFUNCTION("""COMPUTED_VALUE"""),0.0025984524231308925)</f>
        <v>0.002598452423</v>
      </c>
      <c r="J28" s="131" t="str">
        <f>IFERROR(__xludf.DUMMYFUNCTION("""COMPUTED_VALUE"""),"TOTAL")</f>
        <v>TOTAL</v>
      </c>
      <c r="K28" s="132">
        <f>IFERROR(__xludf.DUMMYFUNCTION("""COMPUTED_VALUE"""),0.11975975310718032)</f>
        <v>0.1197597531</v>
      </c>
      <c r="L28" s="133">
        <f>IFERROR(__xludf.DUMMYFUNCTION("""COMPUTED_VALUE"""),0.011285558954958488)</f>
        <v>0.01128555895</v>
      </c>
      <c r="M28" s="133">
        <f>IFERROR(__xludf.DUMMYFUNCTION("""COMPUTED_VALUE"""),0.010380010127976992)</f>
        <v>0.01038001013</v>
      </c>
      <c r="N28" s="134" t="str">
        <f>IFERROR(__xludf.DUMMYFUNCTION("""COMPUTED_VALUE"""),"TOTAL")</f>
        <v>TOTAL</v>
      </c>
      <c r="O28" s="133">
        <f>IFERROR(__xludf.DUMMYFUNCTION("""COMPUTED_VALUE"""),0.013550305730995214)</f>
        <v>0.01355030573</v>
      </c>
      <c r="P28" s="133">
        <f>IFERROR(__xludf.DUMMYFUNCTION("""COMPUTED_VALUE"""),2.8553012466778866E-4)</f>
        <v>0.0002855301247</v>
      </c>
      <c r="Q28" s="133">
        <f>IFERROR(__xludf.DUMMYFUNCTION("""COMPUTED_VALUE"""),1.3945815445532477E-4)</f>
        <v>0.0001394581545</v>
      </c>
      <c r="R28" s="134" t="str">
        <f>IFERROR(__xludf.DUMMYFUNCTION("""COMPUTED_VALUE"""),"TOTAL")</f>
        <v>TOTAL</v>
      </c>
      <c r="S28" s="133">
        <f>IFERROR(__xludf.DUMMYFUNCTION("""COMPUTED_VALUE"""),0.030008232951720504)</f>
        <v>0.03000823295</v>
      </c>
      <c r="T28" s="133">
        <f>IFERROR(__xludf.DUMMYFUNCTION("""COMPUTED_VALUE"""),4.295126597829535E-4)</f>
        <v>0.0004295126598</v>
      </c>
      <c r="U28" s="133">
        <f>IFERROR(__xludf.DUMMYFUNCTION("""COMPUTED_VALUE"""),5.302442518260658E-4)</f>
        <v>0.0005302442518</v>
      </c>
      <c r="V28" s="134" t="str">
        <f>IFERROR(__xludf.DUMMYFUNCTION("""COMPUTED_VALUE"""),"TOTAL")</f>
        <v>TOTAL</v>
      </c>
      <c r="W28" s="133">
        <f>IFERROR(__xludf.DUMMYFUNCTION("""COMPUTED_VALUE"""),0.03924711414300646)</f>
        <v>0.03924711414</v>
      </c>
      <c r="X28" s="133">
        <f>IFERROR(__xludf.DUMMYFUNCTION("""COMPUTED_VALUE"""),0.0011922097130338042)</f>
        <v>0.001192209713</v>
      </c>
      <c r="Y28" s="133">
        <f>IFERROR(__xludf.DUMMYFUNCTION("""COMPUTED_VALUE"""),0.0010433628442279195)</f>
        <v>0.001043362844</v>
      </c>
      <c r="Z28" s="134" t="str">
        <f>IFERROR(__xludf.DUMMYFUNCTION("""COMPUTED_VALUE"""),"TOTAL")</f>
        <v>TOTAL</v>
      </c>
      <c r="AA28" s="133">
        <f>IFERROR(__xludf.DUMMYFUNCTION("""COMPUTED_VALUE"""),0.03308362232204143)</f>
        <v>0.03308362232</v>
      </c>
      <c r="AB28" s="133">
        <f>IFERROR(__xludf.DUMMYFUNCTION("""COMPUTED_VALUE"""),9.127264960888009E-4)</f>
        <v>0.0009127264961</v>
      </c>
      <c r="AC28" s="133">
        <f>IFERROR(__xludf.DUMMYFUNCTION("""COMPUTED_VALUE"""),8.206923113878658E-4)</f>
        <v>0.0008206923114</v>
      </c>
      <c r="AD28" s="134" t="str">
        <f>IFERROR(__xludf.DUMMYFUNCTION("""COMPUTED_VALUE"""),"TOTAL")</f>
        <v>TOTAL</v>
      </c>
      <c r="AE28" s="133">
        <f>IFERROR(__xludf.DUMMYFUNCTION("""COMPUTED_VALUE"""),0.05801036405431093)</f>
        <v>0.05801036405</v>
      </c>
      <c r="AF28" s="133">
        <f>IFERROR(__xludf.DUMMYFUNCTION("""COMPUTED_VALUE"""),0.007970733411401445)</f>
        <v>0.007970733411</v>
      </c>
      <c r="AG28" s="133">
        <f>IFERROR(__xludf.DUMMYFUNCTION("""COMPUTED_VALUE"""),0.006804201500551397)</f>
        <v>0.006804201501</v>
      </c>
      <c r="AH28" s="96" t="str">
        <f>IFERROR(__xludf.DUMMYFUNCTION("""COMPUTED_VALUE"""),"TOTAL")</f>
        <v>TOTAL</v>
      </c>
      <c r="AI28" s="126">
        <f>IFERROR(__xludf.DUMMYFUNCTION("""COMPUTED_VALUE"""),0.05735233962959578)</f>
        <v>0.05735233963</v>
      </c>
      <c r="AJ28" s="126">
        <f>IFERROR(__xludf.DUMMYFUNCTION("""COMPUTED_VALUE"""),0.0031403725325124822)</f>
        <v>0.003140372533</v>
      </c>
      <c r="AK28" s="127">
        <f>IFERROR(__xludf.DUMMYFUNCTION("""COMPUTED_VALUE"""),0.0022508520349040287)</f>
        <v>0.002250852035</v>
      </c>
      <c r="AL28" s="98" t="str">
        <f>IFERROR(__xludf.DUMMYFUNCTION("""COMPUTED_VALUE"""),"TOTAL")</f>
        <v>TOTAL</v>
      </c>
      <c r="AM28" s="128">
        <f>IFERROR(__xludf.DUMMYFUNCTION("""COMPUTED_VALUE"""),0.10496784670785471)</f>
        <v>0.1049678467</v>
      </c>
      <c r="AN28" s="128">
        <f>IFERROR(__xludf.DUMMYFUNCTION("""COMPUTED_VALUE"""),0.005402037217098563)</f>
        <v>0.005402037217</v>
      </c>
      <c r="AO28" s="128">
        <f>IFERROR(__xludf.DUMMYFUNCTION("""COMPUTED_VALUE"""),0.002371802107664558)</f>
        <v>0.002371802108</v>
      </c>
      <c r="AP28" s="79" t="str">
        <f>IFERROR(__xludf.DUMMYFUNCTION("""COMPUTED_VALUE"""),"TOTAL")</f>
        <v>TOTAL</v>
      </c>
      <c r="AQ28" s="130">
        <f>IFERROR(__xludf.DUMMYFUNCTION("""COMPUTED_VALUE"""),0.13909767059408515)</f>
        <v>0.1390976706</v>
      </c>
      <c r="AR28" s="130">
        <f>IFERROR(__xludf.DUMMYFUNCTION("""COMPUTED_VALUE"""),0.01846681300452121)</f>
        <v>0.018466813</v>
      </c>
      <c r="AS28" s="130">
        <f>IFERROR(__xludf.DUMMYFUNCTION("""COMPUTED_VALUE"""),0.014993158271969828)</f>
        <v>0.01499315827</v>
      </c>
      <c r="AT28" s="79" t="str">
        <f>IFERROR(__xludf.DUMMYFUNCTION("""COMPUTED_VALUE"""),"TOTAL")</f>
        <v>TOTAL</v>
      </c>
      <c r="AU28" s="130">
        <f>IFERROR(__xludf.DUMMYFUNCTION("""COMPUTED_VALUE"""),0.11035349828382877)</f>
        <v>0.1103534983</v>
      </c>
      <c r="AV28" s="130">
        <f>IFERROR(__xludf.DUMMYFUNCTION("""COMPUTED_VALUE"""),0.005646037620971694)</f>
        <v>0.005646037621</v>
      </c>
      <c r="AW28" s="130">
        <f>IFERROR(__xludf.DUMMYFUNCTION("""COMPUTED_VALUE"""),0.0041197050148052035)</f>
        <v>0.004119705015</v>
      </c>
      <c r="AX28" s="79" t="str">
        <f>IFERROR(__xludf.DUMMYFUNCTION("""COMPUTED_VALUE"""),"TOTAL")</f>
        <v>TOTAL</v>
      </c>
      <c r="AY28" s="130">
        <f>IFERROR(__xludf.DUMMYFUNCTION("""COMPUTED_VALUE"""),0.12360623223374831)</f>
        <v>0.1236062322</v>
      </c>
      <c r="AZ28" s="130">
        <f>IFERROR(__xludf.DUMMYFUNCTION("""COMPUTED_VALUE"""),0.007299675580008382)</f>
        <v>0.00729967558</v>
      </c>
      <c r="BA28" s="130">
        <f>IFERROR(__xludf.DUMMYFUNCTION("""COMPUTED_VALUE"""),0.004510868473660195)</f>
        <v>0.004510868474</v>
      </c>
      <c r="BB28" s="79" t="str">
        <f>IFERROR(__xludf.DUMMYFUNCTION("""COMPUTED_VALUE"""),"TOTAL")</f>
        <v>TOTAL</v>
      </c>
      <c r="BC28" s="130">
        <f>IFERROR(__xludf.DUMMYFUNCTION("""COMPUTED_VALUE"""),0.13872900001083113)</f>
        <v>0.138729</v>
      </c>
      <c r="BD28" s="130">
        <f>IFERROR(__xludf.DUMMYFUNCTION("""COMPUTED_VALUE"""),0.010613911966602864)</f>
        <v>0.01061391197</v>
      </c>
      <c r="BE28" s="130">
        <f>IFERROR(__xludf.DUMMYFUNCTION("""COMPUTED_VALUE"""),0.0056545694639790894)</f>
        <v>0.005654569464</v>
      </c>
      <c r="BF28" s="79" t="str">
        <f>IFERROR(__xludf.DUMMYFUNCTION("""COMPUTED_VALUE"""),"TOTAL")</f>
        <v>TOTAL</v>
      </c>
      <c r="BG28" s="79"/>
      <c r="BH28" s="79"/>
      <c r="BI28" s="79"/>
      <c r="BJ28" s="79"/>
      <c r="BK28" s="79"/>
      <c r="BL28" s="79"/>
      <c r="BM28" s="79"/>
      <c r="BN28" s="79"/>
      <c r="BO28" s="79"/>
      <c r="BP28" s="79"/>
    </row>
    <row r="29">
      <c r="B29" s="135"/>
      <c r="C29" s="135"/>
      <c r="D29" s="135"/>
      <c r="E29" s="135"/>
      <c r="F29" s="135"/>
      <c r="G29" s="135"/>
      <c r="H29" s="135"/>
      <c r="I29" s="135"/>
      <c r="J29" s="135"/>
      <c r="K29" s="135"/>
      <c r="L29" s="136"/>
      <c r="M29" s="136"/>
      <c r="N29" s="136"/>
      <c r="O29" s="136"/>
      <c r="P29" s="136"/>
      <c r="Q29" s="136"/>
      <c r="R29" s="136"/>
      <c r="S29" s="136"/>
      <c r="T29" s="136"/>
      <c r="U29" s="136"/>
      <c r="V29" s="136"/>
      <c r="W29" s="136"/>
      <c r="X29" s="136"/>
      <c r="Y29" s="136"/>
      <c r="Z29" s="136"/>
      <c r="AA29" s="136"/>
      <c r="AB29" s="136"/>
      <c r="AC29" s="136"/>
      <c r="AD29" s="136"/>
      <c r="AE29" s="136"/>
      <c r="AF29" s="136"/>
      <c r="AG29" s="136"/>
    </row>
    <row r="30">
      <c r="B30" s="137"/>
      <c r="C30" s="137"/>
      <c r="D30" s="137"/>
      <c r="E30" s="137"/>
      <c r="F30" s="137"/>
      <c r="G30" s="137"/>
      <c r="H30" s="137"/>
      <c r="I30" s="137"/>
      <c r="J30" s="137"/>
      <c r="K30" s="137"/>
    </row>
    <row r="31">
      <c r="B31" s="137"/>
      <c r="C31" s="137"/>
      <c r="D31" s="137"/>
      <c r="E31" s="137"/>
      <c r="F31" s="137"/>
      <c r="G31" s="137"/>
      <c r="H31" s="137"/>
      <c r="I31" s="137"/>
      <c r="J31" s="137"/>
      <c r="K31" s="137"/>
    </row>
    <row r="32">
      <c r="B32" s="138" t="str">
        <f>IFERROR(__xludf.DUMMYFUNCTION("IMPORTRANGE(""1vYc4iTJ16E7R6SUnGhwdB4aOJULuweZOJUwnvK3B2Ug"", ""顧客リスト!AR33:BE47"")
"),"#REF!")</f>
        <v>#REF!</v>
      </c>
      <c r="C32" s="138"/>
      <c r="D32" s="138"/>
      <c r="E32" s="138"/>
      <c r="F32" s="138"/>
      <c r="G32" s="138"/>
      <c r="H32" s="138"/>
      <c r="I32" s="138"/>
      <c r="J32" s="138"/>
      <c r="K32" s="138"/>
      <c r="L32" s="139"/>
      <c r="M32" s="139"/>
      <c r="N32" s="139"/>
      <c r="O32" s="139"/>
    </row>
    <row r="33">
      <c r="B33" s="140"/>
      <c r="C33" s="140"/>
      <c r="D33" s="140"/>
      <c r="E33" s="140"/>
      <c r="F33" s="140"/>
      <c r="G33" s="140"/>
      <c r="H33" s="140"/>
      <c r="I33" s="140"/>
      <c r="J33" s="140"/>
      <c r="K33" s="140"/>
      <c r="L33" s="141"/>
      <c r="M33" s="141"/>
      <c r="N33" s="141"/>
      <c r="O33" s="141"/>
    </row>
    <row r="34">
      <c r="B34" s="140"/>
      <c r="C34" s="140"/>
      <c r="D34" s="140"/>
      <c r="E34" s="140"/>
      <c r="F34" s="140"/>
      <c r="G34" s="140"/>
      <c r="H34" s="140"/>
      <c r="I34" s="140"/>
      <c r="J34" s="140"/>
      <c r="K34" s="140"/>
      <c r="L34" s="141"/>
      <c r="M34" s="141"/>
      <c r="N34" s="141"/>
      <c r="O34" s="141"/>
    </row>
    <row r="35">
      <c r="B35" s="140"/>
      <c r="C35" s="140"/>
      <c r="D35" s="140"/>
      <c r="E35" s="140"/>
      <c r="F35" s="140"/>
      <c r="G35" s="140"/>
      <c r="H35" s="140"/>
      <c r="I35" s="140"/>
      <c r="J35" s="140"/>
      <c r="K35" s="140"/>
      <c r="L35" s="141"/>
      <c r="M35" s="141"/>
      <c r="N35" s="141"/>
      <c r="O35" s="141"/>
    </row>
    <row r="36">
      <c r="B36" s="140"/>
      <c r="C36" s="140"/>
      <c r="D36" s="140"/>
      <c r="E36" s="140"/>
      <c r="F36" s="140"/>
      <c r="G36" s="140"/>
      <c r="H36" s="140"/>
      <c r="I36" s="140"/>
      <c r="J36" s="140"/>
      <c r="K36" s="140"/>
      <c r="L36" s="141"/>
      <c r="M36" s="141"/>
      <c r="N36" s="141"/>
      <c r="O36" s="141"/>
    </row>
    <row r="37">
      <c r="B37" s="140"/>
      <c r="C37" s="140"/>
      <c r="D37" s="140"/>
      <c r="E37" s="140"/>
      <c r="F37" s="140"/>
      <c r="G37" s="140"/>
      <c r="H37" s="140"/>
      <c r="I37" s="140"/>
      <c r="J37" s="140"/>
      <c r="K37" s="140"/>
      <c r="L37" s="141"/>
      <c r="M37" s="141"/>
      <c r="N37" s="141"/>
      <c r="O37" s="141"/>
    </row>
    <row r="38">
      <c r="B38" s="140"/>
      <c r="C38" s="140"/>
      <c r="D38" s="140"/>
      <c r="E38" s="140"/>
      <c r="F38" s="140"/>
      <c r="G38" s="140"/>
      <c r="H38" s="140"/>
      <c r="I38" s="140"/>
      <c r="J38" s="140"/>
      <c r="K38" s="140"/>
      <c r="L38" s="141"/>
      <c r="M38" s="141"/>
      <c r="N38" s="141"/>
      <c r="O38" s="141"/>
    </row>
    <row r="39">
      <c r="B39" s="140"/>
      <c r="C39" s="140"/>
      <c r="D39" s="140"/>
      <c r="E39" s="140"/>
      <c r="F39" s="140"/>
      <c r="G39" s="140"/>
      <c r="H39" s="140"/>
      <c r="I39" s="140"/>
      <c r="J39" s="140"/>
      <c r="K39" s="140"/>
      <c r="L39" s="141"/>
      <c r="M39" s="141"/>
      <c r="N39" s="141"/>
      <c r="O39" s="141"/>
    </row>
    <row r="40">
      <c r="B40" s="140"/>
      <c r="C40" s="140"/>
      <c r="D40" s="140"/>
      <c r="E40" s="140"/>
      <c r="F40" s="140"/>
      <c r="G40" s="140"/>
      <c r="H40" s="140"/>
      <c r="I40" s="140"/>
      <c r="J40" s="140"/>
      <c r="K40" s="140"/>
      <c r="L40" s="141"/>
      <c r="M40" s="141"/>
      <c r="N40" s="141"/>
      <c r="O40" s="141"/>
    </row>
    <row r="41">
      <c r="B41" s="140"/>
      <c r="C41" s="140"/>
      <c r="D41" s="140"/>
      <c r="E41" s="140"/>
      <c r="F41" s="140"/>
      <c r="G41" s="140"/>
      <c r="H41" s="140"/>
      <c r="I41" s="140"/>
      <c r="J41" s="140"/>
      <c r="K41" s="140"/>
      <c r="L41" s="141"/>
      <c r="M41" s="141"/>
      <c r="N41" s="141"/>
      <c r="O41" s="141"/>
    </row>
    <row r="42">
      <c r="B42" s="140"/>
      <c r="C42" s="140"/>
      <c r="D42" s="140"/>
      <c r="E42" s="140"/>
      <c r="F42" s="140"/>
      <c r="G42" s="140"/>
      <c r="H42" s="140"/>
      <c r="I42" s="140"/>
      <c r="J42" s="140"/>
      <c r="K42" s="140"/>
      <c r="L42" s="141"/>
      <c r="M42" s="141"/>
      <c r="N42" s="141"/>
      <c r="O42" s="141"/>
    </row>
    <row r="43">
      <c r="B43" s="140"/>
      <c r="C43" s="140"/>
      <c r="D43" s="140"/>
      <c r="E43" s="140"/>
      <c r="F43" s="140"/>
      <c r="G43" s="140"/>
      <c r="H43" s="140"/>
      <c r="I43" s="140"/>
      <c r="J43" s="140"/>
      <c r="K43" s="140"/>
      <c r="L43" s="141"/>
      <c r="M43" s="141"/>
      <c r="N43" s="141"/>
      <c r="O43" s="141"/>
    </row>
    <row r="44">
      <c r="B44" s="142"/>
      <c r="C44" s="142"/>
      <c r="D44" s="142"/>
      <c r="E44" s="142"/>
      <c r="F44" s="142"/>
      <c r="G44" s="142"/>
      <c r="H44" s="142"/>
      <c r="I44" s="142"/>
      <c r="J44" s="142"/>
      <c r="K44" s="142"/>
      <c r="L44" s="143"/>
      <c r="M44" s="143"/>
      <c r="N44" s="143"/>
      <c r="O44" s="143"/>
    </row>
    <row r="45">
      <c r="B45" s="140"/>
      <c r="C45" s="140"/>
      <c r="D45" s="140"/>
      <c r="E45" s="140"/>
      <c r="F45" s="140"/>
      <c r="G45" s="140"/>
      <c r="H45" s="140"/>
      <c r="I45" s="140"/>
      <c r="J45" s="140"/>
      <c r="K45" s="140"/>
      <c r="L45" s="141"/>
      <c r="M45" s="141"/>
      <c r="N45" s="141"/>
      <c r="O45" s="141"/>
    </row>
    <row r="46">
      <c r="B46" s="140"/>
      <c r="C46" s="140"/>
      <c r="D46" s="140"/>
      <c r="E46" s="140"/>
      <c r="F46" s="140"/>
      <c r="G46" s="140"/>
      <c r="H46" s="140"/>
      <c r="I46" s="140"/>
      <c r="J46" s="140"/>
      <c r="K46" s="140"/>
      <c r="L46" s="141"/>
      <c r="M46" s="141"/>
      <c r="N46" s="141"/>
      <c r="O46" s="141"/>
    </row>
    <row r="47">
      <c r="B47" s="137"/>
      <c r="C47" s="137"/>
      <c r="D47" s="137"/>
      <c r="E47" s="137"/>
      <c r="F47" s="137"/>
      <c r="G47" s="137"/>
      <c r="H47" s="137"/>
      <c r="I47" s="137"/>
      <c r="J47" s="137"/>
      <c r="K47" s="137"/>
    </row>
    <row r="48">
      <c r="B48" s="137"/>
      <c r="C48" s="137"/>
      <c r="D48" s="137"/>
      <c r="E48" s="137"/>
      <c r="F48" s="137"/>
      <c r="G48" s="137"/>
      <c r="H48" s="137"/>
      <c r="I48" s="137"/>
      <c r="J48" s="137"/>
      <c r="K48" s="137"/>
    </row>
    <row r="49">
      <c r="B49" s="137"/>
      <c r="C49" s="137"/>
      <c r="D49" s="137"/>
      <c r="E49" s="137"/>
      <c r="F49" s="137"/>
      <c r="G49" s="137"/>
      <c r="H49" s="137"/>
      <c r="I49" s="137"/>
      <c r="J49" s="137"/>
      <c r="K49" s="137"/>
    </row>
    <row r="50">
      <c r="B50" s="137"/>
      <c r="C50" s="137"/>
      <c r="D50" s="137"/>
      <c r="E50" s="137"/>
      <c r="F50" s="137"/>
      <c r="G50" s="137"/>
      <c r="H50" s="137"/>
      <c r="I50" s="137"/>
      <c r="J50" s="137"/>
      <c r="K50" s="137"/>
    </row>
    <row r="51">
      <c r="B51" s="137"/>
      <c r="C51" s="137"/>
      <c r="D51" s="137"/>
      <c r="E51" s="137"/>
      <c r="F51" s="137"/>
      <c r="G51" s="137"/>
      <c r="H51" s="137"/>
      <c r="I51" s="137"/>
      <c r="J51" s="137"/>
      <c r="K51" s="137"/>
    </row>
    <row r="52">
      <c r="B52" s="137" t="s">
        <v>116</v>
      </c>
    </row>
    <row r="54">
      <c r="B54" s="62" t="str">
        <f>IFERROR(__xludf.DUMMYFUNCTION("IMPORTRANGE(""11QmPanSRxykbUTB_EqX7W510tAZnhZpBpW7QiSnxobM"", ""営業マン別データ!B1:I23"")
"),"")</f>
        <v/>
      </c>
      <c r="C54" s="62" t="str">
        <f>IFERROR(__xludf.DUMMYFUNCTION("""COMPUTED_VALUE"""),"TOTAL")</f>
        <v>TOTAL</v>
      </c>
      <c r="D54" s="62"/>
      <c r="E54" s="62"/>
      <c r="F54" s="62"/>
      <c r="G54" s="62"/>
      <c r="H54" s="62"/>
      <c r="I54" s="62"/>
    </row>
    <row r="55">
      <c r="B55" s="144"/>
      <c r="C55" s="144" t="str">
        <f>IFERROR(__xludf.DUMMYFUNCTION("""COMPUTED_VALUE"""),"打電件数")</f>
        <v>打電件数</v>
      </c>
      <c r="D55" s="144" t="str">
        <f>IFERROR(__xludf.DUMMYFUNCTION("""COMPUTED_VALUE"""),"着電件数")</f>
        <v>着電件数</v>
      </c>
      <c r="E55" s="144" t="str">
        <f>IFERROR(__xludf.DUMMYFUNCTION("""COMPUTED_VALUE"""),"着電率")</f>
        <v>着電率</v>
      </c>
      <c r="F55" s="144" t="str">
        <f>IFERROR(__xludf.DUMMYFUNCTION("""COMPUTED_VALUE"""),"アポ数")</f>
        <v>アポ数</v>
      </c>
      <c r="G55" s="144" t="str">
        <f>IFERROR(__xludf.DUMMYFUNCTION("""COMPUTED_VALUE"""),"アポ率(着電から)")</f>
        <v>アポ率(着電から)</v>
      </c>
      <c r="H55" s="144" t="str">
        <f>IFERROR(__xludf.DUMMYFUNCTION("""COMPUTED_VALUE"""),"LINE誘導数")</f>
        <v>LINE誘導数</v>
      </c>
      <c r="I55" s="144" t="str">
        <f>IFERROR(__xludf.DUMMYFUNCTION("""COMPUTED_VALUE"""),"LINE率(着電から)")</f>
        <v>LINE率(着電から)</v>
      </c>
    </row>
    <row r="56">
      <c r="A56" s="145"/>
      <c r="B56" s="146" t="str">
        <f>IFERROR(__xludf.DUMMYFUNCTION("""COMPUTED_VALUE"""),"TOTAL")</f>
        <v>TOTAL</v>
      </c>
      <c r="C56" s="146">
        <f>IFERROR(__xludf.DUMMYFUNCTION("""COMPUTED_VALUE"""),894114.0)</f>
        <v>894114</v>
      </c>
      <c r="D56" s="146">
        <f>IFERROR(__xludf.DUMMYFUNCTION("""COMPUTED_VALUE"""),61759.0)</f>
        <v>61759</v>
      </c>
      <c r="E56" s="147">
        <f>IFERROR(__xludf.DUMMYFUNCTION("""COMPUTED_VALUE"""),0.06907284753398336)</f>
        <v>0.06907284753</v>
      </c>
      <c r="F56" s="146">
        <f>IFERROR(__xludf.DUMMYFUNCTION("""COMPUTED_VALUE"""),1958.0)</f>
        <v>1958</v>
      </c>
      <c r="G56" s="147">
        <f>IFERROR(__xludf.DUMMYFUNCTION("""COMPUTED_VALUE"""),0.03170388121569326)</f>
        <v>0.03170388122</v>
      </c>
      <c r="H56" s="146">
        <f>IFERROR(__xludf.DUMMYFUNCTION("""COMPUTED_VALUE"""),2557.0)</f>
        <v>2557</v>
      </c>
      <c r="I56" s="147">
        <f>IFERROR(__xludf.DUMMYFUNCTION("""COMPUTED_VALUE"""),0.0414028724558364)</f>
        <v>0.04140287246</v>
      </c>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row>
    <row r="57">
      <c r="B57" s="148" t="str">
        <f>IFERROR(__xludf.DUMMYFUNCTION("""COMPUTED_VALUE"""),"木村")</f>
        <v>木村</v>
      </c>
      <c r="C57" s="148">
        <f>IFERROR(__xludf.DUMMYFUNCTION("""COMPUTED_VALUE"""),1427.0)</f>
        <v>1427</v>
      </c>
      <c r="D57" s="148">
        <f>IFERROR(__xludf.DUMMYFUNCTION("""COMPUTED_VALUE"""),298.0)</f>
        <v>298</v>
      </c>
      <c r="E57" s="149">
        <f>IFERROR(__xludf.DUMMYFUNCTION("""COMPUTED_VALUE"""),0.20882971268395234)</f>
        <v>0.2088297127</v>
      </c>
      <c r="F57" s="148">
        <f>IFERROR(__xludf.DUMMYFUNCTION("""COMPUTED_VALUE"""),17.0)</f>
        <v>17</v>
      </c>
      <c r="G57" s="149">
        <f>IFERROR(__xludf.DUMMYFUNCTION("""COMPUTED_VALUE"""),0.05704697986577181)</f>
        <v>0.05704697987</v>
      </c>
      <c r="H57" s="148">
        <f>IFERROR(__xludf.DUMMYFUNCTION("""COMPUTED_VALUE"""),1.0)</f>
        <v>1</v>
      </c>
      <c r="I57" s="149">
        <f>IFERROR(__xludf.DUMMYFUNCTION("""COMPUTED_VALUE"""),0.003355704697986577)</f>
        <v>0.003355704698</v>
      </c>
    </row>
    <row r="58">
      <c r="B58" s="148" t="str">
        <f>IFERROR(__xludf.DUMMYFUNCTION("""COMPUTED_VALUE"""),"あり")</f>
        <v>あり</v>
      </c>
      <c r="C58" s="148">
        <f>IFERROR(__xludf.DUMMYFUNCTION("""COMPUTED_VALUE"""),117562.0)</f>
        <v>117562</v>
      </c>
      <c r="D58" s="148">
        <f>IFERROR(__xludf.DUMMYFUNCTION("""COMPUTED_VALUE"""),9214.0)</f>
        <v>9214</v>
      </c>
      <c r="E58" s="149">
        <f>IFERROR(__xludf.DUMMYFUNCTION("""COMPUTED_VALUE"""),0.07837566560623331)</f>
        <v>0.07837566561</v>
      </c>
      <c r="F58" s="148">
        <f>IFERROR(__xludf.DUMMYFUNCTION("""COMPUTED_VALUE"""),391.0)</f>
        <v>391</v>
      </c>
      <c r="G58" s="149">
        <f>IFERROR(__xludf.DUMMYFUNCTION("""COMPUTED_VALUE"""),0.042435424354243544)</f>
        <v>0.04243542435</v>
      </c>
      <c r="H58" s="148">
        <f>IFERROR(__xludf.DUMMYFUNCTION("""COMPUTED_VALUE"""),499.0)</f>
        <v>499</v>
      </c>
      <c r="I58" s="149">
        <f>IFERROR(__xludf.DUMMYFUNCTION("""COMPUTED_VALUE"""),0.054156718037768614)</f>
        <v>0.05415671804</v>
      </c>
    </row>
    <row r="59">
      <c r="B59" s="148" t="str">
        <f>IFERROR(__xludf.DUMMYFUNCTION("""COMPUTED_VALUE"""),"太田")</f>
        <v>太田</v>
      </c>
      <c r="C59" s="148">
        <f>IFERROR(__xludf.DUMMYFUNCTION("""COMPUTED_VALUE"""),117663.0)</f>
        <v>117663</v>
      </c>
      <c r="D59" s="148">
        <f>IFERROR(__xludf.DUMMYFUNCTION("""COMPUTED_VALUE"""),8131.0)</f>
        <v>8131</v>
      </c>
      <c r="E59" s="149">
        <f>IFERROR(__xludf.DUMMYFUNCTION("""COMPUTED_VALUE"""),0.06910413638951922)</f>
        <v>0.06910413639</v>
      </c>
      <c r="F59" s="148">
        <f>IFERROR(__xludf.DUMMYFUNCTION("""COMPUTED_VALUE"""),392.0)</f>
        <v>392</v>
      </c>
      <c r="G59" s="149">
        <f>IFERROR(__xludf.DUMMYFUNCTION("""COMPUTED_VALUE"""),0.04821055220760054)</f>
        <v>0.04821055221</v>
      </c>
      <c r="H59" s="148">
        <f>IFERROR(__xludf.DUMMYFUNCTION("""COMPUTED_VALUE"""),458.0)</f>
        <v>458</v>
      </c>
      <c r="I59" s="149">
        <f>IFERROR(__xludf.DUMMYFUNCTION("""COMPUTED_VALUE"""),0.05632763497724757)</f>
        <v>0.05632763498</v>
      </c>
    </row>
    <row r="60">
      <c r="B60" s="148" t="str">
        <f>IFERROR(__xludf.DUMMYFUNCTION("""COMPUTED_VALUE"""),"高坂")</f>
        <v>高坂</v>
      </c>
      <c r="C60" s="148">
        <f>IFERROR(__xludf.DUMMYFUNCTION("""COMPUTED_VALUE"""),36495.0)</f>
        <v>36495</v>
      </c>
      <c r="D60" s="148">
        <f>IFERROR(__xludf.DUMMYFUNCTION("""COMPUTED_VALUE"""),2732.0)</f>
        <v>2732</v>
      </c>
      <c r="E60" s="149">
        <f>IFERROR(__xludf.DUMMYFUNCTION("""COMPUTED_VALUE"""),0.07485956980408275)</f>
        <v>0.0748595698</v>
      </c>
      <c r="F60" s="148">
        <f>IFERROR(__xludf.DUMMYFUNCTION("""COMPUTED_VALUE"""),103.0)</f>
        <v>103</v>
      </c>
      <c r="G60" s="149">
        <f>IFERROR(__xludf.DUMMYFUNCTION("""COMPUTED_VALUE"""),0.037701317715959005)</f>
        <v>0.03770131772</v>
      </c>
      <c r="H60" s="148">
        <f>IFERROR(__xludf.DUMMYFUNCTION("""COMPUTED_VALUE"""),114.0)</f>
        <v>114</v>
      </c>
      <c r="I60" s="149">
        <f>IFERROR(__xludf.DUMMYFUNCTION("""COMPUTED_VALUE"""),0.04172767203513909)</f>
        <v>0.04172767204</v>
      </c>
    </row>
    <row r="61">
      <c r="B61" s="148" t="str">
        <f>IFERROR(__xludf.DUMMYFUNCTION("""COMPUTED_VALUE"""),"ジョナ")</f>
        <v>ジョナ</v>
      </c>
      <c r="C61" s="148">
        <f>IFERROR(__xludf.DUMMYFUNCTION("""COMPUTED_VALUE"""),93438.0)</f>
        <v>93438</v>
      </c>
      <c r="D61" s="148">
        <f>IFERROR(__xludf.DUMMYFUNCTION("""COMPUTED_VALUE"""),5279.0)</f>
        <v>5279</v>
      </c>
      <c r="E61" s="149">
        <f>IFERROR(__xludf.DUMMYFUNCTION("""COMPUTED_VALUE"""),0.05649735653588476)</f>
        <v>0.05649735654</v>
      </c>
      <c r="F61" s="148">
        <f>IFERROR(__xludf.DUMMYFUNCTION("""COMPUTED_VALUE"""),216.0)</f>
        <v>216</v>
      </c>
      <c r="G61" s="149">
        <f>IFERROR(__xludf.DUMMYFUNCTION("""COMPUTED_VALUE"""),0.0409168403106649)</f>
        <v>0.04091684031</v>
      </c>
      <c r="H61" s="148">
        <f>IFERROR(__xludf.DUMMYFUNCTION("""COMPUTED_VALUE"""),270.0)</f>
        <v>270</v>
      </c>
      <c r="I61" s="149">
        <f>IFERROR(__xludf.DUMMYFUNCTION("""COMPUTED_VALUE"""),0.05114605038833112)</f>
        <v>0.05114605039</v>
      </c>
    </row>
    <row r="62">
      <c r="B62" s="148" t="str">
        <f>IFERROR(__xludf.DUMMYFUNCTION("""COMPUTED_VALUE"""),"武田")</f>
        <v>武田</v>
      </c>
      <c r="C62" s="148">
        <f>IFERROR(__xludf.DUMMYFUNCTION("""COMPUTED_VALUE"""),21297.0)</f>
        <v>21297</v>
      </c>
      <c r="D62" s="148">
        <f>IFERROR(__xludf.DUMMYFUNCTION("""COMPUTED_VALUE"""),2236.0)</f>
        <v>2236</v>
      </c>
      <c r="E62" s="149">
        <f>IFERROR(__xludf.DUMMYFUNCTION("""COMPUTED_VALUE"""),0.10499131333051603)</f>
        <v>0.1049913133</v>
      </c>
      <c r="F62" s="148">
        <f>IFERROR(__xludf.DUMMYFUNCTION("""COMPUTED_VALUE"""),197.0)</f>
        <v>197</v>
      </c>
      <c r="G62" s="149">
        <f>IFERROR(__xludf.DUMMYFUNCTION("""COMPUTED_VALUE"""),0.08810375670840787)</f>
        <v>0.08810375671</v>
      </c>
      <c r="H62" s="148">
        <f>IFERROR(__xludf.DUMMYFUNCTION("""COMPUTED_VALUE"""),289.0)</f>
        <v>289</v>
      </c>
      <c r="I62" s="149">
        <f>IFERROR(__xludf.DUMMYFUNCTION("""COMPUTED_VALUE"""),0.12924865831842575)</f>
        <v>0.1292486583</v>
      </c>
    </row>
    <row r="63">
      <c r="B63" s="148" t="str">
        <f>IFERROR(__xludf.DUMMYFUNCTION("""COMPUTED_VALUE"""),"山本")</f>
        <v>山本</v>
      </c>
      <c r="C63" s="148">
        <f>IFERROR(__xludf.DUMMYFUNCTION("""COMPUTED_VALUE"""),5906.0)</f>
        <v>5906</v>
      </c>
      <c r="D63" s="148">
        <f>IFERROR(__xludf.DUMMYFUNCTION("""COMPUTED_VALUE"""),727.0)</f>
        <v>727</v>
      </c>
      <c r="E63" s="149">
        <f>IFERROR(__xludf.DUMMYFUNCTION("""COMPUTED_VALUE"""),0.12309515746698273)</f>
        <v>0.1230951575</v>
      </c>
      <c r="F63" s="148">
        <f>IFERROR(__xludf.DUMMYFUNCTION("""COMPUTED_VALUE"""),15.0)</f>
        <v>15</v>
      </c>
      <c r="G63" s="149">
        <f>IFERROR(__xludf.DUMMYFUNCTION("""COMPUTED_VALUE"""),0.02063273727647868)</f>
        <v>0.02063273728</v>
      </c>
      <c r="H63" s="148">
        <f>IFERROR(__xludf.DUMMYFUNCTION("""COMPUTED_VALUE"""),32.0)</f>
        <v>32</v>
      </c>
      <c r="I63" s="149">
        <f>IFERROR(__xludf.DUMMYFUNCTION("""COMPUTED_VALUE"""),0.04401650618982118)</f>
        <v>0.04401650619</v>
      </c>
    </row>
    <row r="64">
      <c r="B64" s="148" t="str">
        <f>IFERROR(__xludf.DUMMYFUNCTION("""COMPUTED_VALUE"""),"高木")</f>
        <v>高木</v>
      </c>
      <c r="C64" s="148">
        <f>IFERROR(__xludf.DUMMYFUNCTION("""COMPUTED_VALUE"""),106843.0)</f>
        <v>106843</v>
      </c>
      <c r="D64" s="148">
        <f>IFERROR(__xludf.DUMMYFUNCTION("""COMPUTED_VALUE"""),8495.0)</f>
        <v>8495</v>
      </c>
      <c r="E64" s="149">
        <f>IFERROR(__xludf.DUMMYFUNCTION("""COMPUTED_VALUE"""),0.07950918637627173)</f>
        <v>0.07950918638</v>
      </c>
      <c r="F64" s="148">
        <f>IFERROR(__xludf.DUMMYFUNCTION("""COMPUTED_VALUE"""),113.5)</f>
        <v>113.5</v>
      </c>
      <c r="G64" s="149">
        <f>IFERROR(__xludf.DUMMYFUNCTION("""COMPUTED_VALUE"""),0.013360800470865216)</f>
        <v>0.01336080047</v>
      </c>
      <c r="H64" s="148">
        <f>IFERROR(__xludf.DUMMYFUNCTION("""COMPUTED_VALUE"""),186.0)</f>
        <v>186</v>
      </c>
      <c r="I64" s="149">
        <f>IFERROR(__xludf.DUMMYFUNCTION("""COMPUTED_VALUE"""),0.021895232489699823)</f>
        <v>0.02189523249</v>
      </c>
    </row>
    <row r="65">
      <c r="B65" s="148" t="str">
        <f>IFERROR(__xludf.DUMMYFUNCTION("""COMPUTED_VALUE"""),"中原")</f>
        <v>中原</v>
      </c>
      <c r="C65" s="148"/>
      <c r="D65" s="148"/>
      <c r="E65" s="148"/>
      <c r="F65" s="148"/>
      <c r="G65" s="148"/>
      <c r="H65" s="148"/>
      <c r="I65" s="148"/>
    </row>
    <row r="66">
      <c r="B66" s="148" t="str">
        <f>IFERROR(__xludf.DUMMYFUNCTION("""COMPUTED_VALUE"""),"小西")</f>
        <v>小西</v>
      </c>
      <c r="C66" s="148">
        <f>IFERROR(__xludf.DUMMYFUNCTION("""COMPUTED_VALUE"""),11451.0)</f>
        <v>11451</v>
      </c>
      <c r="D66" s="148">
        <f>IFERROR(__xludf.DUMMYFUNCTION("""COMPUTED_VALUE"""),876.0)</f>
        <v>876</v>
      </c>
      <c r="E66" s="149">
        <f>IFERROR(__xludf.DUMMYFUNCTION("""COMPUTED_VALUE"""),0.07649986900707362)</f>
        <v>0.07649986901</v>
      </c>
      <c r="F66" s="148">
        <f>IFERROR(__xludf.DUMMYFUNCTION("""COMPUTED_VALUE"""),12.0)</f>
        <v>12</v>
      </c>
      <c r="G66" s="149">
        <f>IFERROR(__xludf.DUMMYFUNCTION("""COMPUTED_VALUE"""),0.0136986301369863)</f>
        <v>0.01369863014</v>
      </c>
      <c r="H66" s="148">
        <f>IFERROR(__xludf.DUMMYFUNCTION("""COMPUTED_VALUE"""),29.0)</f>
        <v>29</v>
      </c>
      <c r="I66" s="149">
        <f>IFERROR(__xludf.DUMMYFUNCTION("""COMPUTED_VALUE"""),0.033105022831050226)</f>
        <v>0.03310502283</v>
      </c>
    </row>
    <row r="67">
      <c r="B67" s="148" t="str">
        <f>IFERROR(__xludf.DUMMYFUNCTION("""COMPUTED_VALUE"""),"ソラ")</f>
        <v>ソラ</v>
      </c>
      <c r="C67" s="148">
        <f>IFERROR(__xludf.DUMMYFUNCTION("""COMPUTED_VALUE"""),41828.0)</f>
        <v>41828</v>
      </c>
      <c r="D67" s="148">
        <f>IFERROR(__xludf.DUMMYFUNCTION("""COMPUTED_VALUE"""),1676.0)</f>
        <v>1676</v>
      </c>
      <c r="E67" s="149">
        <f>IFERROR(__xludf.DUMMYFUNCTION("""COMPUTED_VALUE"""),0.04006885339963661)</f>
        <v>0.0400688534</v>
      </c>
      <c r="F67" s="148">
        <f>IFERROR(__xludf.DUMMYFUNCTION("""COMPUTED_VALUE"""),54.0)</f>
        <v>54</v>
      </c>
      <c r="G67" s="149">
        <f>IFERROR(__xludf.DUMMYFUNCTION("""COMPUTED_VALUE"""),0.032219570405727926)</f>
        <v>0.03221957041</v>
      </c>
      <c r="H67" s="148">
        <f>IFERROR(__xludf.DUMMYFUNCTION("""COMPUTED_VALUE"""),60.0)</f>
        <v>60</v>
      </c>
      <c r="I67" s="149">
        <f>IFERROR(__xludf.DUMMYFUNCTION("""COMPUTED_VALUE"""),0.03579952267303103)</f>
        <v>0.03579952267</v>
      </c>
    </row>
    <row r="68">
      <c r="B68" s="148" t="str">
        <f>IFERROR(__xludf.DUMMYFUNCTION("""COMPUTED_VALUE"""),"森")</f>
        <v>森</v>
      </c>
      <c r="C68" s="148">
        <f>IFERROR(__xludf.DUMMYFUNCTION("""COMPUTED_VALUE"""),5584.0)</f>
        <v>5584</v>
      </c>
      <c r="D68" s="148">
        <f>IFERROR(__xludf.DUMMYFUNCTION("""COMPUTED_VALUE"""),844.0)</f>
        <v>844</v>
      </c>
      <c r="E68" s="149">
        <f>IFERROR(__xludf.DUMMYFUNCTION("""COMPUTED_VALUE"""),0.1511461318051576)</f>
        <v>0.1511461318</v>
      </c>
      <c r="F68" s="148">
        <f>IFERROR(__xludf.DUMMYFUNCTION("""COMPUTED_VALUE"""),17.0)</f>
        <v>17</v>
      </c>
      <c r="G68" s="149">
        <f>IFERROR(__xludf.DUMMYFUNCTION("""COMPUTED_VALUE"""),0.02014218009478673)</f>
        <v>0.02014218009</v>
      </c>
      <c r="H68" s="148">
        <f>IFERROR(__xludf.DUMMYFUNCTION("""COMPUTED_VALUE"""),47.0)</f>
        <v>47</v>
      </c>
      <c r="I68" s="149">
        <f>IFERROR(__xludf.DUMMYFUNCTION("""COMPUTED_VALUE"""),0.05568720379146919)</f>
        <v>0.05568720379</v>
      </c>
    </row>
    <row r="69">
      <c r="B69" s="148" t="str">
        <f>IFERROR(__xludf.DUMMYFUNCTION("""COMPUTED_VALUE"""),"大谷")</f>
        <v>大谷</v>
      </c>
      <c r="C69" s="148">
        <f>IFERROR(__xludf.DUMMYFUNCTION("""COMPUTED_VALUE"""),89697.0)</f>
        <v>89697</v>
      </c>
      <c r="D69" s="148">
        <f>IFERROR(__xludf.DUMMYFUNCTION("""COMPUTED_VALUE"""),3780.0)</f>
        <v>3780</v>
      </c>
      <c r="E69" s="149">
        <f>IFERROR(__xludf.DUMMYFUNCTION("""COMPUTED_VALUE"""),0.042141877654771065)</f>
        <v>0.04214187765</v>
      </c>
      <c r="F69" s="148">
        <f>IFERROR(__xludf.DUMMYFUNCTION("""COMPUTED_VALUE"""),63.5)</f>
        <v>63.5</v>
      </c>
      <c r="G69" s="149">
        <f>IFERROR(__xludf.DUMMYFUNCTION("""COMPUTED_VALUE"""),0.0167989417989418)</f>
        <v>0.0167989418</v>
      </c>
      <c r="H69" s="148">
        <f>IFERROR(__xludf.DUMMYFUNCTION("""COMPUTED_VALUE"""),108.0)</f>
        <v>108</v>
      </c>
      <c r="I69" s="149">
        <f>IFERROR(__xludf.DUMMYFUNCTION("""COMPUTED_VALUE"""),0.02857142857142857)</f>
        <v>0.02857142857</v>
      </c>
    </row>
    <row r="70">
      <c r="B70" s="148" t="str">
        <f>IFERROR(__xludf.DUMMYFUNCTION("""COMPUTED_VALUE"""),"金子")</f>
        <v>金子</v>
      </c>
      <c r="C70" s="148">
        <f>IFERROR(__xludf.DUMMYFUNCTION("""COMPUTED_VALUE"""),57363.0)</f>
        <v>57363</v>
      </c>
      <c r="D70" s="148">
        <f>IFERROR(__xludf.DUMMYFUNCTION("""COMPUTED_VALUE"""),3607.0)</f>
        <v>3607</v>
      </c>
      <c r="E70" s="149">
        <f>IFERROR(__xludf.DUMMYFUNCTION("""COMPUTED_VALUE"""),0.06288025382215016)</f>
        <v>0.06288025382</v>
      </c>
      <c r="F70" s="148">
        <f>IFERROR(__xludf.DUMMYFUNCTION("""COMPUTED_VALUE"""),66.5)</f>
        <v>66.5</v>
      </c>
      <c r="G70" s="149">
        <f>IFERROR(__xludf.DUMMYFUNCTION("""COMPUTED_VALUE"""),0.018436373717771)</f>
        <v>0.01843637372</v>
      </c>
      <c r="H70" s="148">
        <f>IFERROR(__xludf.DUMMYFUNCTION("""COMPUTED_VALUE"""),98.0)</f>
        <v>98</v>
      </c>
      <c r="I70" s="149">
        <f>IFERROR(__xludf.DUMMYFUNCTION("""COMPUTED_VALUE"""),0.027169392847241475)</f>
        <v>0.02716939285</v>
      </c>
    </row>
    <row r="71">
      <c r="B71" s="148" t="str">
        <f>IFERROR(__xludf.DUMMYFUNCTION("""COMPUTED_VALUE"""),"ハタ")</f>
        <v>ハタ</v>
      </c>
      <c r="C71" s="148">
        <f>IFERROR(__xludf.DUMMYFUNCTION("""COMPUTED_VALUE"""),23118.0)</f>
        <v>23118</v>
      </c>
      <c r="D71" s="148">
        <f>IFERROR(__xludf.DUMMYFUNCTION("""COMPUTED_VALUE"""),1945.0)</f>
        <v>1945</v>
      </c>
      <c r="E71" s="149">
        <f>IFERROR(__xludf.DUMMYFUNCTION("""COMPUTED_VALUE"""),0.08413357556882083)</f>
        <v>0.08413357557</v>
      </c>
      <c r="F71" s="148">
        <f>IFERROR(__xludf.DUMMYFUNCTION("""COMPUTED_VALUE"""),43.0)</f>
        <v>43</v>
      </c>
      <c r="G71" s="149">
        <f>IFERROR(__xludf.DUMMYFUNCTION("""COMPUTED_VALUE"""),0.02210796915167095)</f>
        <v>0.02210796915</v>
      </c>
      <c r="H71" s="148">
        <f>IFERROR(__xludf.DUMMYFUNCTION("""COMPUTED_VALUE"""),85.0)</f>
        <v>85</v>
      </c>
      <c r="I71" s="149">
        <f>IFERROR(__xludf.DUMMYFUNCTION("""COMPUTED_VALUE"""),0.043701799485861184)</f>
        <v>0.04370179949</v>
      </c>
    </row>
    <row r="72">
      <c r="B72" s="148" t="str">
        <f>IFERROR(__xludf.DUMMYFUNCTION("""COMPUTED_VALUE"""),"村田")</f>
        <v>村田</v>
      </c>
      <c r="C72" s="148">
        <f>IFERROR(__xludf.DUMMYFUNCTION("""COMPUTED_VALUE"""),1198.0)</f>
        <v>1198</v>
      </c>
      <c r="D72" s="148">
        <f>IFERROR(__xludf.DUMMYFUNCTION("""COMPUTED_VALUE"""),160.0)</f>
        <v>160</v>
      </c>
      <c r="E72" s="149">
        <f>IFERROR(__xludf.DUMMYFUNCTION("""COMPUTED_VALUE"""),0.1335559265442404)</f>
        <v>0.1335559265</v>
      </c>
      <c r="F72" s="148">
        <f>IFERROR(__xludf.DUMMYFUNCTION("""COMPUTED_VALUE"""),2.0)</f>
        <v>2</v>
      </c>
      <c r="G72" s="149">
        <f>IFERROR(__xludf.DUMMYFUNCTION("""COMPUTED_VALUE"""),0.0125)</f>
        <v>0.0125</v>
      </c>
      <c r="H72" s="148">
        <f>IFERROR(__xludf.DUMMYFUNCTION("""COMPUTED_VALUE"""),3.0)</f>
        <v>3</v>
      </c>
      <c r="I72" s="149">
        <f>IFERROR(__xludf.DUMMYFUNCTION("""COMPUTED_VALUE"""),0.01875)</f>
        <v>0.01875</v>
      </c>
    </row>
    <row r="73">
      <c r="B73" s="148" t="str">
        <f>IFERROR(__xludf.DUMMYFUNCTION("""COMPUTED_VALUE"""),"仁子")</f>
        <v>仁子</v>
      </c>
      <c r="C73" s="148">
        <f>IFERROR(__xludf.DUMMYFUNCTION("""COMPUTED_VALUE"""),20292.0)</f>
        <v>20292</v>
      </c>
      <c r="D73" s="148">
        <f>IFERROR(__xludf.DUMMYFUNCTION("""COMPUTED_VALUE"""),1513.0)</f>
        <v>1513</v>
      </c>
      <c r="E73" s="149">
        <f>IFERROR(__xludf.DUMMYFUNCTION("""COMPUTED_VALUE"""),0.07456140350877193)</f>
        <v>0.07456140351</v>
      </c>
      <c r="F73" s="148">
        <f>IFERROR(__xludf.DUMMYFUNCTION("""COMPUTED_VALUE"""),120.0)</f>
        <v>120</v>
      </c>
      <c r="G73" s="149">
        <f>IFERROR(__xludf.DUMMYFUNCTION("""COMPUTED_VALUE"""),0.07931262392597488)</f>
        <v>0.07931262393</v>
      </c>
      <c r="H73" s="148">
        <f>IFERROR(__xludf.DUMMYFUNCTION("""COMPUTED_VALUE"""),90.0)</f>
        <v>90</v>
      </c>
      <c r="I73" s="149">
        <f>IFERROR(__xludf.DUMMYFUNCTION("""COMPUTED_VALUE"""),0.059484467944481166)</f>
        <v>0.05948446794</v>
      </c>
    </row>
    <row r="74">
      <c r="B74" s="148" t="str">
        <f>IFERROR(__xludf.DUMMYFUNCTION("""COMPUTED_VALUE"""),"小川")</f>
        <v>小川</v>
      </c>
      <c r="C74" s="148">
        <f>IFERROR(__xludf.DUMMYFUNCTION("""COMPUTED_VALUE"""),635.0)</f>
        <v>635</v>
      </c>
      <c r="D74" s="148">
        <f>IFERROR(__xludf.DUMMYFUNCTION("""COMPUTED_VALUE"""),126.0)</f>
        <v>126</v>
      </c>
      <c r="E74" s="149">
        <f>IFERROR(__xludf.DUMMYFUNCTION("""COMPUTED_VALUE"""),0.1984251968503937)</f>
        <v>0.1984251969</v>
      </c>
      <c r="F74" s="148">
        <f>IFERROR(__xludf.DUMMYFUNCTION("""COMPUTED_VALUE"""),10.0)</f>
        <v>10</v>
      </c>
      <c r="G74" s="149">
        <f>IFERROR(__xludf.DUMMYFUNCTION("""COMPUTED_VALUE"""),0.07936507936507936)</f>
        <v>0.07936507937</v>
      </c>
      <c r="H74" s="148">
        <f>IFERROR(__xludf.DUMMYFUNCTION("""COMPUTED_VALUE"""),10.0)</f>
        <v>10</v>
      </c>
      <c r="I74" s="149">
        <f>IFERROR(__xludf.DUMMYFUNCTION("""COMPUTED_VALUE"""),0.07936507936507936)</f>
        <v>0.07936507937</v>
      </c>
    </row>
    <row r="75">
      <c r="B75" s="150" t="str">
        <f>IFERROR(__xludf.DUMMYFUNCTION("""COMPUTED_VALUE"""),"サラ")</f>
        <v>サラ</v>
      </c>
      <c r="C75" s="150">
        <f>IFERROR(__xludf.DUMMYFUNCTION("""COMPUTED_VALUE"""),12385.0)</f>
        <v>12385</v>
      </c>
      <c r="D75" s="150">
        <f>IFERROR(__xludf.DUMMYFUNCTION("""COMPUTED_VALUE"""),1174.0)</f>
        <v>1174</v>
      </c>
      <c r="E75" s="151">
        <f>IFERROR(__xludf.DUMMYFUNCTION("""COMPUTED_VALUE"""),0.0947920872022608)</f>
        <v>0.0947920872</v>
      </c>
      <c r="F75" s="150">
        <f>IFERROR(__xludf.DUMMYFUNCTION("""COMPUTED_VALUE"""),18.0)</f>
        <v>18</v>
      </c>
      <c r="G75" s="151">
        <f>IFERROR(__xludf.DUMMYFUNCTION("""COMPUTED_VALUE"""),0.015332197614991482)</f>
        <v>0.01533219761</v>
      </c>
      <c r="H75" s="150">
        <f>IFERROR(__xludf.DUMMYFUNCTION("""COMPUTED_VALUE"""),30.0)</f>
        <v>30</v>
      </c>
      <c r="I75" s="151">
        <f>IFERROR(__xludf.DUMMYFUNCTION("""COMPUTED_VALUE"""),0.02555366269165247)</f>
        <v>0.02555366269</v>
      </c>
    </row>
    <row r="76">
      <c r="B76" s="152" t="str">
        <f>IFERROR(__xludf.DUMMYFUNCTION("""COMPUTED_VALUE"""),"長瀬")</f>
        <v>長瀬</v>
      </c>
      <c r="C76" s="152">
        <f>IFERROR(__xludf.DUMMYFUNCTION("""COMPUTED_VALUE"""),577.0)</f>
        <v>577</v>
      </c>
      <c r="D76" s="152">
        <f>IFERROR(__xludf.DUMMYFUNCTION("""COMPUTED_VALUE"""),83.0)</f>
        <v>83</v>
      </c>
      <c r="E76" s="153">
        <f>IFERROR(__xludf.DUMMYFUNCTION("""COMPUTED_VALUE"""),0.1438474870017331)</f>
        <v>0.143847487</v>
      </c>
      <c r="F76" s="152">
        <f>IFERROR(__xludf.DUMMYFUNCTION("""COMPUTED_VALUE"""),1.0)</f>
        <v>1</v>
      </c>
      <c r="G76" s="153">
        <f>IFERROR(__xludf.DUMMYFUNCTION("""COMPUTED_VALUE"""),0.012048192771084338)</f>
        <v>0.01204819277</v>
      </c>
      <c r="H76" s="152">
        <f>IFERROR(__xludf.DUMMYFUNCTION("""COMPUTED_VALUE"""),1.0)</f>
        <v>1</v>
      </c>
      <c r="I76" s="153">
        <f>IFERROR(__xludf.DUMMYFUNCTION("""COMPUTED_VALUE"""),0.012048192771084338)</f>
        <v>0.01204819277</v>
      </c>
    </row>
    <row r="77">
      <c r="B77" s="154" t="s">
        <v>117</v>
      </c>
      <c r="C77" s="152">
        <f t="shared" ref="C77:I77" si="1">C57+C58+C59+C62+C68</f>
        <v>263533</v>
      </c>
      <c r="D77" s="152">
        <f t="shared" si="1"/>
        <v>20723</v>
      </c>
      <c r="E77" s="153">
        <f t="shared" si="1"/>
        <v>0.6124469598</v>
      </c>
      <c r="F77" s="152">
        <f t="shared" si="1"/>
        <v>1014</v>
      </c>
      <c r="G77" s="153">
        <f t="shared" si="1"/>
        <v>0.2559388932</v>
      </c>
      <c r="H77" s="152">
        <f t="shared" si="1"/>
        <v>1294</v>
      </c>
      <c r="I77" s="153">
        <f t="shared" si="1"/>
        <v>0.2987759198</v>
      </c>
    </row>
    <row r="78">
      <c r="B78" s="154" t="s">
        <v>118</v>
      </c>
      <c r="C78" s="152">
        <f t="shared" ref="C78:I78" si="2">C61+C64+C66+C71</f>
        <v>234850</v>
      </c>
      <c r="D78" s="152">
        <f t="shared" si="2"/>
        <v>16595</v>
      </c>
      <c r="E78" s="153">
        <f t="shared" si="2"/>
        <v>0.2966399875</v>
      </c>
      <c r="F78" s="152">
        <f t="shared" si="2"/>
        <v>384.5</v>
      </c>
      <c r="G78" s="153">
        <f t="shared" si="2"/>
        <v>0.09008424007</v>
      </c>
      <c r="H78" s="152">
        <f t="shared" si="2"/>
        <v>570</v>
      </c>
      <c r="I78" s="153">
        <f t="shared" si="2"/>
        <v>0.1498481052</v>
      </c>
    </row>
    <row r="79">
      <c r="A79" s="155"/>
      <c r="B79" s="156" t="s">
        <v>119</v>
      </c>
      <c r="C79" s="157">
        <f t="shared" ref="C79:I79" si="3">C60+C69+C70+C73</f>
        <v>203847</v>
      </c>
      <c r="D79" s="157">
        <f t="shared" si="3"/>
        <v>11632</v>
      </c>
      <c r="E79" s="158">
        <f t="shared" si="3"/>
        <v>0.2544431048</v>
      </c>
      <c r="F79" s="157">
        <f t="shared" si="3"/>
        <v>353</v>
      </c>
      <c r="G79" s="158">
        <f t="shared" si="3"/>
        <v>0.1522492572</v>
      </c>
      <c r="H79" s="157">
        <f t="shared" si="3"/>
        <v>410</v>
      </c>
      <c r="I79" s="158">
        <f t="shared" si="3"/>
        <v>0.1569529614</v>
      </c>
      <c r="J79" s="159"/>
      <c r="N79" s="159"/>
      <c r="R79" s="159"/>
      <c r="V79" s="159"/>
      <c r="Z79" s="159"/>
      <c r="AD79" s="159"/>
      <c r="AH79" s="155"/>
      <c r="AI79" s="155"/>
      <c r="AJ79" s="155"/>
      <c r="AK79" s="155"/>
      <c r="AL79" s="155"/>
      <c r="AM79" s="155"/>
      <c r="AN79" s="155"/>
      <c r="AO79" s="155"/>
      <c r="AP79" s="155"/>
      <c r="AQ79" s="155"/>
      <c r="AR79" s="155"/>
      <c r="AS79" s="155"/>
      <c r="AT79" s="155"/>
      <c r="AU79" s="155"/>
      <c r="AV79" s="155"/>
      <c r="AW79" s="155"/>
      <c r="AX79" s="155"/>
      <c r="AY79" s="155"/>
      <c r="AZ79" s="155"/>
      <c r="BA79" s="155"/>
      <c r="BB79" s="155"/>
      <c r="BC79" s="155"/>
      <c r="BD79" s="155"/>
      <c r="BE79" s="155"/>
      <c r="BF79" s="155"/>
      <c r="BG79" s="155"/>
      <c r="BH79" s="155"/>
      <c r="BI79" s="155"/>
      <c r="BJ79" s="155"/>
      <c r="BK79" s="155"/>
      <c r="BL79" s="155"/>
      <c r="BM79" s="155"/>
      <c r="BN79" s="155"/>
      <c r="BO79" s="155"/>
      <c r="BP79" s="155"/>
    </row>
    <row r="8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row>
    <row r="81">
      <c r="A81" s="79"/>
      <c r="B81" s="161" t="str">
        <f>IFERROR(__xludf.DUMMYFUNCTION("IMPORTRANGE(""11QmPanSRxykbUTB_EqX7W510tAZnhZpBpW7QiSnxobM"", ""営業マン別データ!B1:Bi25"")
"),"")</f>
        <v/>
      </c>
      <c r="C81" s="162" t="str">
        <f>IFERROR(__xludf.DUMMYFUNCTION("""COMPUTED_VALUE"""),"TOTAL")</f>
        <v>TOTAL</v>
      </c>
      <c r="D81" s="81"/>
      <c r="E81" s="81"/>
      <c r="F81" s="81"/>
      <c r="G81" s="81"/>
      <c r="H81" s="81"/>
      <c r="I81" s="82"/>
      <c r="J81" s="163"/>
      <c r="K81" s="164"/>
      <c r="L81" s="164"/>
      <c r="M81" s="165"/>
      <c r="N81" s="166"/>
      <c r="O81" s="167"/>
      <c r="P81" s="167"/>
      <c r="Q81" s="168"/>
      <c r="R81" s="169"/>
      <c r="S81" s="170"/>
      <c r="T81" s="170"/>
      <c r="U81" s="171"/>
      <c r="V81" s="172"/>
      <c r="W81" s="173"/>
      <c r="X81" s="173"/>
      <c r="Y81" s="174"/>
      <c r="Z81" s="175"/>
      <c r="AA81" s="176"/>
      <c r="AB81" s="176"/>
      <c r="AC81" s="177"/>
      <c r="AD81" s="178"/>
      <c r="AE81" s="179"/>
      <c r="AF81" s="179"/>
      <c r="AG81" s="180"/>
      <c r="AH81" s="181"/>
      <c r="AI81" s="182"/>
      <c r="AJ81" s="182"/>
      <c r="AK81" s="183"/>
      <c r="AL81" s="184" t="str">
        <f>IFERROR(__xludf.DUMMYFUNCTION("""COMPUTED_VALUE"""),"6月                        ")</f>
        <v>6月                        </v>
      </c>
      <c r="AM81" s="185"/>
      <c r="AN81" s="185"/>
      <c r="AO81" s="186"/>
      <c r="AP81" s="187" t="str">
        <f>IFERROR(__xludf.DUMMYFUNCTION("""COMPUTED_VALUE"""),"5月                        ")</f>
        <v>5月                        </v>
      </c>
      <c r="AQ81" s="188"/>
      <c r="AR81" s="188"/>
      <c r="AS81" s="189"/>
      <c r="AT81" s="190" t="str">
        <f>IFERROR(__xludf.DUMMYFUNCTION("""COMPUTED_VALUE"""),"4月			")</f>
        <v>4月			</v>
      </c>
      <c r="AU81" s="191"/>
      <c r="AV81" s="191"/>
      <c r="AW81" s="192"/>
      <c r="AX81" s="193" t="str">
        <f>IFERROR(__xludf.DUMMYFUNCTION("""COMPUTED_VALUE"""),"3月")</f>
        <v>3月</v>
      </c>
      <c r="AY81" s="194"/>
      <c r="AZ81" s="194"/>
      <c r="BA81" s="195"/>
      <c r="BB81" s="196" t="str">
        <f>IFERROR(__xludf.DUMMYFUNCTION("""COMPUTED_VALUE"""),"2月")</f>
        <v>2月</v>
      </c>
      <c r="BC81" s="197"/>
      <c r="BD81" s="197"/>
      <c r="BE81" s="198"/>
      <c r="BF81" s="199" t="str">
        <f>IFERROR(__xludf.DUMMYFUNCTION("""COMPUTED_VALUE"""),"1月")</f>
        <v>1月</v>
      </c>
      <c r="BG81" s="200"/>
      <c r="BH81" s="200"/>
      <c r="BI81" s="201"/>
      <c r="BJ81" s="79"/>
      <c r="BK81" s="79"/>
      <c r="BL81" s="79"/>
      <c r="BM81" s="79"/>
      <c r="BN81" s="79"/>
      <c r="BO81" s="79"/>
      <c r="BP81" s="79"/>
    </row>
    <row r="82">
      <c r="B82" s="202"/>
      <c r="C82" s="202" t="str">
        <f>IFERROR(__xludf.DUMMYFUNCTION("""COMPUTED_VALUE"""),"打電件数")</f>
        <v>打電件数</v>
      </c>
      <c r="D82" s="202" t="str">
        <f>IFERROR(__xludf.DUMMYFUNCTION("""COMPUTED_VALUE"""),"着電件数")</f>
        <v>着電件数</v>
      </c>
      <c r="E82" s="202" t="str">
        <f>IFERROR(__xludf.DUMMYFUNCTION("""COMPUTED_VALUE"""),"着電率")</f>
        <v>着電率</v>
      </c>
      <c r="F82" s="202" t="str">
        <f>IFERROR(__xludf.DUMMYFUNCTION("""COMPUTED_VALUE"""),"アポ数")</f>
        <v>アポ数</v>
      </c>
      <c r="G82" s="202" t="str">
        <f>IFERROR(__xludf.DUMMYFUNCTION("""COMPUTED_VALUE"""),"アポ率(着電から)")</f>
        <v>アポ率(着電から)</v>
      </c>
      <c r="H82" s="202" t="str">
        <f>IFERROR(__xludf.DUMMYFUNCTION("""COMPUTED_VALUE"""),"LINE誘導数")</f>
        <v>LINE誘導数</v>
      </c>
      <c r="I82" s="202" t="str">
        <f>IFERROR(__xludf.DUMMYFUNCTION("""COMPUTED_VALUE"""),"LINE率(着電から)")</f>
        <v>LINE率(着電から)</v>
      </c>
      <c r="J82" s="202"/>
      <c r="K82" s="202"/>
      <c r="L82" s="202"/>
      <c r="M82" s="202"/>
      <c r="N82" s="202"/>
      <c r="O82" s="202"/>
      <c r="P82" s="202"/>
      <c r="Q82" s="202"/>
      <c r="R82" s="202" t="str">
        <f>IFERROR(__xludf.DUMMYFUNCTION("""COMPUTED_VALUE"""),"打電件数")</f>
        <v>打電件数</v>
      </c>
      <c r="S82" s="202" t="str">
        <f>IFERROR(__xludf.DUMMYFUNCTION("""COMPUTED_VALUE"""),"着電件数")</f>
        <v>着電件数</v>
      </c>
      <c r="T82" s="202" t="str">
        <f>IFERROR(__xludf.DUMMYFUNCTION("""COMPUTED_VALUE"""),"アポ数")</f>
        <v>アポ数</v>
      </c>
      <c r="U82" s="202" t="str">
        <f>IFERROR(__xludf.DUMMYFUNCTION("""COMPUTED_VALUE"""),"LINE誘導数")</f>
        <v>LINE誘導数</v>
      </c>
      <c r="V82" s="202" t="str">
        <f>IFERROR(__xludf.DUMMYFUNCTION("""COMPUTED_VALUE"""),"打電件数")</f>
        <v>打電件数</v>
      </c>
      <c r="W82" s="202" t="str">
        <f>IFERROR(__xludf.DUMMYFUNCTION("""COMPUTED_VALUE"""),"着電件数")</f>
        <v>着電件数</v>
      </c>
      <c r="X82" s="202" t="str">
        <f>IFERROR(__xludf.DUMMYFUNCTION("""COMPUTED_VALUE"""),"アポ数")</f>
        <v>アポ数</v>
      </c>
      <c r="Y82" s="202" t="str">
        <f>IFERROR(__xludf.DUMMYFUNCTION("""COMPUTED_VALUE"""),"LINE誘導数")</f>
        <v>LINE誘導数</v>
      </c>
      <c r="Z82" s="202" t="str">
        <f>IFERROR(__xludf.DUMMYFUNCTION("""COMPUTED_VALUE"""),"打電件数")</f>
        <v>打電件数</v>
      </c>
      <c r="AA82" s="202" t="str">
        <f>IFERROR(__xludf.DUMMYFUNCTION("""COMPUTED_VALUE"""),"着電件数")</f>
        <v>着電件数</v>
      </c>
      <c r="AB82" s="202" t="str">
        <f>IFERROR(__xludf.DUMMYFUNCTION("""COMPUTED_VALUE"""),"アポ数")</f>
        <v>アポ数</v>
      </c>
      <c r="AC82" s="202" t="str">
        <f>IFERROR(__xludf.DUMMYFUNCTION("""COMPUTED_VALUE"""),"LINE誘導数")</f>
        <v>LINE誘導数</v>
      </c>
      <c r="AD82" s="202" t="str">
        <f>IFERROR(__xludf.DUMMYFUNCTION("""COMPUTED_VALUE"""),"打電件数")</f>
        <v>打電件数</v>
      </c>
      <c r="AE82" s="202" t="str">
        <f>IFERROR(__xludf.DUMMYFUNCTION("""COMPUTED_VALUE"""),"着電件数")</f>
        <v>着電件数</v>
      </c>
      <c r="AF82" s="202" t="str">
        <f>IFERROR(__xludf.DUMMYFUNCTION("""COMPUTED_VALUE"""),"アポ数")</f>
        <v>アポ数</v>
      </c>
      <c r="AG82" s="202" t="str">
        <f>IFERROR(__xludf.DUMMYFUNCTION("""COMPUTED_VALUE"""),"LINE誘導数")</f>
        <v>LINE誘導数</v>
      </c>
      <c r="AH82" s="202" t="str">
        <f>IFERROR(__xludf.DUMMYFUNCTION("""COMPUTED_VALUE"""),"打電件数")</f>
        <v>打電件数</v>
      </c>
      <c r="AI82" s="202" t="str">
        <f>IFERROR(__xludf.DUMMYFUNCTION("""COMPUTED_VALUE"""),"着電件数")</f>
        <v>着電件数</v>
      </c>
      <c r="AJ82" s="202" t="str">
        <f>IFERROR(__xludf.DUMMYFUNCTION("""COMPUTED_VALUE"""),"アポ数")</f>
        <v>アポ数</v>
      </c>
      <c r="AK82" s="202" t="str">
        <f>IFERROR(__xludf.DUMMYFUNCTION("""COMPUTED_VALUE"""),"LINE誘導数")</f>
        <v>LINE誘導数</v>
      </c>
      <c r="AL82" s="202" t="str">
        <f>IFERROR(__xludf.DUMMYFUNCTION("""COMPUTED_VALUE"""),"打電件数")</f>
        <v>打電件数</v>
      </c>
      <c r="AM82" s="202" t="str">
        <f>IFERROR(__xludf.DUMMYFUNCTION("""COMPUTED_VALUE"""),"着電件数")</f>
        <v>着電件数</v>
      </c>
      <c r="AN82" s="202" t="str">
        <f>IFERROR(__xludf.DUMMYFUNCTION("""COMPUTED_VALUE"""),"アポ数")</f>
        <v>アポ数</v>
      </c>
      <c r="AO82" s="202" t="str">
        <f>IFERROR(__xludf.DUMMYFUNCTION("""COMPUTED_VALUE"""),"LINE誘導数")</f>
        <v>LINE誘導数</v>
      </c>
      <c r="AP82" s="202" t="str">
        <f>IFERROR(__xludf.DUMMYFUNCTION("""COMPUTED_VALUE"""),"打電件数")</f>
        <v>打電件数</v>
      </c>
      <c r="AQ82" s="202" t="str">
        <f>IFERROR(__xludf.DUMMYFUNCTION("""COMPUTED_VALUE"""),"着電件数")</f>
        <v>着電件数</v>
      </c>
      <c r="AR82" s="202" t="str">
        <f>IFERROR(__xludf.DUMMYFUNCTION("""COMPUTED_VALUE"""),"アポ数")</f>
        <v>アポ数</v>
      </c>
      <c r="AS82" s="202" t="str">
        <f>IFERROR(__xludf.DUMMYFUNCTION("""COMPUTED_VALUE"""),"LINE誘導数")</f>
        <v>LINE誘導数</v>
      </c>
      <c r="AT82" s="202" t="str">
        <f>IFERROR(__xludf.DUMMYFUNCTION("""COMPUTED_VALUE"""),"打電件数")</f>
        <v>打電件数</v>
      </c>
      <c r="AU82" s="202" t="str">
        <f>IFERROR(__xludf.DUMMYFUNCTION("""COMPUTED_VALUE"""),"着電件数")</f>
        <v>着電件数</v>
      </c>
      <c r="AV82" s="202" t="str">
        <f>IFERROR(__xludf.DUMMYFUNCTION("""COMPUTED_VALUE"""),"アポ数")</f>
        <v>アポ数</v>
      </c>
      <c r="AW82" s="203" t="str">
        <f>IFERROR(__xludf.DUMMYFUNCTION("""COMPUTED_VALUE"""),"LINE誘導数")</f>
        <v>LINE誘導数</v>
      </c>
      <c r="AX82" s="204" t="str">
        <f>IFERROR(__xludf.DUMMYFUNCTION("""COMPUTED_VALUE"""),"打電件数")</f>
        <v>打電件数</v>
      </c>
      <c r="AY82" s="204" t="str">
        <f>IFERROR(__xludf.DUMMYFUNCTION("""COMPUTED_VALUE"""),"着電件数")</f>
        <v>着電件数</v>
      </c>
      <c r="AZ82" s="204" t="str">
        <f>IFERROR(__xludf.DUMMYFUNCTION("""COMPUTED_VALUE"""),"アポ数")</f>
        <v>アポ数</v>
      </c>
      <c r="BA82" s="205" t="str">
        <f>IFERROR(__xludf.DUMMYFUNCTION("""COMPUTED_VALUE"""),"LINE誘導数")</f>
        <v>LINE誘導数</v>
      </c>
      <c r="BB82" s="202" t="str">
        <f>IFERROR(__xludf.DUMMYFUNCTION("""COMPUTED_VALUE"""),"打電件数")</f>
        <v>打電件数</v>
      </c>
      <c r="BC82" s="202" t="str">
        <f>IFERROR(__xludf.DUMMYFUNCTION("""COMPUTED_VALUE"""),"着電件数")</f>
        <v>着電件数</v>
      </c>
      <c r="BD82" s="202" t="str">
        <f>IFERROR(__xludf.DUMMYFUNCTION("""COMPUTED_VALUE"""),"アポ数")</f>
        <v>アポ数</v>
      </c>
      <c r="BE82" s="202" t="str">
        <f>IFERROR(__xludf.DUMMYFUNCTION("""COMPUTED_VALUE"""),"LINE誘導数")</f>
        <v>LINE誘導数</v>
      </c>
      <c r="BF82" s="202" t="str">
        <f>IFERROR(__xludf.DUMMYFUNCTION("""COMPUTED_VALUE"""),"打電件数")</f>
        <v>打電件数</v>
      </c>
      <c r="BG82" s="202" t="str">
        <f>IFERROR(__xludf.DUMMYFUNCTION("""COMPUTED_VALUE"""),"着電件数")</f>
        <v>着電件数</v>
      </c>
      <c r="BH82" s="202" t="str">
        <f>IFERROR(__xludf.DUMMYFUNCTION("""COMPUTED_VALUE"""),"アポ数")</f>
        <v>アポ数</v>
      </c>
      <c r="BI82" s="202" t="str">
        <f>IFERROR(__xludf.DUMMYFUNCTION("""COMPUTED_VALUE"""),"LINE誘導数")</f>
        <v>LINE誘導数</v>
      </c>
    </row>
    <row r="83">
      <c r="A83" s="145"/>
      <c r="B83" s="206" t="str">
        <f>IFERROR(__xludf.DUMMYFUNCTION("""COMPUTED_VALUE"""),"TOTAL")</f>
        <v>TOTAL</v>
      </c>
      <c r="C83" s="206">
        <f>IFERROR(__xludf.DUMMYFUNCTION("""COMPUTED_VALUE"""),894114.0)</f>
        <v>894114</v>
      </c>
      <c r="D83" s="206">
        <f>IFERROR(__xludf.DUMMYFUNCTION("""COMPUTED_VALUE"""),61759.0)</f>
        <v>61759</v>
      </c>
      <c r="E83" s="207">
        <f>IFERROR(__xludf.DUMMYFUNCTION("""COMPUTED_VALUE"""),0.06907284753398336)</f>
        <v>0.06907284753</v>
      </c>
      <c r="F83" s="206">
        <f>IFERROR(__xludf.DUMMYFUNCTION("""COMPUTED_VALUE"""),1958.0)</f>
        <v>1958</v>
      </c>
      <c r="G83" s="207">
        <f>IFERROR(__xludf.DUMMYFUNCTION("""COMPUTED_VALUE"""),0.03170388121569326)</f>
        <v>0.03170388122</v>
      </c>
      <c r="H83" s="206">
        <f>IFERROR(__xludf.DUMMYFUNCTION("""COMPUTED_VALUE"""),2557.0)</f>
        <v>2557</v>
      </c>
      <c r="I83" s="207">
        <f>IFERROR(__xludf.DUMMYFUNCTION("""COMPUTED_VALUE"""),0.0414028724558364)</f>
        <v>0.04140287246</v>
      </c>
      <c r="J83" s="208"/>
      <c r="K83" s="208"/>
      <c r="L83" s="208"/>
      <c r="M83" s="208"/>
      <c r="N83" s="209"/>
      <c r="O83" s="209"/>
      <c r="P83" s="209"/>
      <c r="Q83" s="209"/>
      <c r="R83" s="210">
        <f>IFERROR(__xludf.DUMMYFUNCTION("""COMPUTED_VALUE"""),10398.0)</f>
        <v>10398</v>
      </c>
      <c r="S83" s="210">
        <f>IFERROR(__xludf.DUMMYFUNCTION("""COMPUTED_VALUE"""),1209.0)</f>
        <v>1209</v>
      </c>
      <c r="T83" s="210">
        <f>IFERROR(__xludf.DUMMYFUNCTION("""COMPUTED_VALUE"""),47.0)</f>
        <v>47</v>
      </c>
      <c r="U83" s="210">
        <f>IFERROR(__xludf.DUMMYFUNCTION("""COMPUTED_VALUE"""),38.0)</f>
        <v>38</v>
      </c>
      <c r="V83" s="211">
        <f>IFERROR(__xludf.DUMMYFUNCTION("""COMPUTED_VALUE"""),10579.0)</f>
        <v>10579</v>
      </c>
      <c r="W83" s="211">
        <f>IFERROR(__xludf.DUMMYFUNCTION("""COMPUTED_VALUE"""),1716.0)</f>
        <v>1716</v>
      </c>
      <c r="X83" s="211">
        <f>IFERROR(__xludf.DUMMYFUNCTION("""COMPUTED_VALUE"""),56.0)</f>
        <v>56</v>
      </c>
      <c r="Y83" s="211">
        <f>IFERROR(__xludf.DUMMYFUNCTION("""COMPUTED_VALUE"""),23.0)</f>
        <v>23</v>
      </c>
      <c r="Z83" s="212">
        <f>IFERROR(__xludf.DUMMYFUNCTION("""COMPUTED_VALUE"""),12471.0)</f>
        <v>12471</v>
      </c>
      <c r="AA83" s="212">
        <f>IFERROR(__xludf.DUMMYFUNCTION("""COMPUTED_VALUE"""),665.0)</f>
        <v>665</v>
      </c>
      <c r="AB83" s="212">
        <f>IFERROR(__xludf.DUMMYFUNCTION("""COMPUTED_VALUE"""),11.0)</f>
        <v>11</v>
      </c>
      <c r="AC83" s="212">
        <f>IFERROR(__xludf.DUMMYFUNCTION("""COMPUTED_VALUE"""),13.0)</f>
        <v>13</v>
      </c>
      <c r="AD83" s="213">
        <f>IFERROR(__xludf.DUMMYFUNCTION("""COMPUTED_VALUE"""),9829.0)</f>
        <v>9829</v>
      </c>
      <c r="AE83" s="213">
        <f>IFERROR(__xludf.DUMMYFUNCTION("""COMPUTED_VALUE"""),3754.0)</f>
        <v>3754</v>
      </c>
      <c r="AF83" s="213">
        <f>IFERROR(__xludf.DUMMYFUNCTION("""COMPUTED_VALUE"""),12.0)</f>
        <v>12</v>
      </c>
      <c r="AG83" s="213">
        <f>IFERROR(__xludf.DUMMYFUNCTION("""COMPUTED_VALUE"""),41.0)</f>
        <v>41</v>
      </c>
      <c r="AH83" s="214">
        <f>IFERROR(__xludf.DUMMYFUNCTION("""COMPUTED_VALUE"""),100011.0)</f>
        <v>100011</v>
      </c>
      <c r="AI83" s="214">
        <f>IFERROR(__xludf.DUMMYFUNCTION("""COMPUTED_VALUE"""),3839.0)</f>
        <v>3839</v>
      </c>
      <c r="AJ83" s="214">
        <f>IFERROR(__xludf.DUMMYFUNCTION("""COMPUTED_VALUE"""),49.0)</f>
        <v>49</v>
      </c>
      <c r="AK83" s="214">
        <f>IFERROR(__xludf.DUMMYFUNCTION("""COMPUTED_VALUE"""),50.0)</f>
        <v>50</v>
      </c>
      <c r="AL83" s="210">
        <f>IFERROR(__xludf.DUMMYFUNCTION("""COMPUTED_VALUE"""),191066.0)</f>
        <v>191066</v>
      </c>
      <c r="AM83" s="210">
        <f>IFERROR(__xludf.DUMMYFUNCTION("""COMPUTED_VALUE"""),7980.0)</f>
        <v>7980</v>
      </c>
      <c r="AN83" s="210">
        <f>IFERROR(__xludf.DUMMYFUNCTION("""COMPUTED_VALUE"""),189.0)</f>
        <v>189</v>
      </c>
      <c r="AO83" s="210">
        <f>IFERROR(__xludf.DUMMYFUNCTION("""COMPUTED_VALUE"""),200.0)</f>
        <v>200</v>
      </c>
      <c r="AP83" s="212">
        <f>IFERROR(__xludf.DUMMYFUNCTION("""COMPUTED_VALUE"""),151838.0)</f>
        <v>151838</v>
      </c>
      <c r="AQ83" s="212">
        <f>IFERROR(__xludf.DUMMYFUNCTION("""COMPUTED_VALUE"""),5321.0)</f>
        <v>5321</v>
      </c>
      <c r="AR83" s="212">
        <f>IFERROR(__xludf.DUMMYFUNCTION("""COMPUTED_VALUE"""),118.0)</f>
        <v>118</v>
      </c>
      <c r="AS83" s="212">
        <f>IFERROR(__xludf.DUMMYFUNCTION("""COMPUTED_VALUE"""),125.0)</f>
        <v>125</v>
      </c>
      <c r="AT83" s="215">
        <f>IFERROR(__xludf.DUMMYFUNCTION("""COMPUTED_VALUE"""),95781.0)</f>
        <v>95781</v>
      </c>
      <c r="AU83" s="215">
        <f>IFERROR(__xludf.DUMMYFUNCTION("""COMPUTED_VALUE"""),4488.0)</f>
        <v>4488</v>
      </c>
      <c r="AV83" s="215">
        <f>IFERROR(__xludf.DUMMYFUNCTION("""COMPUTED_VALUE"""),201.0)</f>
        <v>201</v>
      </c>
      <c r="AW83" s="216">
        <f>IFERROR(__xludf.DUMMYFUNCTION("""COMPUTED_VALUE"""),269.0)</f>
        <v>269</v>
      </c>
      <c r="AX83" s="217">
        <f>IFERROR(__xludf.DUMMYFUNCTION("""COMPUTED_VALUE"""),63823.0)</f>
        <v>63823</v>
      </c>
      <c r="AY83" s="217">
        <f>IFERROR(__xludf.DUMMYFUNCTION("""COMPUTED_VALUE"""),4040.0)</f>
        <v>4040</v>
      </c>
      <c r="AZ83" s="217">
        <f>IFERROR(__xludf.DUMMYFUNCTION("""COMPUTED_VALUE"""),149.0)</f>
        <v>149</v>
      </c>
      <c r="BA83" s="218">
        <f>IFERROR(__xludf.DUMMYFUNCTION("""COMPUTED_VALUE"""),207.0)</f>
        <v>207</v>
      </c>
      <c r="BB83" s="213">
        <f>IFERROR(__xludf.DUMMYFUNCTION("""COMPUTED_VALUE"""),48435.0)</f>
        <v>48435</v>
      </c>
      <c r="BC83" s="213">
        <f>IFERROR(__xludf.DUMMYFUNCTION("""COMPUTED_VALUE"""),5039.0)</f>
        <v>5039</v>
      </c>
      <c r="BD83" s="213">
        <f>IFERROR(__xludf.DUMMYFUNCTION("""COMPUTED_VALUE"""),111.0)</f>
        <v>111</v>
      </c>
      <c r="BE83" s="213">
        <f>IFERROR(__xludf.DUMMYFUNCTION("""COMPUTED_VALUE"""),223.0)</f>
        <v>223</v>
      </c>
      <c r="BF83" s="208">
        <f>IFERROR(__xludf.DUMMYFUNCTION("""COMPUTED_VALUE"""),31156.0)</f>
        <v>31156</v>
      </c>
      <c r="BG83" s="208">
        <f>IFERROR(__xludf.DUMMYFUNCTION("""COMPUTED_VALUE"""),3724.0)</f>
        <v>3724</v>
      </c>
      <c r="BH83" s="208">
        <f>IFERROR(__xludf.DUMMYFUNCTION("""COMPUTED_VALUE"""),141.0)</f>
        <v>141</v>
      </c>
      <c r="BI83" s="208">
        <f>IFERROR(__xludf.DUMMYFUNCTION("""COMPUTED_VALUE"""),213.0)</f>
        <v>213</v>
      </c>
      <c r="BJ83" s="145"/>
      <c r="BK83" s="145"/>
      <c r="BL83" s="145"/>
      <c r="BM83" s="145"/>
      <c r="BN83" s="145"/>
      <c r="BO83" s="145"/>
      <c r="BP83" s="145"/>
    </row>
    <row r="84">
      <c r="B84" s="202" t="str">
        <f>IFERROR(__xludf.DUMMYFUNCTION("""COMPUTED_VALUE"""),"木村")</f>
        <v>木村</v>
      </c>
      <c r="C84" s="202">
        <f>IFERROR(__xludf.DUMMYFUNCTION("""COMPUTED_VALUE"""),1427.0)</f>
        <v>1427</v>
      </c>
      <c r="D84" s="202">
        <f>IFERROR(__xludf.DUMMYFUNCTION("""COMPUTED_VALUE"""),298.0)</f>
        <v>298</v>
      </c>
      <c r="E84" s="219">
        <f>IFERROR(__xludf.DUMMYFUNCTION("""COMPUTED_VALUE"""),0.20882971268395234)</f>
        <v>0.2088297127</v>
      </c>
      <c r="F84" s="202">
        <f>IFERROR(__xludf.DUMMYFUNCTION("""COMPUTED_VALUE"""),17.0)</f>
        <v>17</v>
      </c>
      <c r="G84" s="219">
        <f>IFERROR(__xludf.DUMMYFUNCTION("""COMPUTED_VALUE"""),0.05704697986577181)</f>
        <v>0.05704697987</v>
      </c>
      <c r="H84" s="202">
        <f>IFERROR(__xludf.DUMMYFUNCTION("""COMPUTED_VALUE"""),1.0)</f>
        <v>1</v>
      </c>
      <c r="I84" s="219">
        <f>IFERROR(__xludf.DUMMYFUNCTION("""COMPUTED_VALUE"""),0.003355704697986577)</f>
        <v>0.003355704698</v>
      </c>
      <c r="J84" s="202"/>
      <c r="K84" s="202"/>
      <c r="L84" s="202"/>
      <c r="M84" s="202"/>
      <c r="N84" s="202"/>
      <c r="O84" s="202"/>
      <c r="P84" s="202"/>
      <c r="Q84" s="202"/>
      <c r="R84" s="202"/>
      <c r="S84" s="202"/>
      <c r="T84" s="202"/>
      <c r="U84" s="202"/>
      <c r="V84" s="202"/>
      <c r="W84" s="202"/>
      <c r="X84" s="202"/>
      <c r="Y84" s="202"/>
      <c r="Z84" s="202"/>
      <c r="AA84" s="202"/>
      <c r="AB84" s="202"/>
      <c r="AC84" s="202"/>
      <c r="AD84" s="202"/>
      <c r="AE84" s="202"/>
      <c r="AF84" s="202"/>
      <c r="AG84" s="202"/>
      <c r="AH84" s="202"/>
      <c r="AI84" s="202"/>
      <c r="AJ84" s="202"/>
      <c r="AK84" s="202"/>
      <c r="AL84" s="202"/>
      <c r="AM84" s="202"/>
      <c r="AN84" s="202"/>
      <c r="AO84" s="202"/>
      <c r="AP84" s="202"/>
      <c r="AQ84" s="202"/>
      <c r="AR84" s="202"/>
      <c r="AS84" s="202"/>
      <c r="AT84" s="202"/>
      <c r="AU84" s="202"/>
      <c r="AV84" s="202"/>
      <c r="AW84" s="203"/>
      <c r="AX84" s="204"/>
      <c r="AY84" s="204"/>
      <c r="AZ84" s="204"/>
      <c r="BA84" s="205"/>
      <c r="BB84" s="202"/>
      <c r="BC84" s="202"/>
      <c r="BD84" s="202"/>
      <c r="BE84" s="202"/>
      <c r="BF84" s="202"/>
      <c r="BG84" s="202"/>
      <c r="BH84" s="202"/>
      <c r="BI84" s="202"/>
    </row>
    <row r="85">
      <c r="B85" s="220" t="str">
        <f>IFERROR(__xludf.DUMMYFUNCTION("""COMPUTED_VALUE"""),"あり")</f>
        <v>あり</v>
      </c>
      <c r="C85" s="220">
        <f>IFERROR(__xludf.DUMMYFUNCTION("""COMPUTED_VALUE"""),117562.0)</f>
        <v>117562</v>
      </c>
      <c r="D85" s="220">
        <f>IFERROR(__xludf.DUMMYFUNCTION("""COMPUTED_VALUE"""),9214.0)</f>
        <v>9214</v>
      </c>
      <c r="E85" s="221">
        <f>IFERROR(__xludf.DUMMYFUNCTION("""COMPUTED_VALUE"""),0.07837566560623331)</f>
        <v>0.07837566561</v>
      </c>
      <c r="F85" s="220">
        <f>IFERROR(__xludf.DUMMYFUNCTION("""COMPUTED_VALUE"""),391.0)</f>
        <v>391</v>
      </c>
      <c r="G85" s="221">
        <f>IFERROR(__xludf.DUMMYFUNCTION("""COMPUTED_VALUE"""),0.042435424354243544)</f>
        <v>0.04243542435</v>
      </c>
      <c r="H85" s="220">
        <f>IFERROR(__xludf.DUMMYFUNCTION("""COMPUTED_VALUE"""),499.0)</f>
        <v>499</v>
      </c>
      <c r="I85" s="221">
        <f>IFERROR(__xludf.DUMMYFUNCTION("""COMPUTED_VALUE"""),0.054156718037768614)</f>
        <v>0.05415671804</v>
      </c>
      <c r="J85" s="222"/>
      <c r="K85" s="222"/>
      <c r="L85" s="222"/>
      <c r="M85" s="222"/>
      <c r="N85" s="223"/>
      <c r="O85" s="223"/>
      <c r="P85" s="223"/>
      <c r="Q85" s="223"/>
      <c r="R85" s="224">
        <f>IFERROR(__xludf.DUMMYFUNCTION("""COMPUTED_VALUE"""),1794.0)</f>
        <v>1794</v>
      </c>
      <c r="S85" s="224">
        <f>IFERROR(__xludf.DUMMYFUNCTION("""COMPUTED_VALUE"""),204.0)</f>
        <v>204</v>
      </c>
      <c r="T85" s="224">
        <f>IFERROR(__xludf.DUMMYFUNCTION("""COMPUTED_VALUE"""),6.0)</f>
        <v>6</v>
      </c>
      <c r="U85" s="224">
        <f>IFERROR(__xludf.DUMMYFUNCTION("""COMPUTED_VALUE"""),5.0)</f>
        <v>5</v>
      </c>
      <c r="V85" s="225">
        <f>IFERROR(__xludf.DUMMYFUNCTION("""COMPUTED_VALUE"""),1182.0)</f>
        <v>1182</v>
      </c>
      <c r="W85" s="225">
        <f>IFERROR(__xludf.DUMMYFUNCTION("""COMPUTED_VALUE"""),210.0)</f>
        <v>210</v>
      </c>
      <c r="X85" s="225">
        <f>IFERROR(__xludf.DUMMYFUNCTION("""COMPUTED_VALUE"""),6.0)</f>
        <v>6</v>
      </c>
      <c r="Y85" s="225">
        <f>IFERROR(__xludf.DUMMYFUNCTION("""COMPUTED_VALUE"""),8.0)</f>
        <v>8</v>
      </c>
      <c r="Z85" s="226">
        <f>IFERROR(__xludf.DUMMYFUNCTION("""COMPUTED_VALUE"""),1094.0)</f>
        <v>1094</v>
      </c>
      <c r="AA85" s="226">
        <f>IFERROR(__xludf.DUMMYFUNCTION("""COMPUTED_VALUE"""),149.0)</f>
        <v>149</v>
      </c>
      <c r="AB85" s="226">
        <f>IFERROR(__xludf.DUMMYFUNCTION("""COMPUTED_VALUE"""),7.0)</f>
        <v>7</v>
      </c>
      <c r="AC85" s="226">
        <f>IFERROR(__xludf.DUMMYFUNCTION("""COMPUTED_VALUE"""),7.0)</f>
        <v>7</v>
      </c>
      <c r="AD85" s="227">
        <f>IFERROR(__xludf.DUMMYFUNCTION("""COMPUTED_VALUE"""),3044.0)</f>
        <v>3044</v>
      </c>
      <c r="AE85" s="227">
        <f>IFERROR(__xludf.DUMMYFUNCTION("""COMPUTED_VALUE"""),1118.0)</f>
        <v>1118</v>
      </c>
      <c r="AF85" s="227">
        <f>IFERROR(__xludf.DUMMYFUNCTION("""COMPUTED_VALUE"""),5.0)</f>
        <v>5</v>
      </c>
      <c r="AG85" s="227">
        <f>IFERROR(__xludf.DUMMYFUNCTION("""COMPUTED_VALUE"""),25.0)</f>
        <v>25</v>
      </c>
      <c r="AH85" s="228">
        <f>IFERROR(__xludf.DUMMYFUNCTION("""COMPUTED_VALUE"""),11762.0)</f>
        <v>11762</v>
      </c>
      <c r="AI85" s="228">
        <f>IFERROR(__xludf.DUMMYFUNCTION("""COMPUTED_VALUE"""),431.0)</f>
        <v>431</v>
      </c>
      <c r="AJ85" s="228">
        <f>IFERROR(__xludf.DUMMYFUNCTION("""COMPUTED_VALUE"""),15.0)</f>
        <v>15</v>
      </c>
      <c r="AK85" s="228">
        <f>IFERROR(__xludf.DUMMYFUNCTION("""COMPUTED_VALUE"""),14.0)</f>
        <v>14</v>
      </c>
      <c r="AL85" s="224">
        <f>IFERROR(__xludf.DUMMYFUNCTION("""COMPUTED_VALUE"""),25723.0)</f>
        <v>25723</v>
      </c>
      <c r="AM85" s="224">
        <f>IFERROR(__xludf.DUMMYFUNCTION("""COMPUTED_VALUE"""),956.0)</f>
        <v>956</v>
      </c>
      <c r="AN85" s="224">
        <f>IFERROR(__xludf.DUMMYFUNCTION("""COMPUTED_VALUE"""),41.0)</f>
        <v>41</v>
      </c>
      <c r="AO85" s="224">
        <f>IFERROR(__xludf.DUMMYFUNCTION("""COMPUTED_VALUE"""),42.0)</f>
        <v>42</v>
      </c>
      <c r="AP85" s="226">
        <f>IFERROR(__xludf.DUMMYFUNCTION("""COMPUTED_VALUE"""),21361.0)</f>
        <v>21361</v>
      </c>
      <c r="AQ85" s="226">
        <f>IFERROR(__xludf.DUMMYFUNCTION("""COMPUTED_VALUE"""),690.0)</f>
        <v>690</v>
      </c>
      <c r="AR85" s="226">
        <f>IFERROR(__xludf.DUMMYFUNCTION("""COMPUTED_VALUE"""),43.0)</f>
        <v>43</v>
      </c>
      <c r="AS85" s="226">
        <f>IFERROR(__xludf.DUMMYFUNCTION("""COMPUTED_VALUE"""),43.0)</f>
        <v>43</v>
      </c>
      <c r="AT85" s="229">
        <f>IFERROR(__xludf.DUMMYFUNCTION("""COMPUTED_VALUE"""),7611.0)</f>
        <v>7611</v>
      </c>
      <c r="AU85" s="229">
        <f>IFERROR(__xludf.DUMMYFUNCTION("""COMPUTED_VALUE"""),554.0)</f>
        <v>554</v>
      </c>
      <c r="AV85" s="229">
        <f>IFERROR(__xludf.DUMMYFUNCTION("""COMPUTED_VALUE"""),36.0)</f>
        <v>36</v>
      </c>
      <c r="AW85" s="230">
        <f>IFERROR(__xludf.DUMMYFUNCTION("""COMPUTED_VALUE"""),42.0)</f>
        <v>42</v>
      </c>
      <c r="AX85" s="231">
        <f>IFERROR(__xludf.DUMMYFUNCTION("""COMPUTED_VALUE"""),8868.0)</f>
        <v>8868</v>
      </c>
      <c r="AY85" s="231">
        <f>IFERROR(__xludf.DUMMYFUNCTION("""COMPUTED_VALUE"""),529.0)</f>
        <v>529</v>
      </c>
      <c r="AZ85" s="231">
        <f>IFERROR(__xludf.DUMMYFUNCTION("""COMPUTED_VALUE"""),25.0)</f>
        <v>25</v>
      </c>
      <c r="BA85" s="232">
        <f>IFERROR(__xludf.DUMMYFUNCTION("""COMPUTED_VALUE"""),30.0)</f>
        <v>30</v>
      </c>
      <c r="BB85" s="227">
        <f>IFERROR(__xludf.DUMMYFUNCTION("""COMPUTED_VALUE"""),6021.0)</f>
        <v>6021</v>
      </c>
      <c r="BC85" s="227">
        <f>IFERROR(__xludf.DUMMYFUNCTION("""COMPUTED_VALUE"""),646.0)</f>
        <v>646</v>
      </c>
      <c r="BD85" s="227">
        <f>IFERROR(__xludf.DUMMYFUNCTION("""COMPUTED_VALUE"""),13.0)</f>
        <v>13</v>
      </c>
      <c r="BE85" s="227">
        <f>IFERROR(__xludf.DUMMYFUNCTION("""COMPUTED_VALUE"""),31.0)</f>
        <v>31</v>
      </c>
      <c r="BF85" s="222">
        <f>IFERROR(__xludf.DUMMYFUNCTION("""COMPUTED_VALUE"""),3723.0)</f>
        <v>3723</v>
      </c>
      <c r="BG85" s="222">
        <f>IFERROR(__xludf.DUMMYFUNCTION("""COMPUTED_VALUE"""),447.0)</f>
        <v>447</v>
      </c>
      <c r="BH85" s="222">
        <f>IFERROR(__xludf.DUMMYFUNCTION("""COMPUTED_VALUE"""),23.0)</f>
        <v>23</v>
      </c>
      <c r="BI85" s="222">
        <f>IFERROR(__xludf.DUMMYFUNCTION("""COMPUTED_VALUE"""),33.0)</f>
        <v>33</v>
      </c>
    </row>
    <row r="86">
      <c r="B86" s="202" t="str">
        <f>IFERROR(__xludf.DUMMYFUNCTION("""COMPUTED_VALUE"""),"太田")</f>
        <v>太田</v>
      </c>
      <c r="C86" s="202">
        <f>IFERROR(__xludf.DUMMYFUNCTION("""COMPUTED_VALUE"""),117663.0)</f>
        <v>117663</v>
      </c>
      <c r="D86" s="202">
        <f>IFERROR(__xludf.DUMMYFUNCTION("""COMPUTED_VALUE"""),8131.0)</f>
        <v>8131</v>
      </c>
      <c r="E86" s="219">
        <f>IFERROR(__xludf.DUMMYFUNCTION("""COMPUTED_VALUE"""),0.06910413638951922)</f>
        <v>0.06910413639</v>
      </c>
      <c r="F86" s="202">
        <f>IFERROR(__xludf.DUMMYFUNCTION("""COMPUTED_VALUE"""),392.0)</f>
        <v>392</v>
      </c>
      <c r="G86" s="219">
        <f>IFERROR(__xludf.DUMMYFUNCTION("""COMPUTED_VALUE"""),0.04821055220760054)</f>
        <v>0.04821055221</v>
      </c>
      <c r="H86" s="202">
        <f>IFERROR(__xludf.DUMMYFUNCTION("""COMPUTED_VALUE"""),458.0)</f>
        <v>458</v>
      </c>
      <c r="I86" s="219">
        <f>IFERROR(__xludf.DUMMYFUNCTION("""COMPUTED_VALUE"""),0.05632763497724757)</f>
        <v>0.05632763498</v>
      </c>
      <c r="J86" s="202"/>
      <c r="K86" s="202"/>
      <c r="L86" s="202"/>
      <c r="M86" s="202"/>
      <c r="N86" s="202"/>
      <c r="O86" s="202"/>
      <c r="P86" s="202"/>
      <c r="Q86" s="202"/>
      <c r="R86" s="202">
        <f>IFERROR(__xludf.DUMMYFUNCTION("""COMPUTED_VALUE"""),3436.0)</f>
        <v>3436</v>
      </c>
      <c r="S86" s="202">
        <f>IFERROR(__xludf.DUMMYFUNCTION("""COMPUTED_VALUE"""),390.0)</f>
        <v>390</v>
      </c>
      <c r="T86" s="202">
        <f>IFERROR(__xludf.DUMMYFUNCTION("""COMPUTED_VALUE"""),9.0)</f>
        <v>9</v>
      </c>
      <c r="U86" s="202">
        <f>IFERROR(__xludf.DUMMYFUNCTION("""COMPUTED_VALUE"""),11.0)</f>
        <v>11</v>
      </c>
      <c r="V86" s="202">
        <f>IFERROR(__xludf.DUMMYFUNCTION("""COMPUTED_VALUE"""),3394.0)</f>
        <v>3394</v>
      </c>
      <c r="W86" s="202">
        <f>IFERROR(__xludf.DUMMYFUNCTION("""COMPUTED_VALUE"""),397.0)</f>
        <v>397</v>
      </c>
      <c r="X86" s="202">
        <f>IFERROR(__xludf.DUMMYFUNCTION("""COMPUTED_VALUE"""),5.0)</f>
        <v>5</v>
      </c>
      <c r="Y86" s="202">
        <f>IFERROR(__xludf.DUMMYFUNCTION("""COMPUTED_VALUE"""),8.0)</f>
        <v>8</v>
      </c>
      <c r="Z86" s="202">
        <f>IFERROR(__xludf.DUMMYFUNCTION("""COMPUTED_VALUE"""),4103.0)</f>
        <v>4103</v>
      </c>
      <c r="AA86" s="202">
        <f>IFERROR(__xludf.DUMMYFUNCTION("""COMPUTED_VALUE"""),61.0)</f>
        <v>61</v>
      </c>
      <c r="AB86" s="202">
        <f>IFERROR(__xludf.DUMMYFUNCTION("""COMPUTED_VALUE"""),4.0)</f>
        <v>4</v>
      </c>
      <c r="AC86" s="202">
        <f>IFERROR(__xludf.DUMMYFUNCTION("""COMPUTED_VALUE"""),4.0)</f>
        <v>4</v>
      </c>
      <c r="AD86" s="202">
        <f>IFERROR(__xludf.DUMMYFUNCTION("""COMPUTED_VALUE"""),0.0)</f>
        <v>0</v>
      </c>
      <c r="AE86" s="202">
        <f>IFERROR(__xludf.DUMMYFUNCTION("""COMPUTED_VALUE"""),0.0)</f>
        <v>0</v>
      </c>
      <c r="AF86" s="202">
        <f>IFERROR(__xludf.DUMMYFUNCTION("""COMPUTED_VALUE"""),0.0)</f>
        <v>0</v>
      </c>
      <c r="AG86" s="202">
        <f>IFERROR(__xludf.DUMMYFUNCTION("""COMPUTED_VALUE"""),0.0)</f>
        <v>0</v>
      </c>
      <c r="AH86" s="202">
        <f>IFERROR(__xludf.DUMMYFUNCTION("""COMPUTED_VALUE"""),10213.0)</f>
        <v>10213</v>
      </c>
      <c r="AI86" s="202">
        <f>IFERROR(__xludf.DUMMYFUNCTION("""COMPUTED_VALUE"""),457.0)</f>
        <v>457</v>
      </c>
      <c r="AJ86" s="202">
        <f>IFERROR(__xludf.DUMMYFUNCTION("""COMPUTED_VALUE"""),16.0)</f>
        <v>16</v>
      </c>
      <c r="AK86" s="202">
        <f>IFERROR(__xludf.DUMMYFUNCTION("""COMPUTED_VALUE"""),15.0)</f>
        <v>15</v>
      </c>
      <c r="AL86" s="202">
        <f>IFERROR(__xludf.DUMMYFUNCTION("""COMPUTED_VALUE"""),24830.0)</f>
        <v>24830</v>
      </c>
      <c r="AM86" s="202">
        <f>IFERROR(__xludf.DUMMYFUNCTION("""COMPUTED_VALUE"""),931.0)</f>
        <v>931</v>
      </c>
      <c r="AN86" s="202">
        <f>IFERROR(__xludf.DUMMYFUNCTION("""COMPUTED_VALUE"""),44.0)</f>
        <v>44</v>
      </c>
      <c r="AO86" s="202">
        <f>IFERROR(__xludf.DUMMYFUNCTION("""COMPUTED_VALUE"""),45.0)</f>
        <v>45</v>
      </c>
      <c r="AP86" s="202">
        <f>IFERROR(__xludf.DUMMYFUNCTION("""COMPUTED_VALUE"""),20096.0)</f>
        <v>20096</v>
      </c>
      <c r="AQ86" s="202">
        <f>IFERROR(__xludf.DUMMYFUNCTION("""COMPUTED_VALUE"""),725.0)</f>
        <v>725</v>
      </c>
      <c r="AR86" s="202">
        <f>IFERROR(__xludf.DUMMYFUNCTION("""COMPUTED_VALUE"""),26.0)</f>
        <v>26</v>
      </c>
      <c r="AS86" s="202">
        <f>IFERROR(__xludf.DUMMYFUNCTION("""COMPUTED_VALUE"""),27.0)</f>
        <v>27</v>
      </c>
      <c r="AT86" s="202">
        <f>IFERROR(__xludf.DUMMYFUNCTION("""COMPUTED_VALUE"""),11312.0)</f>
        <v>11312</v>
      </c>
      <c r="AU86" s="202">
        <f>IFERROR(__xludf.DUMMYFUNCTION("""COMPUTED_VALUE"""),435.0)</f>
        <v>435</v>
      </c>
      <c r="AV86" s="202">
        <f>IFERROR(__xludf.DUMMYFUNCTION("""COMPUTED_VALUE"""),39.0)</f>
        <v>39</v>
      </c>
      <c r="AW86" s="203">
        <f>IFERROR(__xludf.DUMMYFUNCTION("""COMPUTED_VALUE"""),49.0)</f>
        <v>49</v>
      </c>
      <c r="AX86" s="204">
        <f>IFERROR(__xludf.DUMMYFUNCTION("""COMPUTED_VALUE"""),7554.0)</f>
        <v>7554</v>
      </c>
      <c r="AY86" s="204">
        <f>IFERROR(__xludf.DUMMYFUNCTION("""COMPUTED_VALUE"""),276.0)</f>
        <v>276</v>
      </c>
      <c r="AZ86" s="204">
        <f>IFERROR(__xludf.DUMMYFUNCTION("""COMPUTED_VALUE"""),28.0)</f>
        <v>28</v>
      </c>
      <c r="BA86" s="205">
        <f>IFERROR(__xludf.DUMMYFUNCTION("""COMPUTED_VALUE"""),27.0)</f>
        <v>27</v>
      </c>
      <c r="BB86" s="202">
        <f>IFERROR(__xludf.DUMMYFUNCTION("""COMPUTED_VALUE"""),6286.0)</f>
        <v>6286</v>
      </c>
      <c r="BC86" s="202">
        <f>IFERROR(__xludf.DUMMYFUNCTION("""COMPUTED_VALUE"""),696.0)</f>
        <v>696</v>
      </c>
      <c r="BD86" s="202">
        <f>IFERROR(__xludf.DUMMYFUNCTION("""COMPUTED_VALUE"""),20.0)</f>
        <v>20</v>
      </c>
      <c r="BE86" s="202">
        <f>IFERROR(__xludf.DUMMYFUNCTION("""COMPUTED_VALUE"""),33.0)</f>
        <v>33</v>
      </c>
      <c r="BF86" s="202">
        <f>IFERROR(__xludf.DUMMYFUNCTION("""COMPUTED_VALUE"""),3430.0)</f>
        <v>3430</v>
      </c>
      <c r="BG86" s="202">
        <f>IFERROR(__xludf.DUMMYFUNCTION("""COMPUTED_VALUE"""),391.0)</f>
        <v>391</v>
      </c>
      <c r="BH86" s="202">
        <f>IFERROR(__xludf.DUMMYFUNCTION("""COMPUTED_VALUE"""),16.0)</f>
        <v>16</v>
      </c>
      <c r="BI86" s="202">
        <f>IFERROR(__xludf.DUMMYFUNCTION("""COMPUTED_VALUE"""),15.0)</f>
        <v>15</v>
      </c>
    </row>
    <row r="87">
      <c r="B87" s="220" t="str">
        <f>IFERROR(__xludf.DUMMYFUNCTION("""COMPUTED_VALUE"""),"高坂")</f>
        <v>高坂</v>
      </c>
      <c r="C87" s="220">
        <f>IFERROR(__xludf.DUMMYFUNCTION("""COMPUTED_VALUE"""),36495.0)</f>
        <v>36495</v>
      </c>
      <c r="D87" s="220">
        <f>IFERROR(__xludf.DUMMYFUNCTION("""COMPUTED_VALUE"""),2732.0)</f>
        <v>2732</v>
      </c>
      <c r="E87" s="221">
        <f>IFERROR(__xludf.DUMMYFUNCTION("""COMPUTED_VALUE"""),0.07485956980408275)</f>
        <v>0.0748595698</v>
      </c>
      <c r="F87" s="220">
        <f>IFERROR(__xludf.DUMMYFUNCTION("""COMPUTED_VALUE"""),103.0)</f>
        <v>103</v>
      </c>
      <c r="G87" s="221">
        <f>IFERROR(__xludf.DUMMYFUNCTION("""COMPUTED_VALUE"""),0.037701317715959005)</f>
        <v>0.03770131772</v>
      </c>
      <c r="H87" s="220">
        <f>IFERROR(__xludf.DUMMYFUNCTION("""COMPUTED_VALUE"""),114.0)</f>
        <v>114</v>
      </c>
      <c r="I87" s="221">
        <f>IFERROR(__xludf.DUMMYFUNCTION("""COMPUTED_VALUE"""),0.04172767203513909)</f>
        <v>0.04172767204</v>
      </c>
      <c r="J87" s="222"/>
      <c r="K87" s="222"/>
      <c r="L87" s="222"/>
      <c r="M87" s="222"/>
      <c r="N87" s="223"/>
      <c r="O87" s="223"/>
      <c r="P87" s="223"/>
      <c r="Q87" s="223"/>
      <c r="R87" s="224">
        <f>IFERROR(__xludf.DUMMYFUNCTION("""COMPUTED_VALUE"""),0.0)</f>
        <v>0</v>
      </c>
      <c r="S87" s="224">
        <f>IFERROR(__xludf.DUMMYFUNCTION("""COMPUTED_VALUE"""),0.0)</f>
        <v>0</v>
      </c>
      <c r="T87" s="224">
        <f>IFERROR(__xludf.DUMMYFUNCTION("""COMPUTED_VALUE"""),0.0)</f>
        <v>0</v>
      </c>
      <c r="U87" s="224">
        <f>IFERROR(__xludf.DUMMYFUNCTION("""COMPUTED_VALUE"""),0.0)</f>
        <v>0</v>
      </c>
      <c r="V87" s="225">
        <f>IFERROR(__xludf.DUMMYFUNCTION("""COMPUTED_VALUE"""),0.0)</f>
        <v>0</v>
      </c>
      <c r="W87" s="225">
        <f>IFERROR(__xludf.DUMMYFUNCTION("""COMPUTED_VALUE"""),0.0)</f>
        <v>0</v>
      </c>
      <c r="X87" s="225">
        <f>IFERROR(__xludf.DUMMYFUNCTION("""COMPUTED_VALUE"""),0.0)</f>
        <v>0</v>
      </c>
      <c r="Y87" s="225">
        <f>IFERROR(__xludf.DUMMYFUNCTION("""COMPUTED_VALUE"""),0.0)</f>
        <v>0</v>
      </c>
      <c r="Z87" s="226">
        <f>IFERROR(__xludf.DUMMYFUNCTION("""COMPUTED_VALUE"""),0.0)</f>
        <v>0</v>
      </c>
      <c r="AA87" s="226">
        <f>IFERROR(__xludf.DUMMYFUNCTION("""COMPUTED_VALUE"""),0.0)</f>
        <v>0</v>
      </c>
      <c r="AB87" s="226">
        <f>IFERROR(__xludf.DUMMYFUNCTION("""COMPUTED_VALUE"""),0.0)</f>
        <v>0</v>
      </c>
      <c r="AC87" s="226">
        <f>IFERROR(__xludf.DUMMYFUNCTION("""COMPUTED_VALUE"""),0.0)</f>
        <v>0</v>
      </c>
      <c r="AD87" s="227">
        <f>IFERROR(__xludf.DUMMYFUNCTION("""COMPUTED_VALUE"""),0.0)</f>
        <v>0</v>
      </c>
      <c r="AE87" s="227">
        <f>IFERROR(__xludf.DUMMYFUNCTION("""COMPUTED_VALUE"""),0.0)</f>
        <v>0</v>
      </c>
      <c r="AF87" s="227">
        <f>IFERROR(__xludf.DUMMYFUNCTION("""COMPUTED_VALUE"""),0.0)</f>
        <v>0</v>
      </c>
      <c r="AG87" s="227">
        <f>IFERROR(__xludf.DUMMYFUNCTION("""COMPUTED_VALUE"""),0.0)</f>
        <v>0</v>
      </c>
      <c r="AH87" s="228">
        <f>IFERROR(__xludf.DUMMYFUNCTION("""COMPUTED_VALUE"""),0.0)</f>
        <v>0</v>
      </c>
      <c r="AI87" s="228">
        <f>IFERROR(__xludf.DUMMYFUNCTION("""COMPUTED_VALUE"""),0.0)</f>
        <v>0</v>
      </c>
      <c r="AJ87" s="228">
        <f>IFERROR(__xludf.DUMMYFUNCTION("""COMPUTED_VALUE"""),0.0)</f>
        <v>0</v>
      </c>
      <c r="AK87" s="228">
        <f>IFERROR(__xludf.DUMMYFUNCTION("""COMPUTED_VALUE"""),0.0)</f>
        <v>0</v>
      </c>
      <c r="AL87" s="224">
        <f>IFERROR(__xludf.DUMMYFUNCTION("""COMPUTED_VALUE"""),0.0)</f>
        <v>0</v>
      </c>
      <c r="AM87" s="224">
        <f>IFERROR(__xludf.DUMMYFUNCTION("""COMPUTED_VALUE"""),0.0)</f>
        <v>0</v>
      </c>
      <c r="AN87" s="224">
        <f>IFERROR(__xludf.DUMMYFUNCTION("""COMPUTED_VALUE"""),0.0)</f>
        <v>0</v>
      </c>
      <c r="AO87" s="224">
        <f>IFERROR(__xludf.DUMMYFUNCTION("""COMPUTED_VALUE"""),0.0)</f>
        <v>0</v>
      </c>
      <c r="AP87" s="226">
        <f>IFERROR(__xludf.DUMMYFUNCTION("""COMPUTED_VALUE"""),0.0)</f>
        <v>0</v>
      </c>
      <c r="AQ87" s="226">
        <f>IFERROR(__xludf.DUMMYFUNCTION("""COMPUTED_VALUE"""),0.0)</f>
        <v>0</v>
      </c>
      <c r="AR87" s="226">
        <f>IFERROR(__xludf.DUMMYFUNCTION("""COMPUTED_VALUE"""),0.0)</f>
        <v>0</v>
      </c>
      <c r="AS87" s="226">
        <f>IFERROR(__xludf.DUMMYFUNCTION("""COMPUTED_VALUE"""),0.0)</f>
        <v>0</v>
      </c>
      <c r="AT87" s="229">
        <f>IFERROR(__xludf.DUMMYFUNCTION("""COMPUTED_VALUE"""),7423.0)</f>
        <v>7423</v>
      </c>
      <c r="AU87" s="229">
        <f>IFERROR(__xludf.DUMMYFUNCTION("""COMPUTED_VALUE"""),245.0)</f>
        <v>245</v>
      </c>
      <c r="AV87" s="229">
        <f>IFERROR(__xludf.DUMMYFUNCTION("""COMPUTED_VALUE"""),5.0)</f>
        <v>5</v>
      </c>
      <c r="AW87" s="230">
        <f>IFERROR(__xludf.DUMMYFUNCTION("""COMPUTED_VALUE"""),7.0)</f>
        <v>7</v>
      </c>
      <c r="AX87" s="231">
        <f>IFERROR(__xludf.DUMMYFUNCTION("""COMPUTED_VALUE"""),5282.0)</f>
        <v>5282</v>
      </c>
      <c r="AY87" s="231">
        <f>IFERROR(__xludf.DUMMYFUNCTION("""COMPUTED_VALUE"""),231.0)</f>
        <v>231</v>
      </c>
      <c r="AZ87" s="231">
        <f>IFERROR(__xludf.DUMMYFUNCTION("""COMPUTED_VALUE"""),14.0)</f>
        <v>14</v>
      </c>
      <c r="BA87" s="232">
        <f>IFERROR(__xludf.DUMMYFUNCTION("""COMPUTED_VALUE"""),19.0)</f>
        <v>19</v>
      </c>
      <c r="BB87" s="227">
        <f>IFERROR(__xludf.DUMMYFUNCTION("""COMPUTED_VALUE"""),5901.0)</f>
        <v>5901</v>
      </c>
      <c r="BC87" s="227">
        <f>IFERROR(__xludf.DUMMYFUNCTION("""COMPUTED_VALUE"""),436.0)</f>
        <v>436</v>
      </c>
      <c r="BD87" s="227">
        <f>IFERROR(__xludf.DUMMYFUNCTION("""COMPUTED_VALUE"""),6.0)</f>
        <v>6</v>
      </c>
      <c r="BE87" s="227">
        <f>IFERROR(__xludf.DUMMYFUNCTION("""COMPUTED_VALUE"""),10.0)</f>
        <v>10</v>
      </c>
      <c r="BF87" s="222">
        <f>IFERROR(__xludf.DUMMYFUNCTION("""COMPUTED_VALUE"""),2248.0)</f>
        <v>2248</v>
      </c>
      <c r="BG87" s="222">
        <f>IFERROR(__xludf.DUMMYFUNCTION("""COMPUTED_VALUE"""),166.0)</f>
        <v>166</v>
      </c>
      <c r="BH87" s="222">
        <f>IFERROR(__xludf.DUMMYFUNCTION("""COMPUTED_VALUE"""),7.0)</f>
        <v>7</v>
      </c>
      <c r="BI87" s="222">
        <f>IFERROR(__xludf.DUMMYFUNCTION("""COMPUTED_VALUE"""),13.0)</f>
        <v>13</v>
      </c>
    </row>
    <row r="88">
      <c r="B88" s="202" t="str">
        <f>IFERROR(__xludf.DUMMYFUNCTION("""COMPUTED_VALUE"""),"ジョナ")</f>
        <v>ジョナ</v>
      </c>
      <c r="C88" s="202">
        <f>IFERROR(__xludf.DUMMYFUNCTION("""COMPUTED_VALUE"""),93438.0)</f>
        <v>93438</v>
      </c>
      <c r="D88" s="202">
        <f>IFERROR(__xludf.DUMMYFUNCTION("""COMPUTED_VALUE"""),5279.0)</f>
        <v>5279</v>
      </c>
      <c r="E88" s="219">
        <f>IFERROR(__xludf.DUMMYFUNCTION("""COMPUTED_VALUE"""),0.05649735653588476)</f>
        <v>0.05649735654</v>
      </c>
      <c r="F88" s="202">
        <f>IFERROR(__xludf.DUMMYFUNCTION("""COMPUTED_VALUE"""),216.0)</f>
        <v>216</v>
      </c>
      <c r="G88" s="219">
        <f>IFERROR(__xludf.DUMMYFUNCTION("""COMPUTED_VALUE"""),0.0409168403106649)</f>
        <v>0.04091684031</v>
      </c>
      <c r="H88" s="202">
        <f>IFERROR(__xludf.DUMMYFUNCTION("""COMPUTED_VALUE"""),270.0)</f>
        <v>270</v>
      </c>
      <c r="I88" s="219">
        <f>IFERROR(__xludf.DUMMYFUNCTION("""COMPUTED_VALUE"""),0.05114605038833112)</f>
        <v>0.05114605039</v>
      </c>
      <c r="J88" s="202"/>
      <c r="K88" s="202"/>
      <c r="L88" s="202"/>
      <c r="M88" s="202"/>
      <c r="N88" s="202"/>
      <c r="O88" s="202"/>
      <c r="P88" s="202"/>
      <c r="Q88" s="202"/>
      <c r="R88" s="202">
        <f>IFERROR(__xludf.DUMMYFUNCTION("""COMPUTED_VALUE"""),0.0)</f>
        <v>0</v>
      </c>
      <c r="S88" s="202">
        <f>IFERROR(__xludf.DUMMYFUNCTION("""COMPUTED_VALUE"""),0.0)</f>
        <v>0</v>
      </c>
      <c r="T88" s="202">
        <f>IFERROR(__xludf.DUMMYFUNCTION("""COMPUTED_VALUE"""),0.0)</f>
        <v>0</v>
      </c>
      <c r="U88" s="202">
        <f>IFERROR(__xludf.DUMMYFUNCTION("""COMPUTED_VALUE"""),0.0)</f>
        <v>0</v>
      </c>
      <c r="V88" s="202">
        <f>IFERROR(__xludf.DUMMYFUNCTION("""COMPUTED_VALUE"""),0.0)</f>
        <v>0</v>
      </c>
      <c r="W88" s="202">
        <f>IFERROR(__xludf.DUMMYFUNCTION("""COMPUTED_VALUE"""),0.0)</f>
        <v>0</v>
      </c>
      <c r="X88" s="202">
        <f>IFERROR(__xludf.DUMMYFUNCTION("""COMPUTED_VALUE"""),0.0)</f>
        <v>0</v>
      </c>
      <c r="Y88" s="202">
        <f>IFERROR(__xludf.DUMMYFUNCTION("""COMPUTED_VALUE"""),0.0)</f>
        <v>0</v>
      </c>
      <c r="Z88" s="202">
        <f>IFERROR(__xludf.DUMMYFUNCTION("""COMPUTED_VALUE"""),0.0)</f>
        <v>0</v>
      </c>
      <c r="AA88" s="202">
        <f>IFERROR(__xludf.DUMMYFUNCTION("""COMPUTED_VALUE"""),0.0)</f>
        <v>0</v>
      </c>
      <c r="AB88" s="202">
        <f>IFERROR(__xludf.DUMMYFUNCTION("""COMPUTED_VALUE"""),0.0)</f>
        <v>0</v>
      </c>
      <c r="AC88" s="202">
        <f>IFERROR(__xludf.DUMMYFUNCTION("""COMPUTED_VALUE"""),0.0)</f>
        <v>0</v>
      </c>
      <c r="AD88" s="202">
        <f>IFERROR(__xludf.DUMMYFUNCTION("""COMPUTED_VALUE"""),0.0)</f>
        <v>0</v>
      </c>
      <c r="AE88" s="202">
        <f>IFERROR(__xludf.DUMMYFUNCTION("""COMPUTED_VALUE"""),0.0)</f>
        <v>0</v>
      </c>
      <c r="AF88" s="202">
        <f>IFERROR(__xludf.DUMMYFUNCTION("""COMPUTED_VALUE"""),0.0)</f>
        <v>0</v>
      </c>
      <c r="AG88" s="202">
        <f>IFERROR(__xludf.DUMMYFUNCTION("""COMPUTED_VALUE"""),0.0)</f>
        <v>0</v>
      </c>
      <c r="AH88" s="202">
        <f>IFERROR(__xludf.DUMMYFUNCTION("""COMPUTED_VALUE"""),10143.0)</f>
        <v>10143</v>
      </c>
      <c r="AI88" s="202">
        <f>IFERROR(__xludf.DUMMYFUNCTION("""COMPUTED_VALUE"""),403.0)</f>
        <v>403</v>
      </c>
      <c r="AJ88" s="202">
        <f>IFERROR(__xludf.DUMMYFUNCTION("""COMPUTED_VALUE"""),0.0)</f>
        <v>0</v>
      </c>
      <c r="AK88" s="202">
        <f>IFERROR(__xludf.DUMMYFUNCTION("""COMPUTED_VALUE"""),2.0)</f>
        <v>2</v>
      </c>
      <c r="AL88" s="202">
        <f>IFERROR(__xludf.DUMMYFUNCTION("""COMPUTED_VALUE"""),13826.0)</f>
        <v>13826</v>
      </c>
      <c r="AM88" s="202">
        <f>IFERROR(__xludf.DUMMYFUNCTION("""COMPUTED_VALUE"""),593.0)</f>
        <v>593</v>
      </c>
      <c r="AN88" s="202">
        <f>IFERROR(__xludf.DUMMYFUNCTION("""COMPUTED_VALUE"""),7.0)</f>
        <v>7</v>
      </c>
      <c r="AO88" s="202">
        <f>IFERROR(__xludf.DUMMYFUNCTION("""COMPUTED_VALUE"""),8.0)</f>
        <v>8</v>
      </c>
      <c r="AP88" s="202">
        <f>IFERROR(__xludf.DUMMYFUNCTION("""COMPUTED_VALUE"""),16861.0)</f>
        <v>16861</v>
      </c>
      <c r="AQ88" s="202">
        <f>IFERROR(__xludf.DUMMYFUNCTION("""COMPUTED_VALUE"""),619.0)</f>
        <v>619</v>
      </c>
      <c r="AR88" s="202">
        <f>IFERROR(__xludf.DUMMYFUNCTION("""COMPUTED_VALUE"""),8.0)</f>
        <v>8</v>
      </c>
      <c r="AS88" s="202">
        <f>IFERROR(__xludf.DUMMYFUNCTION("""COMPUTED_VALUE"""),6.0)</f>
        <v>6</v>
      </c>
      <c r="AT88" s="202">
        <f>IFERROR(__xludf.DUMMYFUNCTION("""COMPUTED_VALUE"""),9578.0)</f>
        <v>9578</v>
      </c>
      <c r="AU88" s="202">
        <f>IFERROR(__xludf.DUMMYFUNCTION("""COMPUTED_VALUE"""),314.0)</f>
        <v>314</v>
      </c>
      <c r="AV88" s="202">
        <f>IFERROR(__xludf.DUMMYFUNCTION("""COMPUTED_VALUE"""),12.0)</f>
        <v>12</v>
      </c>
      <c r="AW88" s="203">
        <f>IFERROR(__xludf.DUMMYFUNCTION("""COMPUTED_VALUE"""),22.0)</f>
        <v>22</v>
      </c>
      <c r="AX88" s="204">
        <f>IFERROR(__xludf.DUMMYFUNCTION("""COMPUTED_VALUE"""),4380.0)</f>
        <v>4380</v>
      </c>
      <c r="AY88" s="204">
        <f>IFERROR(__xludf.DUMMYFUNCTION("""COMPUTED_VALUE"""),284.0)</f>
        <v>284</v>
      </c>
      <c r="AZ88" s="204">
        <f>IFERROR(__xludf.DUMMYFUNCTION("""COMPUTED_VALUE"""),20.0)</f>
        <v>20</v>
      </c>
      <c r="BA88" s="205">
        <f>IFERROR(__xludf.DUMMYFUNCTION("""COMPUTED_VALUE"""),32.0)</f>
        <v>32</v>
      </c>
      <c r="BB88" s="202">
        <f>IFERROR(__xludf.DUMMYFUNCTION("""COMPUTED_VALUE"""),5940.0)</f>
        <v>5940</v>
      </c>
      <c r="BC88" s="202">
        <f>IFERROR(__xludf.DUMMYFUNCTION("""COMPUTED_VALUE"""),510.0)</f>
        <v>510</v>
      </c>
      <c r="BD88" s="202">
        <f>IFERROR(__xludf.DUMMYFUNCTION("""COMPUTED_VALUE"""),7.0)</f>
        <v>7</v>
      </c>
      <c r="BE88" s="202">
        <f>IFERROR(__xludf.DUMMYFUNCTION("""COMPUTED_VALUE"""),14.0)</f>
        <v>14</v>
      </c>
      <c r="BF88" s="202">
        <f>IFERROR(__xludf.DUMMYFUNCTION("""COMPUTED_VALUE"""),3458.0)</f>
        <v>3458</v>
      </c>
      <c r="BG88" s="202">
        <f>IFERROR(__xludf.DUMMYFUNCTION("""COMPUTED_VALUE"""),310.0)</f>
        <v>310</v>
      </c>
      <c r="BH88" s="202">
        <f>IFERROR(__xludf.DUMMYFUNCTION("""COMPUTED_VALUE"""),13.0)</f>
        <v>13</v>
      </c>
      <c r="BI88" s="202">
        <f>IFERROR(__xludf.DUMMYFUNCTION("""COMPUTED_VALUE"""),20.0)</f>
        <v>20</v>
      </c>
    </row>
    <row r="89">
      <c r="B89" s="220" t="str">
        <f>IFERROR(__xludf.DUMMYFUNCTION("""COMPUTED_VALUE"""),"武田")</f>
        <v>武田</v>
      </c>
      <c r="C89" s="220">
        <f>IFERROR(__xludf.DUMMYFUNCTION("""COMPUTED_VALUE"""),21297.0)</f>
        <v>21297</v>
      </c>
      <c r="D89" s="220">
        <f>IFERROR(__xludf.DUMMYFUNCTION("""COMPUTED_VALUE"""),2236.0)</f>
        <v>2236</v>
      </c>
      <c r="E89" s="221">
        <f>IFERROR(__xludf.DUMMYFUNCTION("""COMPUTED_VALUE"""),0.10499131333051603)</f>
        <v>0.1049913133</v>
      </c>
      <c r="F89" s="220">
        <f>IFERROR(__xludf.DUMMYFUNCTION("""COMPUTED_VALUE"""),197.0)</f>
        <v>197</v>
      </c>
      <c r="G89" s="221">
        <f>IFERROR(__xludf.DUMMYFUNCTION("""COMPUTED_VALUE"""),0.08810375670840787)</f>
        <v>0.08810375671</v>
      </c>
      <c r="H89" s="220">
        <f>IFERROR(__xludf.DUMMYFUNCTION("""COMPUTED_VALUE"""),289.0)</f>
        <v>289</v>
      </c>
      <c r="I89" s="221">
        <f>IFERROR(__xludf.DUMMYFUNCTION("""COMPUTED_VALUE"""),0.12924865831842575)</f>
        <v>0.1292486583</v>
      </c>
      <c r="J89" s="222"/>
      <c r="K89" s="222"/>
      <c r="L89" s="222"/>
      <c r="M89" s="222"/>
      <c r="N89" s="223"/>
      <c r="O89" s="223"/>
      <c r="P89" s="223"/>
      <c r="Q89" s="223"/>
      <c r="R89" s="224">
        <f>IFERROR(__xludf.DUMMYFUNCTION("""COMPUTED_VALUE"""),0.0)</f>
        <v>0</v>
      </c>
      <c r="S89" s="224">
        <f>IFERROR(__xludf.DUMMYFUNCTION("""COMPUTED_VALUE"""),0.0)</f>
        <v>0</v>
      </c>
      <c r="T89" s="224">
        <f>IFERROR(__xludf.DUMMYFUNCTION("""COMPUTED_VALUE"""),0.0)</f>
        <v>0</v>
      </c>
      <c r="U89" s="224">
        <f>IFERROR(__xludf.DUMMYFUNCTION("""COMPUTED_VALUE"""),0.0)</f>
        <v>0</v>
      </c>
      <c r="V89" s="225">
        <f>IFERROR(__xludf.DUMMYFUNCTION("""COMPUTED_VALUE"""),0.0)</f>
        <v>0</v>
      </c>
      <c r="W89" s="225">
        <f>IFERROR(__xludf.DUMMYFUNCTION("""COMPUTED_VALUE"""),0.0)</f>
        <v>0</v>
      </c>
      <c r="X89" s="225">
        <f>IFERROR(__xludf.DUMMYFUNCTION("""COMPUTED_VALUE"""),0.0)</f>
        <v>0</v>
      </c>
      <c r="Y89" s="225">
        <f>IFERROR(__xludf.DUMMYFUNCTION("""COMPUTED_VALUE"""),0.0)</f>
        <v>0</v>
      </c>
      <c r="Z89" s="226">
        <f>IFERROR(__xludf.DUMMYFUNCTION("""COMPUTED_VALUE"""),0.0)</f>
        <v>0</v>
      </c>
      <c r="AA89" s="226">
        <f>IFERROR(__xludf.DUMMYFUNCTION("""COMPUTED_VALUE"""),0.0)</f>
        <v>0</v>
      </c>
      <c r="AB89" s="226">
        <f>IFERROR(__xludf.DUMMYFUNCTION("""COMPUTED_VALUE"""),0.0)</f>
        <v>0</v>
      </c>
      <c r="AC89" s="226">
        <f>IFERROR(__xludf.DUMMYFUNCTION("""COMPUTED_VALUE"""),0.0)</f>
        <v>0</v>
      </c>
      <c r="AD89" s="227">
        <f>IFERROR(__xludf.DUMMYFUNCTION("""COMPUTED_VALUE"""),0.0)</f>
        <v>0</v>
      </c>
      <c r="AE89" s="227">
        <f>IFERROR(__xludf.DUMMYFUNCTION("""COMPUTED_VALUE"""),32.0)</f>
        <v>32</v>
      </c>
      <c r="AF89" s="227">
        <f>IFERROR(__xludf.DUMMYFUNCTION("""COMPUTED_VALUE"""),0.0)</f>
        <v>0</v>
      </c>
      <c r="AG89" s="227">
        <f>IFERROR(__xludf.DUMMYFUNCTION("""COMPUTED_VALUE"""),0.0)</f>
        <v>0</v>
      </c>
      <c r="AH89" s="228">
        <f>IFERROR(__xludf.DUMMYFUNCTION("""COMPUTED_VALUE"""),0.0)</f>
        <v>0</v>
      </c>
      <c r="AI89" s="228">
        <f>IFERROR(__xludf.DUMMYFUNCTION("""COMPUTED_VALUE"""),0.0)</f>
        <v>0</v>
      </c>
      <c r="AJ89" s="228">
        <f>IFERROR(__xludf.DUMMYFUNCTION("""COMPUTED_VALUE"""),0.0)</f>
        <v>0</v>
      </c>
      <c r="AK89" s="228">
        <f>IFERROR(__xludf.DUMMYFUNCTION("""COMPUTED_VALUE"""),0.0)</f>
        <v>0</v>
      </c>
      <c r="AL89" s="224">
        <f>IFERROR(__xludf.DUMMYFUNCTION("""COMPUTED_VALUE"""),0.0)</f>
        <v>0</v>
      </c>
      <c r="AM89" s="224">
        <f>IFERROR(__xludf.DUMMYFUNCTION("""COMPUTED_VALUE"""),0.0)</f>
        <v>0</v>
      </c>
      <c r="AN89" s="224">
        <f>IFERROR(__xludf.DUMMYFUNCTION("""COMPUTED_VALUE"""),0.0)</f>
        <v>0</v>
      </c>
      <c r="AO89" s="224">
        <f>IFERROR(__xludf.DUMMYFUNCTION("""COMPUTED_VALUE"""),0.0)</f>
        <v>0</v>
      </c>
      <c r="AP89" s="226">
        <f>IFERROR(__xludf.DUMMYFUNCTION("""COMPUTED_VALUE"""),0.0)</f>
        <v>0</v>
      </c>
      <c r="AQ89" s="226">
        <f>IFERROR(__xludf.DUMMYFUNCTION("""COMPUTED_VALUE"""),0.0)</f>
        <v>0</v>
      </c>
      <c r="AR89" s="226">
        <f>IFERROR(__xludf.DUMMYFUNCTION("""COMPUTED_VALUE"""),0.0)</f>
        <v>0</v>
      </c>
      <c r="AS89" s="226">
        <f>IFERROR(__xludf.DUMMYFUNCTION("""COMPUTED_VALUE"""),0.0)</f>
        <v>0</v>
      </c>
      <c r="AT89" s="229">
        <f>IFERROR(__xludf.DUMMYFUNCTION("""COMPUTED_VALUE"""),6660.0)</f>
        <v>6660</v>
      </c>
      <c r="AU89" s="229">
        <f>IFERROR(__xludf.DUMMYFUNCTION("""COMPUTED_VALUE"""),0.0)</f>
        <v>0</v>
      </c>
      <c r="AV89" s="229">
        <f>IFERROR(__xludf.DUMMYFUNCTION("""COMPUTED_VALUE"""),13.0)</f>
        <v>13</v>
      </c>
      <c r="AW89" s="230">
        <f>IFERROR(__xludf.DUMMYFUNCTION("""COMPUTED_VALUE"""),20.0)</f>
        <v>20</v>
      </c>
      <c r="AX89" s="231">
        <f>IFERROR(__xludf.DUMMYFUNCTION("""COMPUTED_VALUE"""),25.0)</f>
        <v>25</v>
      </c>
      <c r="AY89" s="231">
        <f>IFERROR(__xludf.DUMMYFUNCTION("""COMPUTED_VALUE"""),4.0)</f>
        <v>4</v>
      </c>
      <c r="AZ89" s="231">
        <f>IFERROR(__xludf.DUMMYFUNCTION("""COMPUTED_VALUE"""),8.0)</f>
        <v>8</v>
      </c>
      <c r="BA89" s="232">
        <f>IFERROR(__xludf.DUMMYFUNCTION("""COMPUTED_VALUE"""),9.0)</f>
        <v>9</v>
      </c>
      <c r="BB89" s="227">
        <f>IFERROR(__xludf.DUMMYFUNCTION("""COMPUTED_VALUE"""),1426.0)</f>
        <v>1426</v>
      </c>
      <c r="BC89" s="227">
        <f>IFERROR(__xludf.DUMMYFUNCTION("""COMPUTED_VALUE"""),176.0)</f>
        <v>176</v>
      </c>
      <c r="BD89" s="227">
        <f>IFERROR(__xludf.DUMMYFUNCTION("""COMPUTED_VALUE"""),11.0)</f>
        <v>11</v>
      </c>
      <c r="BE89" s="227">
        <f>IFERROR(__xludf.DUMMYFUNCTION("""COMPUTED_VALUE"""),30.0)</f>
        <v>30</v>
      </c>
      <c r="BF89" s="222">
        <f>IFERROR(__xludf.DUMMYFUNCTION("""COMPUTED_VALUE"""),1761.0)</f>
        <v>1761</v>
      </c>
      <c r="BG89" s="222">
        <f>IFERROR(__xludf.DUMMYFUNCTION("""COMPUTED_VALUE"""),362.0)</f>
        <v>362</v>
      </c>
      <c r="BH89" s="222">
        <f>IFERROR(__xludf.DUMMYFUNCTION("""COMPUTED_VALUE"""),21.0)</f>
        <v>21</v>
      </c>
      <c r="BI89" s="222">
        <f>IFERROR(__xludf.DUMMYFUNCTION("""COMPUTED_VALUE"""),28.0)</f>
        <v>28</v>
      </c>
    </row>
    <row r="90">
      <c r="B90" s="202" t="str">
        <f>IFERROR(__xludf.DUMMYFUNCTION("""COMPUTED_VALUE"""),"山本")</f>
        <v>山本</v>
      </c>
      <c r="C90" s="202">
        <f>IFERROR(__xludf.DUMMYFUNCTION("""COMPUTED_VALUE"""),5906.0)</f>
        <v>5906</v>
      </c>
      <c r="D90" s="202">
        <f>IFERROR(__xludf.DUMMYFUNCTION("""COMPUTED_VALUE"""),727.0)</f>
        <v>727</v>
      </c>
      <c r="E90" s="219">
        <f>IFERROR(__xludf.DUMMYFUNCTION("""COMPUTED_VALUE"""),0.12309515746698273)</f>
        <v>0.1230951575</v>
      </c>
      <c r="F90" s="202">
        <f>IFERROR(__xludf.DUMMYFUNCTION("""COMPUTED_VALUE"""),15.0)</f>
        <v>15</v>
      </c>
      <c r="G90" s="219">
        <f>IFERROR(__xludf.DUMMYFUNCTION("""COMPUTED_VALUE"""),0.02063273727647868)</f>
        <v>0.02063273728</v>
      </c>
      <c r="H90" s="202">
        <f>IFERROR(__xludf.DUMMYFUNCTION("""COMPUTED_VALUE"""),32.0)</f>
        <v>32</v>
      </c>
      <c r="I90" s="219">
        <f>IFERROR(__xludf.DUMMYFUNCTION("""COMPUTED_VALUE"""),0.04401650618982118)</f>
        <v>0.04401650619</v>
      </c>
      <c r="J90" s="202"/>
      <c r="K90" s="202"/>
      <c r="L90" s="202"/>
      <c r="M90" s="202"/>
      <c r="N90" s="202"/>
      <c r="O90" s="202"/>
      <c r="P90" s="202"/>
      <c r="Q90" s="202"/>
      <c r="R90" s="202">
        <f>IFERROR(__xludf.DUMMYFUNCTION("""COMPUTED_VALUE"""),0.0)</f>
        <v>0</v>
      </c>
      <c r="S90" s="202">
        <f>IFERROR(__xludf.DUMMYFUNCTION("""COMPUTED_VALUE"""),0.0)</f>
        <v>0</v>
      </c>
      <c r="T90" s="202">
        <f>IFERROR(__xludf.DUMMYFUNCTION("""COMPUTED_VALUE"""),0.0)</f>
        <v>0</v>
      </c>
      <c r="U90" s="202">
        <f>IFERROR(__xludf.DUMMYFUNCTION("""COMPUTED_VALUE"""),0.0)</f>
        <v>0</v>
      </c>
      <c r="V90" s="202">
        <f>IFERROR(__xludf.DUMMYFUNCTION("""COMPUTED_VALUE"""),0.0)</f>
        <v>0</v>
      </c>
      <c r="W90" s="202">
        <f>IFERROR(__xludf.DUMMYFUNCTION("""COMPUTED_VALUE"""),0.0)</f>
        <v>0</v>
      </c>
      <c r="X90" s="202">
        <f>IFERROR(__xludf.DUMMYFUNCTION("""COMPUTED_VALUE"""),0.0)</f>
        <v>0</v>
      </c>
      <c r="Y90" s="202">
        <f>IFERROR(__xludf.DUMMYFUNCTION("""COMPUTED_VALUE"""),0.0)</f>
        <v>0</v>
      </c>
      <c r="Z90" s="202">
        <f>IFERROR(__xludf.DUMMYFUNCTION("""COMPUTED_VALUE"""),0.0)</f>
        <v>0</v>
      </c>
      <c r="AA90" s="202">
        <f>IFERROR(__xludf.DUMMYFUNCTION("""COMPUTED_VALUE"""),0.0)</f>
        <v>0</v>
      </c>
      <c r="AB90" s="202">
        <f>IFERROR(__xludf.DUMMYFUNCTION("""COMPUTED_VALUE"""),0.0)</f>
        <v>0</v>
      </c>
      <c r="AC90" s="202">
        <f>IFERROR(__xludf.DUMMYFUNCTION("""COMPUTED_VALUE"""),0.0)</f>
        <v>0</v>
      </c>
      <c r="AD90" s="202">
        <f>IFERROR(__xludf.DUMMYFUNCTION("""COMPUTED_VALUE"""),0.0)</f>
        <v>0</v>
      </c>
      <c r="AE90" s="202">
        <f>IFERROR(__xludf.DUMMYFUNCTION("""COMPUTED_VALUE"""),0.0)</f>
        <v>0</v>
      </c>
      <c r="AF90" s="202">
        <f>IFERROR(__xludf.DUMMYFUNCTION("""COMPUTED_VALUE"""),0.0)</f>
        <v>0</v>
      </c>
      <c r="AG90" s="202">
        <f>IFERROR(__xludf.DUMMYFUNCTION("""COMPUTED_VALUE"""),0.0)</f>
        <v>0</v>
      </c>
      <c r="AH90" s="202">
        <f>IFERROR(__xludf.DUMMYFUNCTION("""COMPUTED_VALUE"""),0.0)</f>
        <v>0</v>
      </c>
      <c r="AI90" s="202">
        <f>IFERROR(__xludf.DUMMYFUNCTION("""COMPUTED_VALUE"""),0.0)</f>
        <v>0</v>
      </c>
      <c r="AJ90" s="202">
        <f>IFERROR(__xludf.DUMMYFUNCTION("""COMPUTED_VALUE"""),0.0)</f>
        <v>0</v>
      </c>
      <c r="AK90" s="202">
        <f>IFERROR(__xludf.DUMMYFUNCTION("""COMPUTED_VALUE"""),0.0)</f>
        <v>0</v>
      </c>
      <c r="AL90" s="202">
        <f>IFERROR(__xludf.DUMMYFUNCTION("""COMPUTED_VALUE"""),0.0)</f>
        <v>0</v>
      </c>
      <c r="AM90" s="202">
        <f>IFERROR(__xludf.DUMMYFUNCTION("""COMPUTED_VALUE"""),0.0)</f>
        <v>0</v>
      </c>
      <c r="AN90" s="202">
        <f>IFERROR(__xludf.DUMMYFUNCTION("""COMPUTED_VALUE"""),0.0)</f>
        <v>0</v>
      </c>
      <c r="AO90" s="202">
        <f>IFERROR(__xludf.DUMMYFUNCTION("""COMPUTED_VALUE"""),0.0)</f>
        <v>0</v>
      </c>
      <c r="AP90" s="202"/>
      <c r="AQ90" s="202"/>
      <c r="AR90" s="202"/>
      <c r="AS90" s="202"/>
      <c r="AT90" s="202">
        <f>IFERROR(__xludf.DUMMYFUNCTION("""COMPUTED_VALUE"""),0.0)</f>
        <v>0</v>
      </c>
      <c r="AU90" s="202">
        <f>IFERROR(__xludf.DUMMYFUNCTION("""COMPUTED_VALUE"""),0.0)</f>
        <v>0</v>
      </c>
      <c r="AV90" s="202">
        <f>IFERROR(__xludf.DUMMYFUNCTION("""COMPUTED_VALUE"""),0.0)</f>
        <v>0</v>
      </c>
      <c r="AW90" s="203">
        <f>IFERROR(__xludf.DUMMYFUNCTION("""COMPUTED_VALUE"""),0.0)</f>
        <v>0</v>
      </c>
      <c r="AX90" s="204">
        <f>IFERROR(__xludf.DUMMYFUNCTION("""COMPUTED_VALUE"""),0.0)</f>
        <v>0</v>
      </c>
      <c r="AY90" s="204">
        <f>IFERROR(__xludf.DUMMYFUNCTION("""COMPUTED_VALUE"""),0.0)</f>
        <v>0</v>
      </c>
      <c r="AZ90" s="204">
        <f>IFERROR(__xludf.DUMMYFUNCTION("""COMPUTED_VALUE"""),0.0)</f>
        <v>0</v>
      </c>
      <c r="BA90" s="205">
        <f>IFERROR(__xludf.DUMMYFUNCTION("""COMPUTED_VALUE"""),0.0)</f>
        <v>0</v>
      </c>
      <c r="BB90" s="202">
        <f>IFERROR(__xludf.DUMMYFUNCTION("""COMPUTED_VALUE"""),0.0)</f>
        <v>0</v>
      </c>
      <c r="BC90" s="202">
        <f>IFERROR(__xludf.DUMMYFUNCTION("""COMPUTED_VALUE"""),0.0)</f>
        <v>0</v>
      </c>
      <c r="BD90" s="202">
        <f>IFERROR(__xludf.DUMMYFUNCTION("""COMPUTED_VALUE"""),0.0)</f>
        <v>0</v>
      </c>
      <c r="BE90" s="202">
        <f>IFERROR(__xludf.DUMMYFUNCTION("""COMPUTED_VALUE"""),0.0)</f>
        <v>0</v>
      </c>
      <c r="BF90" s="202">
        <f>IFERROR(__xludf.DUMMYFUNCTION("""COMPUTED_VALUE"""),0.0)</f>
        <v>0</v>
      </c>
      <c r="BG90" s="202">
        <f>IFERROR(__xludf.DUMMYFUNCTION("""COMPUTED_VALUE"""),0.0)</f>
        <v>0</v>
      </c>
      <c r="BH90" s="202">
        <f>IFERROR(__xludf.DUMMYFUNCTION("""COMPUTED_VALUE"""),0.0)</f>
        <v>0</v>
      </c>
      <c r="BI90" s="202">
        <f>IFERROR(__xludf.DUMMYFUNCTION("""COMPUTED_VALUE"""),0.0)</f>
        <v>0</v>
      </c>
    </row>
    <row r="91">
      <c r="B91" s="220" t="str">
        <f>IFERROR(__xludf.DUMMYFUNCTION("""COMPUTED_VALUE"""),"高木")</f>
        <v>高木</v>
      </c>
      <c r="C91" s="220">
        <f>IFERROR(__xludf.DUMMYFUNCTION("""COMPUTED_VALUE"""),106843.0)</f>
        <v>106843</v>
      </c>
      <c r="D91" s="220">
        <f>IFERROR(__xludf.DUMMYFUNCTION("""COMPUTED_VALUE"""),8495.0)</f>
        <v>8495</v>
      </c>
      <c r="E91" s="221">
        <f>IFERROR(__xludf.DUMMYFUNCTION("""COMPUTED_VALUE"""),0.07950918637627173)</f>
        <v>0.07950918638</v>
      </c>
      <c r="F91" s="220">
        <f>IFERROR(__xludf.DUMMYFUNCTION("""COMPUTED_VALUE"""),113.5)</f>
        <v>113.5</v>
      </c>
      <c r="G91" s="221">
        <f>IFERROR(__xludf.DUMMYFUNCTION("""COMPUTED_VALUE"""),0.013360800470865216)</f>
        <v>0.01336080047</v>
      </c>
      <c r="H91" s="220">
        <f>IFERROR(__xludf.DUMMYFUNCTION("""COMPUTED_VALUE"""),186.0)</f>
        <v>186</v>
      </c>
      <c r="I91" s="221">
        <f>IFERROR(__xludf.DUMMYFUNCTION("""COMPUTED_VALUE"""),0.021895232489699823)</f>
        <v>0.02189523249</v>
      </c>
      <c r="J91" s="222"/>
      <c r="K91" s="222"/>
      <c r="L91" s="222"/>
      <c r="M91" s="222"/>
      <c r="N91" s="223"/>
      <c r="O91" s="223"/>
      <c r="P91" s="223"/>
      <c r="Q91" s="223"/>
      <c r="R91" s="224">
        <f>IFERROR(__xludf.DUMMYFUNCTION("""COMPUTED_VALUE"""),1754.0)</f>
        <v>1754</v>
      </c>
      <c r="S91" s="224">
        <f>IFERROR(__xludf.DUMMYFUNCTION("""COMPUTED_VALUE"""),227.0)</f>
        <v>227</v>
      </c>
      <c r="T91" s="224">
        <f>IFERROR(__xludf.DUMMYFUNCTION("""COMPUTED_VALUE"""),1.0)</f>
        <v>1</v>
      </c>
      <c r="U91" s="224">
        <f>IFERROR(__xludf.DUMMYFUNCTION("""COMPUTED_VALUE"""),5.0)</f>
        <v>5</v>
      </c>
      <c r="V91" s="225">
        <f>IFERROR(__xludf.DUMMYFUNCTION("""COMPUTED_VALUE"""),2255.0)</f>
        <v>2255</v>
      </c>
      <c r="W91" s="225">
        <f>IFERROR(__xludf.DUMMYFUNCTION("""COMPUTED_VALUE"""),420.0)</f>
        <v>420</v>
      </c>
      <c r="X91" s="225">
        <f>IFERROR(__xludf.DUMMYFUNCTION("""COMPUTED_VALUE"""),4.0)</f>
        <v>4</v>
      </c>
      <c r="Y91" s="225">
        <f>IFERROR(__xludf.DUMMYFUNCTION("""COMPUTED_VALUE"""),4.0)</f>
        <v>4</v>
      </c>
      <c r="Z91" s="226">
        <f>IFERROR(__xludf.DUMMYFUNCTION("""COMPUTED_VALUE"""),3224.0)</f>
        <v>3224</v>
      </c>
      <c r="AA91" s="226">
        <f>IFERROR(__xludf.DUMMYFUNCTION("""COMPUTED_VALUE"""),317.0)</f>
        <v>317</v>
      </c>
      <c r="AB91" s="226">
        <f>IFERROR(__xludf.DUMMYFUNCTION("""COMPUTED_VALUE"""),0.0)</f>
        <v>0</v>
      </c>
      <c r="AC91" s="226">
        <f>IFERROR(__xludf.DUMMYFUNCTION("""COMPUTED_VALUE"""),1.0)</f>
        <v>1</v>
      </c>
      <c r="AD91" s="227">
        <f>IFERROR(__xludf.DUMMYFUNCTION("""COMPUTED_VALUE"""),2967.0)</f>
        <v>2967</v>
      </c>
      <c r="AE91" s="227">
        <f>IFERROR(__xludf.DUMMYFUNCTION("""COMPUTED_VALUE"""),1225.0)</f>
        <v>1225</v>
      </c>
      <c r="AF91" s="227">
        <f>IFERROR(__xludf.DUMMYFUNCTION("""COMPUTED_VALUE"""),5.0)</f>
        <v>5</v>
      </c>
      <c r="AG91" s="227">
        <f>IFERROR(__xludf.DUMMYFUNCTION("""COMPUTED_VALUE"""),10.0)</f>
        <v>10</v>
      </c>
      <c r="AH91" s="228">
        <f>IFERROR(__xludf.DUMMYFUNCTION("""COMPUTED_VALUE"""),12793.0)</f>
        <v>12793</v>
      </c>
      <c r="AI91" s="228">
        <f>IFERROR(__xludf.DUMMYFUNCTION("""COMPUTED_VALUE"""),429.0)</f>
        <v>429</v>
      </c>
      <c r="AJ91" s="228">
        <f>IFERROR(__xludf.DUMMYFUNCTION("""COMPUTED_VALUE"""),2.0)</f>
        <v>2</v>
      </c>
      <c r="AK91" s="228">
        <f>IFERROR(__xludf.DUMMYFUNCTION("""COMPUTED_VALUE"""),5.0)</f>
        <v>5</v>
      </c>
      <c r="AL91" s="224">
        <f>IFERROR(__xludf.DUMMYFUNCTION("""COMPUTED_VALUE"""),21242.0)</f>
        <v>21242</v>
      </c>
      <c r="AM91" s="224">
        <f>IFERROR(__xludf.DUMMYFUNCTION("""COMPUTED_VALUE"""),776.0)</f>
        <v>776</v>
      </c>
      <c r="AN91" s="224">
        <f>IFERROR(__xludf.DUMMYFUNCTION("""COMPUTED_VALUE"""),9.0)</f>
        <v>9</v>
      </c>
      <c r="AO91" s="224">
        <f>IFERROR(__xludf.DUMMYFUNCTION("""COMPUTED_VALUE"""),8.0)</f>
        <v>8</v>
      </c>
      <c r="AP91" s="226">
        <f>IFERROR(__xludf.DUMMYFUNCTION("""COMPUTED_VALUE"""),21564.0)</f>
        <v>21564</v>
      </c>
      <c r="AQ91" s="226">
        <f>IFERROR(__xludf.DUMMYFUNCTION("""COMPUTED_VALUE"""),1016.0)</f>
        <v>1016</v>
      </c>
      <c r="AR91" s="226">
        <f>IFERROR(__xludf.DUMMYFUNCTION("""COMPUTED_VALUE"""),7.5)</f>
        <v>7.5</v>
      </c>
      <c r="AS91" s="226">
        <f>IFERROR(__xludf.DUMMYFUNCTION("""COMPUTED_VALUE"""),11.0)</f>
        <v>11</v>
      </c>
      <c r="AT91" s="229">
        <f>IFERROR(__xludf.DUMMYFUNCTION("""COMPUTED_VALUE"""),8015.0)</f>
        <v>8015</v>
      </c>
      <c r="AU91" s="229">
        <f>IFERROR(__xludf.DUMMYFUNCTION("""COMPUTED_VALUE"""),492.0)</f>
        <v>492</v>
      </c>
      <c r="AV91" s="229">
        <f>IFERROR(__xludf.DUMMYFUNCTION("""COMPUTED_VALUE"""),6.0)</f>
        <v>6</v>
      </c>
      <c r="AW91" s="230">
        <f>IFERROR(__xludf.DUMMYFUNCTION("""COMPUTED_VALUE"""),10.0)</f>
        <v>10</v>
      </c>
      <c r="AX91" s="231">
        <f>IFERROR(__xludf.DUMMYFUNCTION("""COMPUTED_VALUE"""),8536.0)</f>
        <v>8536</v>
      </c>
      <c r="AY91" s="231">
        <f>IFERROR(__xludf.DUMMYFUNCTION("""COMPUTED_VALUE"""),398.0)</f>
        <v>398</v>
      </c>
      <c r="AZ91" s="231">
        <f>IFERROR(__xludf.DUMMYFUNCTION("""COMPUTED_VALUE"""),5.0)</f>
        <v>5</v>
      </c>
      <c r="BA91" s="232">
        <f>IFERROR(__xludf.DUMMYFUNCTION("""COMPUTED_VALUE"""),8.0)</f>
        <v>8</v>
      </c>
      <c r="BB91" s="227">
        <f>IFERROR(__xludf.DUMMYFUNCTION("""COMPUTED_VALUE"""),5280.0)</f>
        <v>5280</v>
      </c>
      <c r="BC91" s="227">
        <f>IFERROR(__xludf.DUMMYFUNCTION("""COMPUTED_VALUE"""),488.0)</f>
        <v>488</v>
      </c>
      <c r="BD91" s="227">
        <f>IFERROR(__xludf.DUMMYFUNCTION("""COMPUTED_VALUE"""),7.0)</f>
        <v>7</v>
      </c>
      <c r="BE91" s="227">
        <f>IFERROR(__xludf.DUMMYFUNCTION("""COMPUTED_VALUE"""),13.0)</f>
        <v>13</v>
      </c>
      <c r="BF91" s="222">
        <f>IFERROR(__xludf.DUMMYFUNCTION("""COMPUTED_VALUE"""),4053.0)</f>
        <v>4053</v>
      </c>
      <c r="BG91" s="222">
        <f>IFERROR(__xludf.DUMMYFUNCTION("""COMPUTED_VALUE"""),539.0)</f>
        <v>539</v>
      </c>
      <c r="BH91" s="222">
        <f>IFERROR(__xludf.DUMMYFUNCTION("""COMPUTED_VALUE"""),19.0)</f>
        <v>19</v>
      </c>
      <c r="BI91" s="222">
        <f>IFERROR(__xludf.DUMMYFUNCTION("""COMPUTED_VALUE"""),29.0)</f>
        <v>29</v>
      </c>
    </row>
    <row r="92">
      <c r="B92" s="202" t="str">
        <f>IFERROR(__xludf.DUMMYFUNCTION("""COMPUTED_VALUE"""),"中原")</f>
        <v>中原</v>
      </c>
      <c r="C92" s="202"/>
      <c r="D92" s="202"/>
      <c r="E92" s="202"/>
      <c r="F92" s="202"/>
      <c r="G92" s="202"/>
      <c r="H92" s="202"/>
      <c r="I92" s="202"/>
      <c r="J92" s="202"/>
      <c r="K92" s="202"/>
      <c r="L92" s="202"/>
      <c r="M92" s="202"/>
      <c r="N92" s="202"/>
      <c r="O92" s="202"/>
      <c r="P92" s="202"/>
      <c r="Q92" s="202"/>
      <c r="R92" s="202">
        <f>IFERROR(__xludf.DUMMYFUNCTION("""COMPUTED_VALUE"""),0.0)</f>
        <v>0</v>
      </c>
      <c r="S92" s="202">
        <f>IFERROR(__xludf.DUMMYFUNCTION("""COMPUTED_VALUE"""),0.0)</f>
        <v>0</v>
      </c>
      <c r="T92" s="202">
        <f>IFERROR(__xludf.DUMMYFUNCTION("""COMPUTED_VALUE"""),0.0)</f>
        <v>0</v>
      </c>
      <c r="U92" s="202">
        <f>IFERROR(__xludf.DUMMYFUNCTION("""COMPUTED_VALUE"""),0.0)</f>
        <v>0</v>
      </c>
      <c r="V92" s="202">
        <f>IFERROR(__xludf.DUMMYFUNCTION("""COMPUTED_VALUE"""),0.0)</f>
        <v>0</v>
      </c>
      <c r="W92" s="202">
        <f>IFERROR(__xludf.DUMMYFUNCTION("""COMPUTED_VALUE"""),0.0)</f>
        <v>0</v>
      </c>
      <c r="X92" s="202">
        <f>IFERROR(__xludf.DUMMYFUNCTION("""COMPUTED_VALUE"""),0.0)</f>
        <v>0</v>
      </c>
      <c r="Y92" s="202">
        <f>IFERROR(__xludf.DUMMYFUNCTION("""COMPUTED_VALUE"""),0.0)</f>
        <v>0</v>
      </c>
      <c r="Z92" s="202">
        <f>IFERROR(__xludf.DUMMYFUNCTION("""COMPUTED_VALUE"""),0.0)</f>
        <v>0</v>
      </c>
      <c r="AA92" s="202">
        <f>IFERROR(__xludf.DUMMYFUNCTION("""COMPUTED_VALUE"""),0.0)</f>
        <v>0</v>
      </c>
      <c r="AB92" s="202">
        <f>IFERROR(__xludf.DUMMYFUNCTION("""COMPUTED_VALUE"""),0.0)</f>
        <v>0</v>
      </c>
      <c r="AC92" s="202">
        <f>IFERROR(__xludf.DUMMYFUNCTION("""COMPUTED_VALUE"""),0.0)</f>
        <v>0</v>
      </c>
      <c r="AD92" s="202">
        <f>IFERROR(__xludf.DUMMYFUNCTION("""COMPUTED_VALUE"""),0.0)</f>
        <v>0</v>
      </c>
      <c r="AE92" s="202">
        <f>IFERROR(__xludf.DUMMYFUNCTION("""COMPUTED_VALUE"""),0.0)</f>
        <v>0</v>
      </c>
      <c r="AF92" s="202">
        <f>IFERROR(__xludf.DUMMYFUNCTION("""COMPUTED_VALUE"""),0.0)</f>
        <v>0</v>
      </c>
      <c r="AG92" s="202">
        <f>IFERROR(__xludf.DUMMYFUNCTION("""COMPUTED_VALUE"""),0.0)</f>
        <v>0</v>
      </c>
      <c r="AH92" s="202">
        <f>IFERROR(__xludf.DUMMYFUNCTION("""COMPUTED_VALUE"""),0.0)</f>
        <v>0</v>
      </c>
      <c r="AI92" s="202">
        <f>IFERROR(__xludf.DUMMYFUNCTION("""COMPUTED_VALUE"""),0.0)</f>
        <v>0</v>
      </c>
      <c r="AJ92" s="202">
        <f>IFERROR(__xludf.DUMMYFUNCTION("""COMPUTED_VALUE"""),0.0)</f>
        <v>0</v>
      </c>
      <c r="AK92" s="202">
        <f>IFERROR(__xludf.DUMMYFUNCTION("""COMPUTED_VALUE"""),0.0)</f>
        <v>0</v>
      </c>
      <c r="AL92" s="202">
        <f>IFERROR(__xludf.DUMMYFUNCTION("""COMPUTED_VALUE"""),0.0)</f>
        <v>0</v>
      </c>
      <c r="AM92" s="202">
        <f>IFERROR(__xludf.DUMMYFUNCTION("""COMPUTED_VALUE"""),0.0)</f>
        <v>0</v>
      </c>
      <c r="AN92" s="202">
        <f>IFERROR(__xludf.DUMMYFUNCTION("""COMPUTED_VALUE"""),0.0)</f>
        <v>0</v>
      </c>
      <c r="AO92" s="202">
        <f>IFERROR(__xludf.DUMMYFUNCTION("""COMPUTED_VALUE"""),0.0)</f>
        <v>0</v>
      </c>
      <c r="AP92" s="202"/>
      <c r="AQ92" s="202"/>
      <c r="AR92" s="202"/>
      <c r="AS92" s="202"/>
      <c r="AT92" s="202"/>
      <c r="AU92" s="202"/>
      <c r="AV92" s="202"/>
      <c r="AW92" s="203"/>
      <c r="AX92" s="204"/>
      <c r="AY92" s="204"/>
      <c r="AZ92" s="204"/>
      <c r="BA92" s="205"/>
      <c r="BB92" s="202"/>
      <c r="BC92" s="202"/>
      <c r="BD92" s="202"/>
      <c r="BE92" s="202"/>
      <c r="BF92" s="202"/>
      <c r="BG92" s="202"/>
      <c r="BH92" s="202"/>
      <c r="BI92" s="202"/>
    </row>
    <row r="93">
      <c r="B93" s="220" t="str">
        <f>IFERROR(__xludf.DUMMYFUNCTION("""COMPUTED_VALUE"""),"小西")</f>
        <v>小西</v>
      </c>
      <c r="C93" s="220">
        <f>IFERROR(__xludf.DUMMYFUNCTION("""COMPUTED_VALUE"""),11451.0)</f>
        <v>11451</v>
      </c>
      <c r="D93" s="220">
        <f>IFERROR(__xludf.DUMMYFUNCTION("""COMPUTED_VALUE"""),876.0)</f>
        <v>876</v>
      </c>
      <c r="E93" s="221">
        <f>IFERROR(__xludf.DUMMYFUNCTION("""COMPUTED_VALUE"""),0.07649986900707362)</f>
        <v>0.07649986901</v>
      </c>
      <c r="F93" s="220">
        <f>IFERROR(__xludf.DUMMYFUNCTION("""COMPUTED_VALUE"""),12.0)</f>
        <v>12</v>
      </c>
      <c r="G93" s="221">
        <f>IFERROR(__xludf.DUMMYFUNCTION("""COMPUTED_VALUE"""),0.0136986301369863)</f>
        <v>0.01369863014</v>
      </c>
      <c r="H93" s="220">
        <f>IFERROR(__xludf.DUMMYFUNCTION("""COMPUTED_VALUE"""),29.0)</f>
        <v>29</v>
      </c>
      <c r="I93" s="221">
        <f>IFERROR(__xludf.DUMMYFUNCTION("""COMPUTED_VALUE"""),0.033105022831050226)</f>
        <v>0.03310502283</v>
      </c>
      <c r="J93" s="222"/>
      <c r="K93" s="222"/>
      <c r="L93" s="222"/>
      <c r="M93" s="222"/>
      <c r="N93" s="223"/>
      <c r="O93" s="223"/>
      <c r="P93" s="223"/>
      <c r="Q93" s="223"/>
      <c r="R93" s="224">
        <f>IFERROR(__xludf.DUMMYFUNCTION("""COMPUTED_VALUE"""),0.0)</f>
        <v>0</v>
      </c>
      <c r="S93" s="224">
        <f>IFERROR(__xludf.DUMMYFUNCTION("""COMPUTED_VALUE"""),0.0)</f>
        <v>0</v>
      </c>
      <c r="T93" s="224">
        <f>IFERROR(__xludf.DUMMYFUNCTION("""COMPUTED_VALUE"""),0.0)</f>
        <v>0</v>
      </c>
      <c r="U93" s="224">
        <f>IFERROR(__xludf.DUMMYFUNCTION("""COMPUTED_VALUE"""),0.0)</f>
        <v>0</v>
      </c>
      <c r="V93" s="225">
        <f>IFERROR(__xludf.DUMMYFUNCTION("""COMPUTED_VALUE"""),0.0)</f>
        <v>0</v>
      </c>
      <c r="W93" s="225">
        <f>IFERROR(__xludf.DUMMYFUNCTION("""COMPUTED_VALUE"""),0.0)</f>
        <v>0</v>
      </c>
      <c r="X93" s="225">
        <f>IFERROR(__xludf.DUMMYFUNCTION("""COMPUTED_VALUE"""),0.0)</f>
        <v>0</v>
      </c>
      <c r="Y93" s="225">
        <f>IFERROR(__xludf.DUMMYFUNCTION("""COMPUTED_VALUE"""),0.0)</f>
        <v>0</v>
      </c>
      <c r="Z93" s="226">
        <f>IFERROR(__xludf.DUMMYFUNCTION("""COMPUTED_VALUE"""),0.0)</f>
        <v>0</v>
      </c>
      <c r="AA93" s="226">
        <f>IFERROR(__xludf.DUMMYFUNCTION("""COMPUTED_VALUE"""),0.0)</f>
        <v>0</v>
      </c>
      <c r="AB93" s="226">
        <f>IFERROR(__xludf.DUMMYFUNCTION("""COMPUTED_VALUE"""),0.0)</f>
        <v>0</v>
      </c>
      <c r="AC93" s="226">
        <f>IFERROR(__xludf.DUMMYFUNCTION("""COMPUTED_VALUE"""),0.0)</f>
        <v>0</v>
      </c>
      <c r="AD93" s="227">
        <f>IFERROR(__xludf.DUMMYFUNCTION("""COMPUTED_VALUE"""),0.0)</f>
        <v>0</v>
      </c>
      <c r="AE93" s="227">
        <f>IFERROR(__xludf.DUMMYFUNCTION("""COMPUTED_VALUE"""),0.0)</f>
        <v>0</v>
      </c>
      <c r="AF93" s="227">
        <f>IFERROR(__xludf.DUMMYFUNCTION("""COMPUTED_VALUE"""),0.0)</f>
        <v>0</v>
      </c>
      <c r="AG93" s="227">
        <f>IFERROR(__xludf.DUMMYFUNCTION("""COMPUTED_VALUE"""),0.0)</f>
        <v>0</v>
      </c>
      <c r="AH93" s="228">
        <f>IFERROR(__xludf.DUMMYFUNCTION("""COMPUTED_VALUE"""),0.0)</f>
        <v>0</v>
      </c>
      <c r="AI93" s="228">
        <f>IFERROR(__xludf.DUMMYFUNCTION("""COMPUTED_VALUE"""),0.0)</f>
        <v>0</v>
      </c>
      <c r="AJ93" s="228">
        <f>IFERROR(__xludf.DUMMYFUNCTION("""COMPUTED_VALUE"""),0.0)</f>
        <v>0</v>
      </c>
      <c r="AK93" s="228">
        <f>IFERROR(__xludf.DUMMYFUNCTION("""COMPUTED_VALUE"""),0.0)</f>
        <v>0</v>
      </c>
      <c r="AL93" s="224">
        <f>IFERROR(__xludf.DUMMYFUNCTION("""COMPUTED_VALUE"""),0.0)</f>
        <v>0</v>
      </c>
      <c r="AM93" s="224">
        <f>IFERROR(__xludf.DUMMYFUNCTION("""COMPUTED_VALUE"""),0.0)</f>
        <v>0</v>
      </c>
      <c r="AN93" s="224">
        <f>IFERROR(__xludf.DUMMYFUNCTION("""COMPUTED_VALUE"""),0.0)</f>
        <v>0</v>
      </c>
      <c r="AO93" s="224">
        <f>IFERROR(__xludf.DUMMYFUNCTION("""COMPUTED_VALUE"""),0.0)</f>
        <v>0</v>
      </c>
      <c r="AP93" s="226">
        <f>IFERROR(__xludf.DUMMYFUNCTION("""COMPUTED_VALUE"""),0.0)</f>
        <v>0</v>
      </c>
      <c r="AQ93" s="226">
        <f>IFERROR(__xludf.DUMMYFUNCTION("""COMPUTED_VALUE"""),0.0)</f>
        <v>0</v>
      </c>
      <c r="AR93" s="226">
        <f>IFERROR(__xludf.DUMMYFUNCTION("""COMPUTED_VALUE"""),0.0)</f>
        <v>0</v>
      </c>
      <c r="AS93" s="226">
        <f>IFERROR(__xludf.DUMMYFUNCTION("""COMPUTED_VALUE"""),0.0)</f>
        <v>0</v>
      </c>
      <c r="AT93" s="229">
        <f>IFERROR(__xludf.DUMMYFUNCTION("""COMPUTED_VALUE"""),0.0)</f>
        <v>0</v>
      </c>
      <c r="AU93" s="229">
        <f>IFERROR(__xludf.DUMMYFUNCTION("""COMPUTED_VALUE"""),0.0)</f>
        <v>0</v>
      </c>
      <c r="AV93" s="229">
        <f>IFERROR(__xludf.DUMMYFUNCTION("""COMPUTED_VALUE"""),0.0)</f>
        <v>0</v>
      </c>
      <c r="AW93" s="230">
        <f>IFERROR(__xludf.DUMMYFUNCTION("""COMPUTED_VALUE"""),0.0)</f>
        <v>0</v>
      </c>
      <c r="AX93" s="231">
        <f>IFERROR(__xludf.DUMMYFUNCTION("""COMPUTED_VALUE"""),0.0)</f>
        <v>0</v>
      </c>
      <c r="AY93" s="231">
        <f>IFERROR(__xludf.DUMMYFUNCTION("""COMPUTED_VALUE"""),0.0)</f>
        <v>0</v>
      </c>
      <c r="AZ93" s="231">
        <f>IFERROR(__xludf.DUMMYFUNCTION("""COMPUTED_VALUE"""),0.0)</f>
        <v>0</v>
      </c>
      <c r="BA93" s="232">
        <f>IFERROR(__xludf.DUMMYFUNCTION("""COMPUTED_VALUE"""),0.0)</f>
        <v>0</v>
      </c>
      <c r="BB93" s="227">
        <f>IFERROR(__xludf.DUMMYFUNCTION("""COMPUTED_VALUE"""),0.0)</f>
        <v>0</v>
      </c>
      <c r="BC93" s="227">
        <f>IFERROR(__xludf.DUMMYFUNCTION("""COMPUTED_VALUE"""),0.0)</f>
        <v>0</v>
      </c>
      <c r="BD93" s="227">
        <f>IFERROR(__xludf.DUMMYFUNCTION("""COMPUTED_VALUE"""),0.0)</f>
        <v>0</v>
      </c>
      <c r="BE93" s="227">
        <f>IFERROR(__xludf.DUMMYFUNCTION("""COMPUTED_VALUE"""),0.0)</f>
        <v>0</v>
      </c>
      <c r="BF93" s="222">
        <f>IFERROR(__xludf.DUMMYFUNCTION("""COMPUTED_VALUE"""),829.0)</f>
        <v>829</v>
      </c>
      <c r="BG93" s="222">
        <f>IFERROR(__xludf.DUMMYFUNCTION("""COMPUTED_VALUE"""),43.0)</f>
        <v>43</v>
      </c>
      <c r="BH93" s="222">
        <f>IFERROR(__xludf.DUMMYFUNCTION("""COMPUTED_VALUE"""),1.0)</f>
        <v>1</v>
      </c>
      <c r="BI93" s="222">
        <f>IFERROR(__xludf.DUMMYFUNCTION("""COMPUTED_VALUE"""),2.0)</f>
        <v>2</v>
      </c>
    </row>
    <row r="94">
      <c r="B94" s="202" t="str">
        <f>IFERROR(__xludf.DUMMYFUNCTION("""COMPUTED_VALUE"""),"ソラ")</f>
        <v>ソラ</v>
      </c>
      <c r="C94" s="202">
        <f>IFERROR(__xludf.DUMMYFUNCTION("""COMPUTED_VALUE"""),41828.0)</f>
        <v>41828</v>
      </c>
      <c r="D94" s="202">
        <f>IFERROR(__xludf.DUMMYFUNCTION("""COMPUTED_VALUE"""),1676.0)</f>
        <v>1676</v>
      </c>
      <c r="E94" s="219">
        <f>IFERROR(__xludf.DUMMYFUNCTION("""COMPUTED_VALUE"""),0.04006885339963661)</f>
        <v>0.0400688534</v>
      </c>
      <c r="F94" s="202">
        <f>IFERROR(__xludf.DUMMYFUNCTION("""COMPUTED_VALUE"""),54.0)</f>
        <v>54</v>
      </c>
      <c r="G94" s="219">
        <f>IFERROR(__xludf.DUMMYFUNCTION("""COMPUTED_VALUE"""),0.032219570405727926)</f>
        <v>0.03221957041</v>
      </c>
      <c r="H94" s="202">
        <f>IFERROR(__xludf.DUMMYFUNCTION("""COMPUTED_VALUE"""),60.0)</f>
        <v>60</v>
      </c>
      <c r="I94" s="219">
        <f>IFERROR(__xludf.DUMMYFUNCTION("""COMPUTED_VALUE"""),0.03579952267303103)</f>
        <v>0.03579952267</v>
      </c>
      <c r="J94" s="202"/>
      <c r="K94" s="202"/>
      <c r="L94" s="202"/>
      <c r="M94" s="202"/>
      <c r="N94" s="202"/>
      <c r="O94" s="202"/>
      <c r="P94" s="202"/>
      <c r="Q94" s="202"/>
      <c r="R94" s="202">
        <f>IFERROR(__xludf.DUMMYFUNCTION("""COMPUTED_VALUE"""),0.0)</f>
        <v>0</v>
      </c>
      <c r="S94" s="202">
        <f>IFERROR(__xludf.DUMMYFUNCTION("""COMPUTED_VALUE"""),0.0)</f>
        <v>0</v>
      </c>
      <c r="T94" s="202">
        <f>IFERROR(__xludf.DUMMYFUNCTION("""COMPUTED_VALUE"""),0.0)</f>
        <v>0</v>
      </c>
      <c r="U94" s="202">
        <f>IFERROR(__xludf.DUMMYFUNCTION("""COMPUTED_VALUE"""),0.0)</f>
        <v>0</v>
      </c>
      <c r="V94" s="202">
        <f>IFERROR(__xludf.DUMMYFUNCTION("""COMPUTED_VALUE"""),0.0)</f>
        <v>0</v>
      </c>
      <c r="W94" s="202">
        <f>IFERROR(__xludf.DUMMYFUNCTION("""COMPUTED_VALUE"""),0.0)</f>
        <v>0</v>
      </c>
      <c r="X94" s="202">
        <f>IFERROR(__xludf.DUMMYFUNCTION("""COMPUTED_VALUE"""),0.0)</f>
        <v>0</v>
      </c>
      <c r="Y94" s="202">
        <f>IFERROR(__xludf.DUMMYFUNCTION("""COMPUTED_VALUE"""),0.0)</f>
        <v>0</v>
      </c>
      <c r="Z94" s="202">
        <f>IFERROR(__xludf.DUMMYFUNCTION("""COMPUTED_VALUE"""),0.0)</f>
        <v>0</v>
      </c>
      <c r="AA94" s="202">
        <f>IFERROR(__xludf.DUMMYFUNCTION("""COMPUTED_VALUE"""),0.0)</f>
        <v>0</v>
      </c>
      <c r="AB94" s="202">
        <f>IFERROR(__xludf.DUMMYFUNCTION("""COMPUTED_VALUE"""),0.0)</f>
        <v>0</v>
      </c>
      <c r="AC94" s="202">
        <f>IFERROR(__xludf.DUMMYFUNCTION("""COMPUTED_VALUE"""),0.0)</f>
        <v>0</v>
      </c>
      <c r="AD94" s="202">
        <f>IFERROR(__xludf.DUMMYFUNCTION("""COMPUTED_VALUE"""),850.0)</f>
        <v>850</v>
      </c>
      <c r="AE94" s="202">
        <f>IFERROR(__xludf.DUMMYFUNCTION("""COMPUTED_VALUE"""),0.0)</f>
        <v>0</v>
      </c>
      <c r="AF94" s="202">
        <f>IFERROR(__xludf.DUMMYFUNCTION("""COMPUTED_VALUE"""),0.0)</f>
        <v>0</v>
      </c>
      <c r="AG94" s="202">
        <f>IFERROR(__xludf.DUMMYFUNCTION("""COMPUTED_VALUE"""),0.0)</f>
        <v>0</v>
      </c>
      <c r="AH94" s="202">
        <f>IFERROR(__xludf.DUMMYFUNCTION("""COMPUTED_VALUE"""),14973.0)</f>
        <v>14973</v>
      </c>
      <c r="AI94" s="202">
        <f>IFERROR(__xludf.DUMMYFUNCTION("""COMPUTED_VALUE"""),516.0)</f>
        <v>516</v>
      </c>
      <c r="AJ94" s="202">
        <f>IFERROR(__xludf.DUMMYFUNCTION("""COMPUTED_VALUE"""),5.0)</f>
        <v>5</v>
      </c>
      <c r="AK94" s="202">
        <f>IFERROR(__xludf.DUMMYFUNCTION("""COMPUTED_VALUE"""),3.0)</f>
        <v>3</v>
      </c>
      <c r="AL94" s="202">
        <f>IFERROR(__xludf.DUMMYFUNCTION("""COMPUTED_VALUE"""),25923.0)</f>
        <v>25923</v>
      </c>
      <c r="AM94" s="202">
        <f>IFERROR(__xludf.DUMMYFUNCTION("""COMPUTED_VALUE"""),1152.0)</f>
        <v>1152</v>
      </c>
      <c r="AN94" s="202">
        <f>IFERROR(__xludf.DUMMYFUNCTION("""COMPUTED_VALUE"""),47.0)</f>
        <v>47</v>
      </c>
      <c r="AO94" s="202">
        <f>IFERROR(__xludf.DUMMYFUNCTION("""COMPUTED_VALUE"""),54.0)</f>
        <v>54</v>
      </c>
      <c r="AP94" s="202"/>
      <c r="AQ94" s="202"/>
      <c r="AR94" s="202"/>
      <c r="AS94" s="202"/>
      <c r="AT94" s="202"/>
      <c r="AU94" s="202"/>
      <c r="AV94" s="202"/>
      <c r="AW94" s="203"/>
      <c r="AX94" s="204"/>
      <c r="AY94" s="204"/>
      <c r="AZ94" s="204"/>
      <c r="BA94" s="205"/>
      <c r="BB94" s="202"/>
      <c r="BC94" s="202"/>
      <c r="BD94" s="202"/>
      <c r="BE94" s="202"/>
      <c r="BF94" s="202"/>
      <c r="BG94" s="202"/>
      <c r="BH94" s="202"/>
      <c r="BI94" s="202"/>
    </row>
    <row r="95">
      <c r="B95" s="220" t="str">
        <f>IFERROR(__xludf.DUMMYFUNCTION("""COMPUTED_VALUE"""),"森")</f>
        <v>森</v>
      </c>
      <c r="C95" s="220">
        <f>IFERROR(__xludf.DUMMYFUNCTION("""COMPUTED_VALUE"""),5584.0)</f>
        <v>5584</v>
      </c>
      <c r="D95" s="220">
        <f>IFERROR(__xludf.DUMMYFUNCTION("""COMPUTED_VALUE"""),844.0)</f>
        <v>844</v>
      </c>
      <c r="E95" s="221">
        <f>IFERROR(__xludf.DUMMYFUNCTION("""COMPUTED_VALUE"""),0.1511461318051576)</f>
        <v>0.1511461318</v>
      </c>
      <c r="F95" s="220">
        <f>IFERROR(__xludf.DUMMYFUNCTION("""COMPUTED_VALUE"""),17.0)</f>
        <v>17</v>
      </c>
      <c r="G95" s="221">
        <f>IFERROR(__xludf.DUMMYFUNCTION("""COMPUTED_VALUE"""),0.02014218009478673)</f>
        <v>0.02014218009</v>
      </c>
      <c r="H95" s="220">
        <f>IFERROR(__xludf.DUMMYFUNCTION("""COMPUTED_VALUE"""),47.0)</f>
        <v>47</v>
      </c>
      <c r="I95" s="221">
        <f>IFERROR(__xludf.DUMMYFUNCTION("""COMPUTED_VALUE"""),0.05568720379146919)</f>
        <v>0.05568720379</v>
      </c>
      <c r="J95" s="222"/>
      <c r="K95" s="222"/>
      <c r="L95" s="222"/>
      <c r="M95" s="222"/>
      <c r="N95" s="223"/>
      <c r="O95" s="223"/>
      <c r="P95" s="223"/>
      <c r="Q95" s="223"/>
      <c r="R95" s="224">
        <f>IFERROR(__xludf.DUMMYFUNCTION("""COMPUTED_VALUE"""),0.0)</f>
        <v>0</v>
      </c>
      <c r="S95" s="224">
        <f>IFERROR(__xludf.DUMMYFUNCTION("""COMPUTED_VALUE"""),0.0)</f>
        <v>0</v>
      </c>
      <c r="T95" s="224">
        <f>IFERROR(__xludf.DUMMYFUNCTION("""COMPUTED_VALUE"""),0.0)</f>
        <v>0</v>
      </c>
      <c r="U95" s="224"/>
      <c r="V95" s="225">
        <f>IFERROR(__xludf.DUMMYFUNCTION("""COMPUTED_VALUE"""),0.0)</f>
        <v>0</v>
      </c>
      <c r="W95" s="225">
        <f>IFERROR(__xludf.DUMMYFUNCTION("""COMPUTED_VALUE"""),0.0)</f>
        <v>0</v>
      </c>
      <c r="X95" s="225">
        <f>IFERROR(__xludf.DUMMYFUNCTION("""COMPUTED_VALUE"""),0.0)</f>
        <v>0</v>
      </c>
      <c r="Y95" s="225"/>
      <c r="Z95" s="226">
        <f>IFERROR(__xludf.DUMMYFUNCTION("""COMPUTED_VALUE"""),0.0)</f>
        <v>0</v>
      </c>
      <c r="AA95" s="226">
        <f>IFERROR(__xludf.DUMMYFUNCTION("""COMPUTED_VALUE"""),0.0)</f>
        <v>0</v>
      </c>
      <c r="AB95" s="226">
        <f>IFERROR(__xludf.DUMMYFUNCTION("""COMPUTED_VALUE"""),0.0)</f>
        <v>0</v>
      </c>
      <c r="AC95" s="226"/>
      <c r="AD95" s="227">
        <f>IFERROR(__xludf.DUMMYFUNCTION("""COMPUTED_VALUE"""),0.0)</f>
        <v>0</v>
      </c>
      <c r="AE95" s="227">
        <f>IFERROR(__xludf.DUMMYFUNCTION("""COMPUTED_VALUE"""),0.0)</f>
        <v>0</v>
      </c>
      <c r="AF95" s="227">
        <f>IFERROR(__xludf.DUMMYFUNCTION("""COMPUTED_VALUE"""),0.0)</f>
        <v>0</v>
      </c>
      <c r="AG95" s="227"/>
      <c r="AH95" s="228">
        <f>IFERROR(__xludf.DUMMYFUNCTION("""COMPUTED_VALUE"""),0.0)</f>
        <v>0</v>
      </c>
      <c r="AI95" s="228">
        <f>IFERROR(__xludf.DUMMYFUNCTION("""COMPUTED_VALUE"""),0.0)</f>
        <v>0</v>
      </c>
      <c r="AJ95" s="228">
        <f>IFERROR(__xludf.DUMMYFUNCTION("""COMPUTED_VALUE"""),0.0)</f>
        <v>0</v>
      </c>
      <c r="AK95" s="228"/>
      <c r="AL95" s="224">
        <f>IFERROR(__xludf.DUMMYFUNCTION("""COMPUTED_VALUE"""),0.0)</f>
        <v>0</v>
      </c>
      <c r="AM95" s="224">
        <f>IFERROR(__xludf.DUMMYFUNCTION("""COMPUTED_VALUE"""),0.0)</f>
        <v>0</v>
      </c>
      <c r="AN95" s="224">
        <f>IFERROR(__xludf.DUMMYFUNCTION("""COMPUTED_VALUE"""),0.0)</f>
        <v>0</v>
      </c>
      <c r="AO95" s="224"/>
      <c r="AP95" s="226"/>
      <c r="AQ95" s="226"/>
      <c r="AR95" s="226"/>
      <c r="AS95" s="226"/>
      <c r="AT95" s="229"/>
      <c r="AU95" s="229"/>
      <c r="AV95" s="229"/>
      <c r="AW95" s="230"/>
      <c r="AX95" s="231"/>
      <c r="AY95" s="231"/>
      <c r="AZ95" s="231"/>
      <c r="BA95" s="232"/>
      <c r="BB95" s="227"/>
      <c r="BC95" s="227"/>
      <c r="BD95" s="227"/>
      <c r="BE95" s="227"/>
      <c r="BF95" s="222">
        <f>IFERROR(__xludf.DUMMYFUNCTION("""COMPUTED_VALUE"""),0.0)</f>
        <v>0</v>
      </c>
      <c r="BG95" s="222">
        <f>IFERROR(__xludf.DUMMYFUNCTION("""COMPUTED_VALUE"""),0.0)</f>
        <v>0</v>
      </c>
      <c r="BH95" s="222">
        <f>IFERROR(__xludf.DUMMYFUNCTION("""COMPUTED_VALUE"""),0.0)</f>
        <v>0</v>
      </c>
      <c r="BI95" s="222">
        <f>IFERROR(__xludf.DUMMYFUNCTION("""COMPUTED_VALUE"""),0.0)</f>
        <v>0</v>
      </c>
    </row>
    <row r="96">
      <c r="B96" s="202" t="str">
        <f>IFERROR(__xludf.DUMMYFUNCTION("""COMPUTED_VALUE"""),"大谷")</f>
        <v>大谷</v>
      </c>
      <c r="C96" s="202">
        <f>IFERROR(__xludf.DUMMYFUNCTION("""COMPUTED_VALUE"""),89697.0)</f>
        <v>89697</v>
      </c>
      <c r="D96" s="202">
        <f>IFERROR(__xludf.DUMMYFUNCTION("""COMPUTED_VALUE"""),3780.0)</f>
        <v>3780</v>
      </c>
      <c r="E96" s="219">
        <f>IFERROR(__xludf.DUMMYFUNCTION("""COMPUTED_VALUE"""),0.042141877654771065)</f>
        <v>0.04214187765</v>
      </c>
      <c r="F96" s="202">
        <f>IFERROR(__xludf.DUMMYFUNCTION("""COMPUTED_VALUE"""),63.5)</f>
        <v>63.5</v>
      </c>
      <c r="G96" s="219">
        <f>IFERROR(__xludf.DUMMYFUNCTION("""COMPUTED_VALUE"""),0.0167989417989418)</f>
        <v>0.0167989418</v>
      </c>
      <c r="H96" s="202">
        <f>IFERROR(__xludf.DUMMYFUNCTION("""COMPUTED_VALUE"""),108.0)</f>
        <v>108</v>
      </c>
      <c r="I96" s="219">
        <f>IFERROR(__xludf.DUMMYFUNCTION("""COMPUTED_VALUE"""),0.02857142857142857)</f>
        <v>0.02857142857</v>
      </c>
      <c r="J96" s="202"/>
      <c r="K96" s="202"/>
      <c r="L96" s="202"/>
      <c r="M96" s="202"/>
      <c r="N96" s="202"/>
      <c r="O96" s="202"/>
      <c r="P96" s="202"/>
      <c r="Q96" s="202"/>
      <c r="R96" s="202">
        <f>IFERROR(__xludf.DUMMYFUNCTION("""COMPUTED_VALUE"""),0.0)</f>
        <v>0</v>
      </c>
      <c r="S96" s="202">
        <f>IFERROR(__xludf.DUMMYFUNCTION("""COMPUTED_VALUE"""),0.0)</f>
        <v>0</v>
      </c>
      <c r="T96" s="202">
        <f>IFERROR(__xludf.DUMMYFUNCTION("""COMPUTED_VALUE"""),0.0)</f>
        <v>0</v>
      </c>
      <c r="U96" s="202">
        <f>IFERROR(__xludf.DUMMYFUNCTION("""COMPUTED_VALUE"""),0.0)</f>
        <v>0</v>
      </c>
      <c r="V96" s="202">
        <f>IFERROR(__xludf.DUMMYFUNCTION("""COMPUTED_VALUE"""),0.0)</f>
        <v>0</v>
      </c>
      <c r="W96" s="202">
        <f>IFERROR(__xludf.DUMMYFUNCTION("""COMPUTED_VALUE"""),0.0)</f>
        <v>0</v>
      </c>
      <c r="X96" s="202">
        <f>IFERROR(__xludf.DUMMYFUNCTION("""COMPUTED_VALUE"""),0.0)</f>
        <v>0</v>
      </c>
      <c r="Y96" s="202">
        <f>IFERROR(__xludf.DUMMYFUNCTION("""COMPUTED_VALUE"""),0.0)</f>
        <v>0</v>
      </c>
      <c r="Z96" s="202">
        <f>IFERROR(__xludf.DUMMYFUNCTION("""COMPUTED_VALUE"""),0.0)</f>
        <v>0</v>
      </c>
      <c r="AA96" s="202">
        <f>IFERROR(__xludf.DUMMYFUNCTION("""COMPUTED_VALUE"""),0.0)</f>
        <v>0</v>
      </c>
      <c r="AB96" s="202">
        <f>IFERROR(__xludf.DUMMYFUNCTION("""COMPUTED_VALUE"""),0.0)</f>
        <v>0</v>
      </c>
      <c r="AC96" s="202">
        <f>IFERROR(__xludf.DUMMYFUNCTION("""COMPUTED_VALUE"""),0.0)</f>
        <v>0</v>
      </c>
      <c r="AD96" s="202">
        <f>IFERROR(__xludf.DUMMYFUNCTION("""COMPUTED_VALUE"""),0.0)</f>
        <v>0</v>
      </c>
      <c r="AE96" s="202">
        <f>IFERROR(__xludf.DUMMYFUNCTION("""COMPUTED_VALUE"""),0.0)</f>
        <v>0</v>
      </c>
      <c r="AF96" s="202">
        <f>IFERROR(__xludf.DUMMYFUNCTION("""COMPUTED_VALUE"""),0.0)</f>
        <v>0</v>
      </c>
      <c r="AG96" s="202">
        <f>IFERROR(__xludf.DUMMYFUNCTION("""COMPUTED_VALUE"""),0.0)</f>
        <v>0</v>
      </c>
      <c r="AH96" s="202">
        <f>IFERROR(__xludf.DUMMYFUNCTION("""COMPUTED_VALUE"""),11147.0)</f>
        <v>11147</v>
      </c>
      <c r="AI96" s="202">
        <f>IFERROR(__xludf.DUMMYFUNCTION("""COMPUTED_VALUE"""),411.0)</f>
        <v>411</v>
      </c>
      <c r="AJ96" s="202">
        <f>IFERROR(__xludf.DUMMYFUNCTION("""COMPUTED_VALUE"""),0.0)</f>
        <v>0</v>
      </c>
      <c r="AK96" s="202">
        <f>IFERROR(__xludf.DUMMYFUNCTION("""COMPUTED_VALUE"""),1.0)</f>
        <v>1</v>
      </c>
      <c r="AL96" s="202">
        <f>IFERROR(__xludf.DUMMYFUNCTION("""COMPUTED_VALUE"""),19336.0)</f>
        <v>19336</v>
      </c>
      <c r="AM96" s="202">
        <f>IFERROR(__xludf.DUMMYFUNCTION("""COMPUTED_VALUE"""),661.0)</f>
        <v>661</v>
      </c>
      <c r="AN96" s="202">
        <f>IFERROR(__xludf.DUMMYFUNCTION("""COMPUTED_VALUE"""),5.0)</f>
        <v>5</v>
      </c>
      <c r="AO96" s="202">
        <f>IFERROR(__xludf.DUMMYFUNCTION("""COMPUTED_VALUE"""),10.0)</f>
        <v>10</v>
      </c>
      <c r="AP96" s="202">
        <f>IFERROR(__xludf.DUMMYFUNCTION("""COMPUTED_VALUE"""),29746.0)</f>
        <v>29746</v>
      </c>
      <c r="AQ96" s="202">
        <f>IFERROR(__xludf.DUMMYFUNCTION("""COMPUTED_VALUE"""),457.0)</f>
        <v>457</v>
      </c>
      <c r="AR96" s="202">
        <f>IFERROR(__xludf.DUMMYFUNCTION("""COMPUTED_VALUE"""),1.5)</f>
        <v>1.5</v>
      </c>
      <c r="AS96" s="202">
        <f>IFERROR(__xludf.DUMMYFUNCTION("""COMPUTED_VALUE"""),1.0)</f>
        <v>1</v>
      </c>
      <c r="AT96" s="202">
        <f>IFERROR(__xludf.DUMMYFUNCTION("""COMPUTED_VALUE"""),8743.0)</f>
        <v>8743</v>
      </c>
      <c r="AU96" s="202">
        <f>IFERROR(__xludf.DUMMYFUNCTION("""COMPUTED_VALUE"""),276.0)</f>
        <v>276</v>
      </c>
      <c r="AV96" s="202">
        <f>IFERROR(__xludf.DUMMYFUNCTION("""COMPUTED_VALUE"""),15.0)</f>
        <v>15</v>
      </c>
      <c r="AW96" s="203">
        <f>IFERROR(__xludf.DUMMYFUNCTION("""COMPUTED_VALUE"""),22.0)</f>
        <v>22</v>
      </c>
      <c r="AX96" s="204">
        <f>IFERROR(__xludf.DUMMYFUNCTION("""COMPUTED_VALUE"""),6587.0)</f>
        <v>6587</v>
      </c>
      <c r="AY96" s="204">
        <f>IFERROR(__xludf.DUMMYFUNCTION("""COMPUTED_VALUE"""),253.0)</f>
        <v>253</v>
      </c>
      <c r="AZ96" s="204">
        <f>IFERROR(__xludf.DUMMYFUNCTION("""COMPUTED_VALUE"""),3.0)</f>
        <v>3</v>
      </c>
      <c r="BA96" s="205">
        <f>IFERROR(__xludf.DUMMYFUNCTION("""COMPUTED_VALUE"""),4.0)</f>
        <v>4</v>
      </c>
      <c r="BB96" s="202">
        <f>IFERROR(__xludf.DUMMYFUNCTION("""COMPUTED_VALUE"""),3033.0)</f>
        <v>3033</v>
      </c>
      <c r="BC96" s="202">
        <f>IFERROR(__xludf.DUMMYFUNCTION("""COMPUTED_VALUE"""),281.0)</f>
        <v>281</v>
      </c>
      <c r="BD96" s="202">
        <f>IFERROR(__xludf.DUMMYFUNCTION("""COMPUTED_VALUE"""),11.0)</f>
        <v>11</v>
      </c>
      <c r="BE96" s="202">
        <f>IFERROR(__xludf.DUMMYFUNCTION("""COMPUTED_VALUE"""),19.0)</f>
        <v>19</v>
      </c>
      <c r="BF96" s="202">
        <f>IFERROR(__xludf.DUMMYFUNCTION("""COMPUTED_VALUE"""),2946.0)</f>
        <v>2946</v>
      </c>
      <c r="BG96" s="202">
        <f>IFERROR(__xludf.DUMMYFUNCTION("""COMPUTED_VALUE"""),348.0)</f>
        <v>348</v>
      </c>
      <c r="BH96" s="202">
        <f>IFERROR(__xludf.DUMMYFUNCTION("""COMPUTED_VALUE"""),10.0)</f>
        <v>10</v>
      </c>
      <c r="BI96" s="202">
        <f>IFERROR(__xludf.DUMMYFUNCTION("""COMPUTED_VALUE"""),15.0)</f>
        <v>15</v>
      </c>
    </row>
    <row r="97">
      <c r="B97" s="220" t="str">
        <f>IFERROR(__xludf.DUMMYFUNCTION("""COMPUTED_VALUE"""),"金子")</f>
        <v>金子</v>
      </c>
      <c r="C97" s="220">
        <f>IFERROR(__xludf.DUMMYFUNCTION("""COMPUTED_VALUE"""),57363.0)</f>
        <v>57363</v>
      </c>
      <c r="D97" s="220">
        <f>IFERROR(__xludf.DUMMYFUNCTION("""COMPUTED_VALUE"""),3607.0)</f>
        <v>3607</v>
      </c>
      <c r="E97" s="221">
        <f>IFERROR(__xludf.DUMMYFUNCTION("""COMPUTED_VALUE"""),0.06288025382215016)</f>
        <v>0.06288025382</v>
      </c>
      <c r="F97" s="220">
        <f>IFERROR(__xludf.DUMMYFUNCTION("""COMPUTED_VALUE"""),66.5)</f>
        <v>66.5</v>
      </c>
      <c r="G97" s="221">
        <f>IFERROR(__xludf.DUMMYFUNCTION("""COMPUTED_VALUE"""),0.018436373717771)</f>
        <v>0.01843637372</v>
      </c>
      <c r="H97" s="220">
        <f>IFERROR(__xludf.DUMMYFUNCTION("""COMPUTED_VALUE"""),98.0)</f>
        <v>98</v>
      </c>
      <c r="I97" s="221">
        <f>IFERROR(__xludf.DUMMYFUNCTION("""COMPUTED_VALUE"""),0.027169392847241475)</f>
        <v>0.02716939285</v>
      </c>
      <c r="J97" s="222"/>
      <c r="K97" s="222"/>
      <c r="L97" s="222"/>
      <c r="M97" s="222"/>
      <c r="N97" s="223"/>
      <c r="O97" s="223"/>
      <c r="P97" s="223"/>
      <c r="Q97" s="223"/>
      <c r="R97" s="224">
        <f>IFERROR(__xludf.DUMMYFUNCTION("""COMPUTED_VALUE"""),0.0)</f>
        <v>0</v>
      </c>
      <c r="S97" s="224">
        <f>IFERROR(__xludf.DUMMYFUNCTION("""COMPUTED_VALUE"""),0.0)</f>
        <v>0</v>
      </c>
      <c r="T97" s="224">
        <f>IFERROR(__xludf.DUMMYFUNCTION("""COMPUTED_VALUE"""),0.0)</f>
        <v>0</v>
      </c>
      <c r="U97" s="224"/>
      <c r="V97" s="225">
        <f>IFERROR(__xludf.DUMMYFUNCTION("""COMPUTED_VALUE"""),0.0)</f>
        <v>0</v>
      </c>
      <c r="W97" s="225">
        <f>IFERROR(__xludf.DUMMYFUNCTION("""COMPUTED_VALUE"""),0.0)</f>
        <v>0</v>
      </c>
      <c r="X97" s="225">
        <f>IFERROR(__xludf.DUMMYFUNCTION("""COMPUTED_VALUE"""),0.0)</f>
        <v>0</v>
      </c>
      <c r="Y97" s="225"/>
      <c r="Z97" s="226">
        <f>IFERROR(__xludf.DUMMYFUNCTION("""COMPUTED_VALUE"""),0.0)</f>
        <v>0</v>
      </c>
      <c r="AA97" s="226">
        <f>IFERROR(__xludf.DUMMYFUNCTION("""COMPUTED_VALUE"""),0.0)</f>
        <v>0</v>
      </c>
      <c r="AB97" s="226">
        <f>IFERROR(__xludf.DUMMYFUNCTION("""COMPUTED_VALUE"""),0.0)</f>
        <v>0</v>
      </c>
      <c r="AC97" s="226"/>
      <c r="AD97" s="227">
        <f>IFERROR(__xludf.DUMMYFUNCTION("""COMPUTED_VALUE"""),0.0)</f>
        <v>0</v>
      </c>
      <c r="AE97" s="227">
        <f>IFERROR(__xludf.DUMMYFUNCTION("""COMPUTED_VALUE"""),0.0)</f>
        <v>0</v>
      </c>
      <c r="AF97" s="227">
        <f>IFERROR(__xludf.DUMMYFUNCTION("""COMPUTED_VALUE"""),0.0)</f>
        <v>0</v>
      </c>
      <c r="AG97" s="227"/>
      <c r="AH97" s="228">
        <f>IFERROR(__xludf.DUMMYFUNCTION("""COMPUTED_VALUE"""),1261.0)</f>
        <v>1261</v>
      </c>
      <c r="AI97" s="228">
        <f>IFERROR(__xludf.DUMMYFUNCTION("""COMPUTED_VALUE"""),36.0)</f>
        <v>36</v>
      </c>
      <c r="AJ97" s="228">
        <f>IFERROR(__xludf.DUMMYFUNCTION("""COMPUTED_VALUE"""),1.0)</f>
        <v>1</v>
      </c>
      <c r="AK97" s="228"/>
      <c r="AL97" s="224">
        <f>IFERROR(__xludf.DUMMYFUNCTION("""COMPUTED_VALUE"""),16976.0)</f>
        <v>16976</v>
      </c>
      <c r="AM97" s="224">
        <f>IFERROR(__xludf.DUMMYFUNCTION("""COMPUTED_VALUE"""),533.0)</f>
        <v>533</v>
      </c>
      <c r="AN97" s="224">
        <f>IFERROR(__xludf.DUMMYFUNCTION("""COMPUTED_VALUE"""),10.0)</f>
        <v>10</v>
      </c>
      <c r="AO97" s="224"/>
      <c r="AP97" s="226">
        <f>IFERROR(__xludf.DUMMYFUNCTION("""COMPUTED_VALUE"""),14439.0)</f>
        <v>14439</v>
      </c>
      <c r="AQ97" s="226">
        <f>IFERROR(__xludf.DUMMYFUNCTION("""COMPUTED_VALUE"""),806.0)</f>
        <v>806</v>
      </c>
      <c r="AR97" s="226">
        <f>IFERROR(__xludf.DUMMYFUNCTION("""COMPUTED_VALUE"""),9.5)</f>
        <v>9.5</v>
      </c>
      <c r="AS97" s="226">
        <f>IFERROR(__xludf.DUMMYFUNCTION("""COMPUTED_VALUE"""),11.0)</f>
        <v>11</v>
      </c>
      <c r="AT97" s="229">
        <f>IFERROR(__xludf.DUMMYFUNCTION("""COMPUTED_VALUE"""),7431.0)</f>
        <v>7431</v>
      </c>
      <c r="AU97" s="229">
        <f>IFERROR(__xludf.DUMMYFUNCTION("""COMPUTED_VALUE"""),656.0)</f>
        <v>656</v>
      </c>
      <c r="AV97" s="229">
        <f>IFERROR(__xludf.DUMMYFUNCTION("""COMPUTED_VALUE"""),14.0)</f>
        <v>14</v>
      </c>
      <c r="AW97" s="230">
        <f>IFERROR(__xludf.DUMMYFUNCTION("""COMPUTED_VALUE"""),24.0)</f>
        <v>24</v>
      </c>
      <c r="AX97" s="231">
        <f>IFERROR(__xludf.DUMMYFUNCTION("""COMPUTED_VALUE"""),6975.0)</f>
        <v>6975</v>
      </c>
      <c r="AY97" s="231">
        <f>IFERROR(__xludf.DUMMYFUNCTION("""COMPUTED_VALUE"""),485.0)</f>
        <v>485</v>
      </c>
      <c r="AZ97" s="231">
        <f>IFERROR(__xludf.DUMMYFUNCTION("""COMPUTED_VALUE"""),7.0)</f>
        <v>7</v>
      </c>
      <c r="BA97" s="232">
        <f>IFERROR(__xludf.DUMMYFUNCTION("""COMPUTED_VALUE"""),15.0)</f>
        <v>15</v>
      </c>
      <c r="BB97" s="227">
        <f>IFERROR(__xludf.DUMMYFUNCTION("""COMPUTED_VALUE"""),4460.0)</f>
        <v>4460</v>
      </c>
      <c r="BC97" s="227">
        <f>IFERROR(__xludf.DUMMYFUNCTION("""COMPUTED_VALUE"""),514.0)</f>
        <v>514</v>
      </c>
      <c r="BD97" s="227">
        <f>IFERROR(__xludf.DUMMYFUNCTION("""COMPUTED_VALUE"""),14.0)</f>
        <v>14</v>
      </c>
      <c r="BE97" s="227">
        <f>IFERROR(__xludf.DUMMYFUNCTION("""COMPUTED_VALUE"""),26.0)</f>
        <v>26</v>
      </c>
      <c r="BF97" s="222">
        <f>IFERROR(__xludf.DUMMYFUNCTION("""COMPUTED_VALUE"""),3291.0)</f>
        <v>3291</v>
      </c>
      <c r="BG97" s="222">
        <f>IFERROR(__xludf.DUMMYFUNCTION("""COMPUTED_VALUE"""),327.0)</f>
        <v>327</v>
      </c>
      <c r="BH97" s="222">
        <f>IFERROR(__xludf.DUMMYFUNCTION("""COMPUTED_VALUE"""),9.0)</f>
        <v>9</v>
      </c>
      <c r="BI97" s="222">
        <f>IFERROR(__xludf.DUMMYFUNCTION("""COMPUTED_VALUE"""),15.0)</f>
        <v>15</v>
      </c>
    </row>
    <row r="98">
      <c r="B98" s="202" t="str">
        <f>IFERROR(__xludf.DUMMYFUNCTION("""COMPUTED_VALUE"""),"ハタ")</f>
        <v>ハタ</v>
      </c>
      <c r="C98" s="202">
        <f>IFERROR(__xludf.DUMMYFUNCTION("""COMPUTED_VALUE"""),23118.0)</f>
        <v>23118</v>
      </c>
      <c r="D98" s="202">
        <f>IFERROR(__xludf.DUMMYFUNCTION("""COMPUTED_VALUE"""),1945.0)</f>
        <v>1945</v>
      </c>
      <c r="E98" s="219">
        <f>IFERROR(__xludf.DUMMYFUNCTION("""COMPUTED_VALUE"""),0.08413357556882083)</f>
        <v>0.08413357557</v>
      </c>
      <c r="F98" s="202">
        <f>IFERROR(__xludf.DUMMYFUNCTION("""COMPUTED_VALUE"""),43.0)</f>
        <v>43</v>
      </c>
      <c r="G98" s="219">
        <f>IFERROR(__xludf.DUMMYFUNCTION("""COMPUTED_VALUE"""),0.02210796915167095)</f>
        <v>0.02210796915</v>
      </c>
      <c r="H98" s="202">
        <f>IFERROR(__xludf.DUMMYFUNCTION("""COMPUTED_VALUE"""),85.0)</f>
        <v>85</v>
      </c>
      <c r="I98" s="219">
        <f>IFERROR(__xludf.DUMMYFUNCTION("""COMPUTED_VALUE"""),0.043701799485861184)</f>
        <v>0.04370179949</v>
      </c>
      <c r="J98" s="202"/>
      <c r="K98" s="202"/>
      <c r="L98" s="202"/>
      <c r="M98" s="202"/>
      <c r="N98" s="202"/>
      <c r="O98" s="202"/>
      <c r="P98" s="202"/>
      <c r="Q98" s="202"/>
      <c r="R98" s="202">
        <f>IFERROR(__xludf.DUMMYFUNCTION("""COMPUTED_VALUE"""),0.0)</f>
        <v>0</v>
      </c>
      <c r="S98" s="202">
        <f>IFERROR(__xludf.DUMMYFUNCTION("""COMPUTED_VALUE"""),0.0)</f>
        <v>0</v>
      </c>
      <c r="T98" s="202">
        <f>IFERROR(__xludf.DUMMYFUNCTION("""COMPUTED_VALUE"""),0.0)</f>
        <v>0</v>
      </c>
      <c r="U98" s="202">
        <f>IFERROR(__xludf.DUMMYFUNCTION("""COMPUTED_VALUE"""),0.0)</f>
        <v>0</v>
      </c>
      <c r="V98" s="202">
        <f>IFERROR(__xludf.DUMMYFUNCTION("""COMPUTED_VALUE"""),0.0)</f>
        <v>0</v>
      </c>
      <c r="W98" s="202">
        <f>IFERROR(__xludf.DUMMYFUNCTION("""COMPUTED_VALUE"""),0.0)</f>
        <v>0</v>
      </c>
      <c r="X98" s="202">
        <f>IFERROR(__xludf.DUMMYFUNCTION("""COMPUTED_VALUE"""),0.0)</f>
        <v>0</v>
      </c>
      <c r="Y98" s="202">
        <f>IFERROR(__xludf.DUMMYFUNCTION("""COMPUTED_VALUE"""),0.0)</f>
        <v>0</v>
      </c>
      <c r="Z98" s="202">
        <f>IFERROR(__xludf.DUMMYFUNCTION("""COMPUTED_VALUE"""),0.0)</f>
        <v>0</v>
      </c>
      <c r="AA98" s="202">
        <f>IFERROR(__xludf.DUMMYFUNCTION("""COMPUTED_VALUE"""),0.0)</f>
        <v>0</v>
      </c>
      <c r="AB98" s="202">
        <f>IFERROR(__xludf.DUMMYFUNCTION("""COMPUTED_VALUE"""),0.0)</f>
        <v>0</v>
      </c>
      <c r="AC98" s="202">
        <f>IFERROR(__xludf.DUMMYFUNCTION("""COMPUTED_VALUE"""),0.0)</f>
        <v>0</v>
      </c>
      <c r="AD98" s="202">
        <f>IFERROR(__xludf.DUMMYFUNCTION("""COMPUTED_VALUE"""),0.0)</f>
        <v>0</v>
      </c>
      <c r="AE98" s="202">
        <f>IFERROR(__xludf.DUMMYFUNCTION("""COMPUTED_VALUE"""),0.0)</f>
        <v>0</v>
      </c>
      <c r="AF98" s="202">
        <f>IFERROR(__xludf.DUMMYFUNCTION("""COMPUTED_VALUE"""),0.0)</f>
        <v>0</v>
      </c>
      <c r="AG98" s="202">
        <f>IFERROR(__xludf.DUMMYFUNCTION("""COMPUTED_VALUE"""),0.0)</f>
        <v>0</v>
      </c>
      <c r="AH98" s="202">
        <f>IFERROR(__xludf.DUMMYFUNCTION("""COMPUTED_VALUE"""),0.0)</f>
        <v>0</v>
      </c>
      <c r="AI98" s="202">
        <f>IFERROR(__xludf.DUMMYFUNCTION("""COMPUTED_VALUE"""),0.0)</f>
        <v>0</v>
      </c>
      <c r="AJ98" s="202">
        <f>IFERROR(__xludf.DUMMYFUNCTION("""COMPUTED_VALUE"""),0.0)</f>
        <v>0</v>
      </c>
      <c r="AK98" s="202">
        <f>IFERROR(__xludf.DUMMYFUNCTION("""COMPUTED_VALUE"""),0.0)</f>
        <v>0</v>
      </c>
      <c r="AL98" s="202">
        <f>IFERROR(__xludf.DUMMYFUNCTION("""COMPUTED_VALUE"""),0.0)</f>
        <v>0</v>
      </c>
      <c r="AM98" s="202">
        <f>IFERROR(__xludf.DUMMYFUNCTION("""COMPUTED_VALUE"""),0.0)</f>
        <v>0</v>
      </c>
      <c r="AN98" s="202">
        <f>IFERROR(__xludf.DUMMYFUNCTION("""COMPUTED_VALUE"""),0.0)</f>
        <v>0</v>
      </c>
      <c r="AO98" s="202">
        <f>IFERROR(__xludf.DUMMYFUNCTION("""COMPUTED_VALUE"""),0.0)</f>
        <v>0</v>
      </c>
      <c r="AP98" s="202">
        <f>IFERROR(__xludf.DUMMYFUNCTION("""COMPUTED_VALUE"""),0.0)</f>
        <v>0</v>
      </c>
      <c r="AQ98" s="202">
        <f>IFERROR(__xludf.DUMMYFUNCTION("""COMPUTED_VALUE"""),0.0)</f>
        <v>0</v>
      </c>
      <c r="AR98" s="202">
        <f>IFERROR(__xludf.DUMMYFUNCTION("""COMPUTED_VALUE"""),0.0)</f>
        <v>0</v>
      </c>
      <c r="AS98" s="202">
        <f>IFERROR(__xludf.DUMMYFUNCTION("""COMPUTED_VALUE"""),0.0)</f>
        <v>0</v>
      </c>
      <c r="AT98" s="202">
        <f>IFERROR(__xludf.DUMMYFUNCTION("""COMPUTED_VALUE"""),7922.0)</f>
        <v>7922</v>
      </c>
      <c r="AU98" s="202">
        <f>IFERROR(__xludf.DUMMYFUNCTION("""COMPUTED_VALUE"""),56.0)</f>
        <v>56</v>
      </c>
      <c r="AV98" s="202">
        <f>IFERROR(__xludf.DUMMYFUNCTION("""COMPUTED_VALUE"""),9.0)</f>
        <v>9</v>
      </c>
      <c r="AW98" s="203">
        <f>IFERROR(__xludf.DUMMYFUNCTION("""COMPUTED_VALUE"""),8.0)</f>
        <v>8</v>
      </c>
      <c r="AX98" s="204">
        <f>IFERROR(__xludf.DUMMYFUNCTION("""COMPUTED_VALUE"""),3468.0)</f>
        <v>3468</v>
      </c>
      <c r="AY98" s="204">
        <f>IFERROR(__xludf.DUMMYFUNCTION("""COMPUTED_VALUE"""),219.0)</f>
        <v>219</v>
      </c>
      <c r="AZ98" s="204">
        <f>IFERROR(__xludf.DUMMYFUNCTION("""COMPUTED_VALUE"""),3.0)</f>
        <v>3</v>
      </c>
      <c r="BA98" s="205">
        <f>IFERROR(__xludf.DUMMYFUNCTION("""COMPUTED_VALUE"""),4.0)</f>
        <v>4</v>
      </c>
      <c r="BB98" s="202">
        <f>IFERROR(__xludf.DUMMYFUNCTION("""COMPUTED_VALUE"""),5296.0)</f>
        <v>5296</v>
      </c>
      <c r="BC98" s="202">
        <f>IFERROR(__xludf.DUMMYFUNCTION("""COMPUTED_VALUE"""),678.0)</f>
        <v>678</v>
      </c>
      <c r="BD98" s="202">
        <f>IFERROR(__xludf.DUMMYFUNCTION("""COMPUTED_VALUE"""),6.0)</f>
        <v>6</v>
      </c>
      <c r="BE98" s="202">
        <f>IFERROR(__xludf.DUMMYFUNCTION("""COMPUTED_VALUE"""),20.0)</f>
        <v>20</v>
      </c>
      <c r="BF98" s="202">
        <f>IFERROR(__xludf.DUMMYFUNCTION("""COMPUTED_VALUE"""),3980.0)</f>
        <v>3980</v>
      </c>
      <c r="BG98" s="202">
        <f>IFERROR(__xludf.DUMMYFUNCTION("""COMPUTED_VALUE"""),615.0)</f>
        <v>615</v>
      </c>
      <c r="BH98" s="202">
        <f>IFERROR(__xludf.DUMMYFUNCTION("""COMPUTED_VALUE"""),19.0)</f>
        <v>19</v>
      </c>
      <c r="BI98" s="202">
        <f>IFERROR(__xludf.DUMMYFUNCTION("""COMPUTED_VALUE"""),38.0)</f>
        <v>38</v>
      </c>
    </row>
    <row r="99">
      <c r="B99" s="220" t="str">
        <f>IFERROR(__xludf.DUMMYFUNCTION("""COMPUTED_VALUE"""),"村田")</f>
        <v>村田</v>
      </c>
      <c r="C99" s="220">
        <f>IFERROR(__xludf.DUMMYFUNCTION("""COMPUTED_VALUE"""),1198.0)</f>
        <v>1198</v>
      </c>
      <c r="D99" s="220">
        <f>IFERROR(__xludf.DUMMYFUNCTION("""COMPUTED_VALUE"""),160.0)</f>
        <v>160</v>
      </c>
      <c r="E99" s="221">
        <f>IFERROR(__xludf.DUMMYFUNCTION("""COMPUTED_VALUE"""),0.1335559265442404)</f>
        <v>0.1335559265</v>
      </c>
      <c r="F99" s="220">
        <f>IFERROR(__xludf.DUMMYFUNCTION("""COMPUTED_VALUE"""),2.0)</f>
        <v>2</v>
      </c>
      <c r="G99" s="221">
        <f>IFERROR(__xludf.DUMMYFUNCTION("""COMPUTED_VALUE"""),0.0125)</f>
        <v>0.0125</v>
      </c>
      <c r="H99" s="220">
        <f>IFERROR(__xludf.DUMMYFUNCTION("""COMPUTED_VALUE"""),3.0)</f>
        <v>3</v>
      </c>
      <c r="I99" s="221">
        <f>IFERROR(__xludf.DUMMYFUNCTION("""COMPUTED_VALUE"""),0.01875)</f>
        <v>0.01875</v>
      </c>
      <c r="J99" s="222"/>
      <c r="K99" s="222"/>
      <c r="L99" s="222"/>
      <c r="M99" s="222"/>
      <c r="N99" s="223"/>
      <c r="O99" s="223"/>
      <c r="P99" s="223"/>
      <c r="Q99" s="223"/>
      <c r="R99" s="224">
        <f>IFERROR(__xludf.DUMMYFUNCTION("""COMPUTED_VALUE"""),0.0)</f>
        <v>0</v>
      </c>
      <c r="S99" s="224">
        <f>IFERROR(__xludf.DUMMYFUNCTION("""COMPUTED_VALUE"""),0.0)</f>
        <v>0</v>
      </c>
      <c r="T99" s="224">
        <f>IFERROR(__xludf.DUMMYFUNCTION("""COMPUTED_VALUE"""),0.0)</f>
        <v>0</v>
      </c>
      <c r="U99" s="224">
        <f>IFERROR(__xludf.DUMMYFUNCTION("""COMPUTED_VALUE"""),0.0)</f>
        <v>0</v>
      </c>
      <c r="V99" s="225">
        <f>IFERROR(__xludf.DUMMYFUNCTION("""COMPUTED_VALUE"""),0.0)</f>
        <v>0</v>
      </c>
      <c r="W99" s="225">
        <f>IFERROR(__xludf.DUMMYFUNCTION("""COMPUTED_VALUE"""),0.0)</f>
        <v>0</v>
      </c>
      <c r="X99" s="225">
        <f>IFERROR(__xludf.DUMMYFUNCTION("""COMPUTED_VALUE"""),0.0)</f>
        <v>0</v>
      </c>
      <c r="Y99" s="225">
        <f>IFERROR(__xludf.DUMMYFUNCTION("""COMPUTED_VALUE"""),0.0)</f>
        <v>0</v>
      </c>
      <c r="Z99" s="226">
        <f>IFERROR(__xludf.DUMMYFUNCTION("""COMPUTED_VALUE"""),0.0)</f>
        <v>0</v>
      </c>
      <c r="AA99" s="226">
        <f>IFERROR(__xludf.DUMMYFUNCTION("""COMPUTED_VALUE"""),0.0)</f>
        <v>0</v>
      </c>
      <c r="AB99" s="226">
        <f>IFERROR(__xludf.DUMMYFUNCTION("""COMPUTED_VALUE"""),0.0)</f>
        <v>0</v>
      </c>
      <c r="AC99" s="226">
        <f>IFERROR(__xludf.DUMMYFUNCTION("""COMPUTED_VALUE"""),0.0)</f>
        <v>0</v>
      </c>
      <c r="AD99" s="227">
        <f>IFERROR(__xludf.DUMMYFUNCTION("""COMPUTED_VALUE"""),0.0)</f>
        <v>0</v>
      </c>
      <c r="AE99" s="227">
        <f>IFERROR(__xludf.DUMMYFUNCTION("""COMPUTED_VALUE"""),0.0)</f>
        <v>0</v>
      </c>
      <c r="AF99" s="227">
        <f>IFERROR(__xludf.DUMMYFUNCTION("""COMPUTED_VALUE"""),0.0)</f>
        <v>0</v>
      </c>
      <c r="AG99" s="227">
        <f>IFERROR(__xludf.DUMMYFUNCTION("""COMPUTED_VALUE"""),0.0)</f>
        <v>0</v>
      </c>
      <c r="AH99" s="228">
        <f>IFERROR(__xludf.DUMMYFUNCTION("""COMPUTED_VALUE"""),0.0)</f>
        <v>0</v>
      </c>
      <c r="AI99" s="228">
        <f>IFERROR(__xludf.DUMMYFUNCTION("""COMPUTED_VALUE"""),0.0)</f>
        <v>0</v>
      </c>
      <c r="AJ99" s="228">
        <f>IFERROR(__xludf.DUMMYFUNCTION("""COMPUTED_VALUE"""),0.0)</f>
        <v>0</v>
      </c>
      <c r="AK99" s="228">
        <f>IFERROR(__xludf.DUMMYFUNCTION("""COMPUTED_VALUE"""),0.0)</f>
        <v>0</v>
      </c>
      <c r="AL99" s="224">
        <f>IFERROR(__xludf.DUMMYFUNCTION("""COMPUTED_VALUE"""),0.0)</f>
        <v>0</v>
      </c>
      <c r="AM99" s="224">
        <f>IFERROR(__xludf.DUMMYFUNCTION("""COMPUTED_VALUE"""),0.0)</f>
        <v>0</v>
      </c>
      <c r="AN99" s="224">
        <f>IFERROR(__xludf.DUMMYFUNCTION("""COMPUTED_VALUE"""),0.0)</f>
        <v>0</v>
      </c>
      <c r="AO99" s="224"/>
      <c r="AP99" s="226">
        <f>IFERROR(__xludf.DUMMYFUNCTION("""COMPUTED_VALUE"""),0.0)</f>
        <v>0</v>
      </c>
      <c r="AQ99" s="226">
        <f>IFERROR(__xludf.DUMMYFUNCTION("""COMPUTED_VALUE"""),0.0)</f>
        <v>0</v>
      </c>
      <c r="AR99" s="226">
        <f>IFERROR(__xludf.DUMMYFUNCTION("""COMPUTED_VALUE"""),0.0)</f>
        <v>0</v>
      </c>
      <c r="AS99" s="226">
        <f>IFERROR(__xludf.DUMMYFUNCTION("""COMPUTED_VALUE"""),0.0)</f>
        <v>0</v>
      </c>
      <c r="AT99" s="229">
        <f>IFERROR(__xludf.DUMMYFUNCTION("""COMPUTED_VALUE"""),0.0)</f>
        <v>0</v>
      </c>
      <c r="AU99" s="229">
        <f>IFERROR(__xludf.DUMMYFUNCTION("""COMPUTED_VALUE"""),0.0)</f>
        <v>0</v>
      </c>
      <c r="AV99" s="229">
        <f>IFERROR(__xludf.DUMMYFUNCTION("""COMPUTED_VALUE"""),0.0)</f>
        <v>0</v>
      </c>
      <c r="AW99" s="230">
        <f>IFERROR(__xludf.DUMMYFUNCTION("""COMPUTED_VALUE"""),0.0)</f>
        <v>0</v>
      </c>
      <c r="AX99" s="231">
        <f>IFERROR(__xludf.DUMMYFUNCTION("""COMPUTED_VALUE"""),0.0)</f>
        <v>0</v>
      </c>
      <c r="AY99" s="231">
        <f>IFERROR(__xludf.DUMMYFUNCTION("""COMPUTED_VALUE"""),0.0)</f>
        <v>0</v>
      </c>
      <c r="AZ99" s="231">
        <f>IFERROR(__xludf.DUMMYFUNCTION("""COMPUTED_VALUE"""),0.0)</f>
        <v>0</v>
      </c>
      <c r="BA99" s="232">
        <f>IFERROR(__xludf.DUMMYFUNCTION("""COMPUTED_VALUE"""),0.0)</f>
        <v>0</v>
      </c>
      <c r="BB99" s="227">
        <f>IFERROR(__xludf.DUMMYFUNCTION("""COMPUTED_VALUE"""),0.0)</f>
        <v>0</v>
      </c>
      <c r="BC99" s="227">
        <f>IFERROR(__xludf.DUMMYFUNCTION("""COMPUTED_VALUE"""),0.0)</f>
        <v>0</v>
      </c>
      <c r="BD99" s="227">
        <f>IFERROR(__xludf.DUMMYFUNCTION("""COMPUTED_VALUE"""),0.0)</f>
        <v>0</v>
      </c>
      <c r="BE99" s="227">
        <f>IFERROR(__xludf.DUMMYFUNCTION("""COMPUTED_VALUE"""),0.0)</f>
        <v>0</v>
      </c>
      <c r="BF99" s="222">
        <f>IFERROR(__xludf.DUMMYFUNCTION("""COMPUTED_VALUE"""),0.0)</f>
        <v>0</v>
      </c>
      <c r="BG99" s="222">
        <f>IFERROR(__xludf.DUMMYFUNCTION("""COMPUTED_VALUE"""),0.0)</f>
        <v>0</v>
      </c>
      <c r="BH99" s="222">
        <f>IFERROR(__xludf.DUMMYFUNCTION("""COMPUTED_VALUE"""),0.0)</f>
        <v>0</v>
      </c>
      <c r="BI99" s="222">
        <f>IFERROR(__xludf.DUMMYFUNCTION("""COMPUTED_VALUE"""),0.0)</f>
        <v>0</v>
      </c>
    </row>
    <row r="100">
      <c r="B100" s="202" t="str">
        <f>IFERROR(__xludf.DUMMYFUNCTION("""COMPUTED_VALUE"""),"仁子")</f>
        <v>仁子</v>
      </c>
      <c r="C100" s="202">
        <f>IFERROR(__xludf.DUMMYFUNCTION("""COMPUTED_VALUE"""),20292.0)</f>
        <v>20292</v>
      </c>
      <c r="D100" s="202">
        <f>IFERROR(__xludf.DUMMYFUNCTION("""COMPUTED_VALUE"""),1513.0)</f>
        <v>1513</v>
      </c>
      <c r="E100" s="219">
        <f>IFERROR(__xludf.DUMMYFUNCTION("""COMPUTED_VALUE"""),0.07456140350877193)</f>
        <v>0.07456140351</v>
      </c>
      <c r="F100" s="202">
        <f>IFERROR(__xludf.DUMMYFUNCTION("""COMPUTED_VALUE"""),120.0)</f>
        <v>120</v>
      </c>
      <c r="G100" s="219">
        <f>IFERROR(__xludf.DUMMYFUNCTION("""COMPUTED_VALUE"""),0.07931262392597488)</f>
        <v>0.07931262393</v>
      </c>
      <c r="H100" s="202">
        <f>IFERROR(__xludf.DUMMYFUNCTION("""COMPUTED_VALUE"""),90.0)</f>
        <v>90</v>
      </c>
      <c r="I100" s="219">
        <f>IFERROR(__xludf.DUMMYFUNCTION("""COMPUTED_VALUE"""),0.059484467944481166)</f>
        <v>0.05948446794</v>
      </c>
      <c r="J100" s="202"/>
      <c r="K100" s="202"/>
      <c r="L100" s="202"/>
      <c r="M100" s="202"/>
      <c r="N100" s="202"/>
      <c r="O100" s="202"/>
      <c r="P100" s="202"/>
      <c r="Q100" s="202"/>
      <c r="R100" s="202">
        <f>IFERROR(__xludf.DUMMYFUNCTION("""COMPUTED_VALUE"""),0.0)</f>
        <v>0</v>
      </c>
      <c r="S100" s="202">
        <f>IFERROR(__xludf.DUMMYFUNCTION("""COMPUTED_VALUE"""),0.0)</f>
        <v>0</v>
      </c>
      <c r="T100" s="202">
        <f>IFERROR(__xludf.DUMMYFUNCTION("""COMPUTED_VALUE"""),19.0)</f>
        <v>19</v>
      </c>
      <c r="U100" s="202">
        <f>IFERROR(__xludf.DUMMYFUNCTION("""COMPUTED_VALUE"""),0.0)</f>
        <v>0</v>
      </c>
      <c r="V100" s="202">
        <f>IFERROR(__xludf.DUMMYFUNCTION("""COMPUTED_VALUE"""),0.0)</f>
        <v>0</v>
      </c>
      <c r="W100" s="202">
        <f>IFERROR(__xludf.DUMMYFUNCTION("""COMPUTED_VALUE"""),0.0)</f>
        <v>0</v>
      </c>
      <c r="X100" s="202">
        <f>IFERROR(__xludf.DUMMYFUNCTION("""COMPUTED_VALUE"""),40.0)</f>
        <v>40</v>
      </c>
      <c r="Y100" s="202">
        <f>IFERROR(__xludf.DUMMYFUNCTION("""COMPUTED_VALUE"""),0.0)</f>
        <v>0</v>
      </c>
      <c r="Z100" s="202">
        <f>IFERROR(__xludf.DUMMYFUNCTION("""COMPUTED_VALUE"""),0.0)</f>
        <v>0</v>
      </c>
      <c r="AA100" s="202">
        <f>IFERROR(__xludf.DUMMYFUNCTION("""COMPUTED_VALUE"""),0.0)</f>
        <v>0</v>
      </c>
      <c r="AB100" s="202">
        <f>IFERROR(__xludf.DUMMYFUNCTION("""COMPUTED_VALUE"""),0.0)</f>
        <v>0</v>
      </c>
      <c r="AC100" s="202">
        <f>IFERROR(__xludf.DUMMYFUNCTION("""COMPUTED_VALUE"""),0.0)</f>
        <v>0</v>
      </c>
      <c r="AD100" s="202">
        <f>IFERROR(__xludf.DUMMYFUNCTION("""COMPUTED_VALUE"""),0.0)</f>
        <v>0</v>
      </c>
      <c r="AE100" s="202">
        <f>IFERROR(__xludf.DUMMYFUNCTION("""COMPUTED_VALUE"""),0.0)</f>
        <v>0</v>
      </c>
      <c r="AF100" s="202">
        <f>IFERROR(__xludf.DUMMYFUNCTION("""COMPUTED_VALUE"""),0.0)</f>
        <v>0</v>
      </c>
      <c r="AG100" s="202">
        <f>IFERROR(__xludf.DUMMYFUNCTION("""COMPUTED_VALUE"""),0.0)</f>
        <v>0</v>
      </c>
      <c r="AH100" s="202">
        <f>IFERROR(__xludf.DUMMYFUNCTION("""COMPUTED_VALUE"""),0.0)</f>
        <v>0</v>
      </c>
      <c r="AI100" s="202">
        <f>IFERROR(__xludf.DUMMYFUNCTION("""COMPUTED_VALUE"""),0.0)</f>
        <v>0</v>
      </c>
      <c r="AJ100" s="202">
        <f>IFERROR(__xludf.DUMMYFUNCTION("""COMPUTED_VALUE"""),0.0)</f>
        <v>0</v>
      </c>
      <c r="AK100" s="202">
        <f>IFERROR(__xludf.DUMMYFUNCTION("""COMPUTED_VALUE"""),0.0)</f>
        <v>0</v>
      </c>
      <c r="AL100" s="202">
        <f>IFERROR(__xludf.DUMMYFUNCTION("""COMPUTED_VALUE"""),0.0)</f>
        <v>0</v>
      </c>
      <c r="AM100" s="202">
        <f>IFERROR(__xludf.DUMMYFUNCTION("""COMPUTED_VALUE"""),0.0)</f>
        <v>0</v>
      </c>
      <c r="AN100" s="202">
        <f>IFERROR(__xludf.DUMMYFUNCTION("""COMPUTED_VALUE"""),0.0)</f>
        <v>0</v>
      </c>
      <c r="AO100" s="202">
        <f>IFERROR(__xludf.DUMMYFUNCTION("""COMPUTED_VALUE"""),0.0)</f>
        <v>0</v>
      </c>
      <c r="AP100" s="202">
        <f>IFERROR(__xludf.DUMMYFUNCTION("""COMPUTED_VALUE"""),1096.0)</f>
        <v>1096</v>
      </c>
      <c r="AQ100" s="202">
        <f>IFERROR(__xludf.DUMMYFUNCTION("""COMPUTED_VALUE"""),85.0)</f>
        <v>85</v>
      </c>
      <c r="AR100" s="202">
        <f>IFERROR(__xludf.DUMMYFUNCTION("""COMPUTED_VALUE"""),1.0)</f>
        <v>1</v>
      </c>
      <c r="AS100" s="202">
        <f>IFERROR(__xludf.DUMMYFUNCTION("""COMPUTED_VALUE"""),0.0)</f>
        <v>0</v>
      </c>
      <c r="AT100" s="202">
        <f>IFERROR(__xludf.DUMMYFUNCTION("""COMPUTED_VALUE"""),7864.0)</f>
        <v>7864</v>
      </c>
      <c r="AU100" s="202">
        <f>IFERROR(__xludf.DUMMYFUNCTION("""COMPUTED_VALUE"""),385.0)</f>
        <v>385</v>
      </c>
      <c r="AV100" s="202">
        <f>IFERROR(__xludf.DUMMYFUNCTION("""COMPUTED_VALUE"""),27.0)</f>
        <v>27</v>
      </c>
      <c r="AW100" s="203">
        <f>IFERROR(__xludf.DUMMYFUNCTION("""COMPUTED_VALUE"""),33.0)</f>
        <v>33</v>
      </c>
      <c r="AX100" s="204">
        <f>IFERROR(__xludf.DUMMYFUNCTION("""COMPUTED_VALUE"""),7799.0)</f>
        <v>7799</v>
      </c>
      <c r="AY100" s="204">
        <f>IFERROR(__xludf.DUMMYFUNCTION("""COMPUTED_VALUE"""),624.0)</f>
        <v>624</v>
      </c>
      <c r="AZ100" s="204">
        <f>IFERROR(__xludf.DUMMYFUNCTION("""COMPUTED_VALUE"""),27.0)</f>
        <v>27</v>
      </c>
      <c r="BA100" s="205">
        <f>IFERROR(__xludf.DUMMYFUNCTION("""COMPUTED_VALUE"""),40.0)</f>
        <v>40</v>
      </c>
      <c r="BB100" s="202">
        <f>IFERROR(__xludf.DUMMYFUNCTION("""COMPUTED_VALUE"""),3533.0)</f>
        <v>3533</v>
      </c>
      <c r="BC100" s="202">
        <f>IFERROR(__xludf.DUMMYFUNCTION("""COMPUTED_VALUE"""),419.0)</f>
        <v>419</v>
      </c>
      <c r="BD100" s="202">
        <f>IFERROR(__xludf.DUMMYFUNCTION("""COMPUTED_VALUE"""),6.0)</f>
        <v>6</v>
      </c>
      <c r="BE100" s="202">
        <f>IFERROR(__xludf.DUMMYFUNCTION("""COMPUTED_VALUE"""),17.0)</f>
        <v>17</v>
      </c>
      <c r="BF100" s="202"/>
      <c r="BG100" s="202"/>
      <c r="BH100" s="202"/>
      <c r="BI100" s="202"/>
    </row>
    <row r="101">
      <c r="B101" s="233" t="str">
        <f>IFERROR(__xludf.DUMMYFUNCTION("""COMPUTED_VALUE"""),"小川")</f>
        <v>小川</v>
      </c>
      <c r="C101" s="233">
        <f>IFERROR(__xludf.DUMMYFUNCTION("""COMPUTED_VALUE"""),635.0)</f>
        <v>635</v>
      </c>
      <c r="D101" s="233">
        <f>IFERROR(__xludf.DUMMYFUNCTION("""COMPUTED_VALUE"""),126.0)</f>
        <v>126</v>
      </c>
      <c r="E101" s="234">
        <f>IFERROR(__xludf.DUMMYFUNCTION("""COMPUTED_VALUE"""),0.1984251968503937)</f>
        <v>0.1984251969</v>
      </c>
      <c r="F101" s="233">
        <f>IFERROR(__xludf.DUMMYFUNCTION("""COMPUTED_VALUE"""),10.0)</f>
        <v>10</v>
      </c>
      <c r="G101" s="234">
        <f>IFERROR(__xludf.DUMMYFUNCTION("""COMPUTED_VALUE"""),0.07936507936507936)</f>
        <v>0.07936507937</v>
      </c>
      <c r="H101" s="233">
        <f>IFERROR(__xludf.DUMMYFUNCTION("""COMPUTED_VALUE"""),10.0)</f>
        <v>10</v>
      </c>
      <c r="I101" s="234">
        <f>IFERROR(__xludf.DUMMYFUNCTION("""COMPUTED_VALUE"""),0.07936507936507936)</f>
        <v>0.07936507937</v>
      </c>
      <c r="J101" s="235"/>
      <c r="K101" s="235"/>
      <c r="L101" s="235"/>
      <c r="M101" s="235"/>
      <c r="N101" s="236"/>
      <c r="O101" s="236"/>
      <c r="P101" s="236"/>
      <c r="Q101" s="236"/>
      <c r="R101" s="237"/>
      <c r="S101" s="237"/>
      <c r="T101" s="237"/>
      <c r="U101" s="237"/>
      <c r="V101" s="238"/>
      <c r="W101" s="238"/>
      <c r="X101" s="238"/>
      <c r="Y101" s="238"/>
      <c r="Z101" s="239"/>
      <c r="AA101" s="239"/>
      <c r="AB101" s="239"/>
      <c r="AC101" s="239"/>
      <c r="AD101" s="240"/>
      <c r="AE101" s="240"/>
      <c r="AF101" s="240"/>
      <c r="AG101" s="240"/>
      <c r="AH101" s="228"/>
      <c r="AI101" s="228"/>
      <c r="AJ101" s="228"/>
      <c r="AK101" s="228"/>
      <c r="AL101" s="224"/>
      <c r="AM101" s="224"/>
      <c r="AN101" s="224"/>
      <c r="AO101" s="224"/>
      <c r="AP101" s="226"/>
      <c r="AQ101" s="226"/>
      <c r="AR101" s="226"/>
      <c r="AS101" s="226"/>
      <c r="AT101" s="229"/>
      <c r="AU101" s="229"/>
      <c r="AV101" s="229"/>
      <c r="AW101" s="230"/>
      <c r="AX101" s="231"/>
      <c r="AY101" s="231"/>
      <c r="AZ101" s="231"/>
      <c r="BA101" s="232"/>
      <c r="BB101" s="227">
        <f>IFERROR(__xludf.DUMMYFUNCTION("""COMPUTED_VALUE"""),635.0)</f>
        <v>635</v>
      </c>
      <c r="BC101" s="227">
        <f>IFERROR(__xludf.DUMMYFUNCTION("""COMPUTED_VALUE"""),126.0)</f>
        <v>126</v>
      </c>
      <c r="BD101" s="227">
        <f>IFERROR(__xludf.DUMMYFUNCTION("""COMPUTED_VALUE"""),10.0)</f>
        <v>10</v>
      </c>
      <c r="BE101" s="227">
        <f>IFERROR(__xludf.DUMMYFUNCTION("""COMPUTED_VALUE"""),10.0)</f>
        <v>10</v>
      </c>
      <c r="BF101" s="222"/>
      <c r="BG101" s="222"/>
      <c r="BH101" s="222"/>
      <c r="BI101" s="222"/>
    </row>
    <row r="102">
      <c r="B102" s="204" t="str">
        <f>IFERROR(__xludf.DUMMYFUNCTION("""COMPUTED_VALUE"""),"サラ")</f>
        <v>サラ</v>
      </c>
      <c r="C102" s="204">
        <f>IFERROR(__xludf.DUMMYFUNCTION("""COMPUTED_VALUE"""),12385.0)</f>
        <v>12385</v>
      </c>
      <c r="D102" s="204">
        <f>IFERROR(__xludf.DUMMYFUNCTION("""COMPUTED_VALUE"""),1174.0)</f>
        <v>1174</v>
      </c>
      <c r="E102" s="241">
        <f>IFERROR(__xludf.DUMMYFUNCTION("""COMPUTED_VALUE"""),0.0947920872022608)</f>
        <v>0.0947920872</v>
      </c>
      <c r="F102" s="204">
        <f>IFERROR(__xludf.DUMMYFUNCTION("""COMPUTED_VALUE"""),18.0)</f>
        <v>18</v>
      </c>
      <c r="G102" s="241">
        <f>IFERROR(__xludf.DUMMYFUNCTION("""COMPUTED_VALUE"""),0.015332197614991482)</f>
        <v>0.01533219761</v>
      </c>
      <c r="H102" s="204">
        <f>IFERROR(__xludf.DUMMYFUNCTION("""COMPUTED_VALUE"""),30.0)</f>
        <v>30</v>
      </c>
      <c r="I102" s="241">
        <f>IFERROR(__xludf.DUMMYFUNCTION("""COMPUTED_VALUE"""),0.02555366269165247)</f>
        <v>0.02555366269</v>
      </c>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5"/>
      <c r="AH102" s="202"/>
      <c r="AI102" s="202"/>
      <c r="AJ102" s="202"/>
      <c r="AK102" s="202"/>
      <c r="AL102" s="202"/>
      <c r="AM102" s="202"/>
      <c r="AN102" s="202"/>
      <c r="AO102" s="202"/>
      <c r="AP102" s="202"/>
      <c r="AQ102" s="202"/>
      <c r="AR102" s="202"/>
      <c r="AS102" s="202"/>
      <c r="AT102" s="202"/>
      <c r="AU102" s="202"/>
      <c r="AV102" s="202"/>
      <c r="AW102" s="203"/>
      <c r="AX102" s="204"/>
      <c r="AY102" s="204"/>
      <c r="AZ102" s="204"/>
      <c r="BA102" s="205"/>
      <c r="BB102" s="202">
        <f>IFERROR(__xludf.DUMMYFUNCTION("""COMPUTED_VALUE"""),624.0)</f>
        <v>624</v>
      </c>
      <c r="BC102" s="202">
        <f>IFERROR(__xludf.DUMMYFUNCTION("""COMPUTED_VALUE"""),69.0)</f>
        <v>69</v>
      </c>
      <c r="BD102" s="202">
        <f>IFERROR(__xludf.DUMMYFUNCTION("""COMPUTED_VALUE"""),0.0)</f>
        <v>0</v>
      </c>
      <c r="BE102" s="202">
        <f>IFERROR(__xludf.DUMMYFUNCTION("""COMPUTED_VALUE"""),0.0)</f>
        <v>0</v>
      </c>
      <c r="BF102" s="202">
        <f>IFERROR(__xludf.DUMMYFUNCTION("""COMPUTED_VALUE"""),860.0)</f>
        <v>860</v>
      </c>
      <c r="BG102" s="202">
        <f>IFERROR(__xludf.DUMMYFUNCTION("""COMPUTED_VALUE"""),93.0)</f>
        <v>93</v>
      </c>
      <c r="BH102" s="202">
        <f>IFERROR(__xludf.DUMMYFUNCTION("""COMPUTED_VALUE"""),2.0)</f>
        <v>2</v>
      </c>
      <c r="BI102" s="202">
        <f>IFERROR(__xludf.DUMMYFUNCTION("""COMPUTED_VALUE"""),4.0)</f>
        <v>4</v>
      </c>
    </row>
    <row r="103">
      <c r="B103" s="242" t="str">
        <f>IFERROR(__xludf.DUMMYFUNCTION("""COMPUTED_VALUE"""),"長瀬")</f>
        <v>長瀬</v>
      </c>
      <c r="C103" s="242">
        <f>IFERROR(__xludf.DUMMYFUNCTION("""COMPUTED_VALUE"""),577.0)</f>
        <v>577</v>
      </c>
      <c r="D103" s="242">
        <f>IFERROR(__xludf.DUMMYFUNCTION("""COMPUTED_VALUE"""),83.0)</f>
        <v>83</v>
      </c>
      <c r="E103" s="243">
        <f>IFERROR(__xludf.DUMMYFUNCTION("""COMPUTED_VALUE"""),0.1438474870017331)</f>
        <v>0.143847487</v>
      </c>
      <c r="F103" s="242">
        <f>IFERROR(__xludf.DUMMYFUNCTION("""COMPUTED_VALUE"""),1.0)</f>
        <v>1</v>
      </c>
      <c r="G103" s="243">
        <f>IFERROR(__xludf.DUMMYFUNCTION("""COMPUTED_VALUE"""),0.012048192771084338)</f>
        <v>0.01204819277</v>
      </c>
      <c r="H103" s="242">
        <f>IFERROR(__xludf.DUMMYFUNCTION("""COMPUTED_VALUE"""),1.0)</f>
        <v>1</v>
      </c>
      <c r="I103" s="243">
        <f>IFERROR(__xludf.DUMMYFUNCTION("""COMPUTED_VALUE"""),0.012048192771084338)</f>
        <v>0.01204819277</v>
      </c>
      <c r="J103" s="244"/>
      <c r="K103" s="244"/>
      <c r="L103" s="244"/>
      <c r="M103" s="244"/>
      <c r="N103" s="245"/>
      <c r="O103" s="245"/>
      <c r="P103" s="245"/>
      <c r="Q103" s="245"/>
      <c r="R103" s="246"/>
      <c r="S103" s="246"/>
      <c r="T103" s="246"/>
      <c r="U103" s="246">
        <f>IFERROR(__xludf.DUMMYFUNCTION("""COMPUTED_VALUE"""),0.0)</f>
        <v>0</v>
      </c>
      <c r="V103" s="247"/>
      <c r="W103" s="247"/>
      <c r="X103" s="247"/>
      <c r="Y103" s="247">
        <f>IFERROR(__xludf.DUMMYFUNCTION("""COMPUTED_VALUE"""),0.0)</f>
        <v>0</v>
      </c>
      <c r="Z103" s="248"/>
      <c r="AA103" s="248"/>
      <c r="AB103" s="248"/>
      <c r="AC103" s="248">
        <f>IFERROR(__xludf.DUMMYFUNCTION("""COMPUTED_VALUE"""),0.0)</f>
        <v>0</v>
      </c>
      <c r="AD103" s="249"/>
      <c r="AE103" s="249"/>
      <c r="AF103" s="249"/>
      <c r="AG103" s="250"/>
      <c r="AH103" s="228"/>
      <c r="AI103" s="228"/>
      <c r="AJ103" s="228"/>
      <c r="AK103" s="228"/>
      <c r="AL103" s="224"/>
      <c r="AM103" s="224"/>
      <c r="AN103" s="224"/>
      <c r="AO103" s="224"/>
      <c r="AP103" s="226"/>
      <c r="AQ103" s="226"/>
      <c r="AR103" s="226"/>
      <c r="AS103" s="226"/>
      <c r="AT103" s="229"/>
      <c r="AU103" s="229"/>
      <c r="AV103" s="229"/>
      <c r="AW103" s="230"/>
      <c r="AX103" s="246"/>
      <c r="AY103" s="246"/>
      <c r="AZ103" s="246"/>
      <c r="BA103" s="251"/>
      <c r="BB103" s="227"/>
      <c r="BC103" s="227"/>
      <c r="BD103" s="227"/>
      <c r="BE103" s="227"/>
      <c r="BF103" s="222">
        <f>IFERROR(__xludf.DUMMYFUNCTION("""COMPUTED_VALUE"""),577.0)</f>
        <v>577</v>
      </c>
      <c r="BG103" s="222">
        <f>IFERROR(__xludf.DUMMYFUNCTION("""COMPUTED_VALUE"""),83.0)</f>
        <v>83</v>
      </c>
      <c r="BH103" s="222">
        <f>IFERROR(__xludf.DUMMYFUNCTION("""COMPUTED_VALUE"""),1.0)</f>
        <v>1</v>
      </c>
      <c r="BI103" s="222">
        <f>IFERROR(__xludf.DUMMYFUNCTION("""COMPUTED_VALUE"""),1.0)</f>
        <v>1</v>
      </c>
    </row>
    <row r="104">
      <c r="B104" s="202" t="str">
        <f>IFERROR(__xludf.DUMMYFUNCTION("""COMPUTED_VALUE"""),"鈴木")</f>
        <v>鈴木</v>
      </c>
      <c r="C104" s="202">
        <f>IFERROR(__xludf.DUMMYFUNCTION("""COMPUTED_VALUE"""),84574.0)</f>
        <v>84574</v>
      </c>
      <c r="D104" s="202">
        <f>IFERROR(__xludf.DUMMYFUNCTION("""COMPUTED_VALUE"""),4837.0)</f>
        <v>4837</v>
      </c>
      <c r="E104" s="219">
        <f>IFERROR(__xludf.DUMMYFUNCTION("""COMPUTED_VALUE"""),0.057192517795067045)</f>
        <v>0.0571925178</v>
      </c>
      <c r="F104" s="202">
        <f>IFERROR(__xludf.DUMMYFUNCTION("""COMPUTED_VALUE"""),85.5)</f>
        <v>85.5</v>
      </c>
      <c r="G104" s="219">
        <f>IFERROR(__xludf.DUMMYFUNCTION("""COMPUTED_VALUE"""),0.017676245606781063)</f>
        <v>0.01767624561</v>
      </c>
      <c r="H104" s="202">
        <f>IFERROR(__xludf.DUMMYFUNCTION("""COMPUTED_VALUE"""),116.0)</f>
        <v>116</v>
      </c>
      <c r="I104" s="219">
        <f>IFERROR(__xludf.DUMMYFUNCTION("""COMPUTED_VALUE"""),0.02398180690510647)</f>
        <v>0.02398180691</v>
      </c>
      <c r="J104" s="202"/>
      <c r="K104" s="202"/>
      <c r="L104" s="202"/>
      <c r="M104" s="202"/>
      <c r="N104" s="202"/>
      <c r="O104" s="202"/>
      <c r="P104" s="202"/>
      <c r="Q104" s="202"/>
      <c r="R104" s="202">
        <f>IFERROR(__xludf.DUMMYFUNCTION("""COMPUTED_VALUE"""),273.0)</f>
        <v>273</v>
      </c>
      <c r="S104" s="202">
        <f>IFERROR(__xludf.DUMMYFUNCTION("""COMPUTED_VALUE"""),61.0)</f>
        <v>61</v>
      </c>
      <c r="T104" s="202">
        <f>IFERROR(__xludf.DUMMYFUNCTION("""COMPUTED_VALUE"""),9.0)</f>
        <v>9</v>
      </c>
      <c r="U104" s="202">
        <f>IFERROR(__xludf.DUMMYFUNCTION("""COMPUTED_VALUE"""),12.0)</f>
        <v>12</v>
      </c>
      <c r="V104" s="202">
        <f>IFERROR(__xludf.DUMMYFUNCTION("""COMPUTED_VALUE"""),1844.0)</f>
        <v>1844</v>
      </c>
      <c r="W104" s="202">
        <f>IFERROR(__xludf.DUMMYFUNCTION("""COMPUTED_VALUE"""),390.0)</f>
        <v>390</v>
      </c>
      <c r="X104" s="202">
        <f>IFERROR(__xludf.DUMMYFUNCTION("""COMPUTED_VALUE"""),1.0)</f>
        <v>1</v>
      </c>
      <c r="Y104" s="202">
        <f>IFERROR(__xludf.DUMMYFUNCTION("""COMPUTED_VALUE"""),2.0)</f>
        <v>2</v>
      </c>
      <c r="Z104" s="202">
        <f>IFERROR(__xludf.DUMMYFUNCTION("""COMPUTED_VALUE"""),1533.0)</f>
        <v>1533</v>
      </c>
      <c r="AA104" s="202">
        <f>IFERROR(__xludf.DUMMYFUNCTION("""COMPUTED_VALUE"""),0.0)</f>
        <v>0</v>
      </c>
      <c r="AB104" s="202">
        <f>IFERROR(__xludf.DUMMYFUNCTION("""COMPUTED_VALUE"""),0.0)</f>
        <v>0</v>
      </c>
      <c r="AC104" s="202">
        <f>IFERROR(__xludf.DUMMYFUNCTION("""COMPUTED_VALUE"""),0.0)</f>
        <v>0</v>
      </c>
      <c r="AD104" s="202">
        <f>IFERROR(__xludf.DUMMYFUNCTION("""COMPUTED_VALUE"""),0.0)</f>
        <v>0</v>
      </c>
      <c r="AE104" s="202">
        <f>IFERROR(__xludf.DUMMYFUNCTION("""COMPUTED_VALUE"""),0.0)</f>
        <v>0</v>
      </c>
      <c r="AF104" s="202">
        <f>IFERROR(__xludf.DUMMYFUNCTION("""COMPUTED_VALUE"""),0.0)</f>
        <v>0</v>
      </c>
      <c r="AG104" s="202">
        <f>IFERROR(__xludf.DUMMYFUNCTION("""COMPUTED_VALUE"""),0.0)</f>
        <v>0</v>
      </c>
      <c r="AH104" s="202">
        <f>IFERROR(__xludf.DUMMYFUNCTION("""COMPUTED_VALUE"""),13761.0)</f>
        <v>13761</v>
      </c>
      <c r="AI104" s="202">
        <f>IFERROR(__xludf.DUMMYFUNCTION("""COMPUTED_VALUE"""),581.0)</f>
        <v>581</v>
      </c>
      <c r="AJ104" s="202">
        <f>IFERROR(__xludf.DUMMYFUNCTION("""COMPUTED_VALUE"""),4.0)</f>
        <v>4</v>
      </c>
      <c r="AK104" s="202">
        <f>IFERROR(__xludf.DUMMYFUNCTION("""COMPUTED_VALUE"""),4.0)</f>
        <v>4</v>
      </c>
      <c r="AL104" s="202">
        <f>IFERROR(__xludf.DUMMYFUNCTION("""COMPUTED_VALUE"""),22917.0)</f>
        <v>22917</v>
      </c>
      <c r="AM104" s="202">
        <f>IFERROR(__xludf.DUMMYFUNCTION("""COMPUTED_VALUE"""),1070.0)</f>
        <v>1070</v>
      </c>
      <c r="AN104" s="202">
        <f>IFERROR(__xludf.DUMMYFUNCTION("""COMPUTED_VALUE"""),16.0)</f>
        <v>16</v>
      </c>
      <c r="AO104" s="202">
        <f>IFERROR(__xludf.DUMMYFUNCTION("""COMPUTED_VALUE"""),21.0)</f>
        <v>21</v>
      </c>
      <c r="AP104" s="202">
        <f>IFERROR(__xludf.DUMMYFUNCTION("""COMPUTED_VALUE"""),26675.0)</f>
        <v>26675</v>
      </c>
      <c r="AQ104" s="202">
        <f>IFERROR(__xludf.DUMMYFUNCTION("""COMPUTED_VALUE"""),923.0)</f>
        <v>923</v>
      </c>
      <c r="AR104" s="202">
        <f>IFERROR(__xludf.DUMMYFUNCTION("""COMPUTED_VALUE"""),21.5)</f>
        <v>21.5</v>
      </c>
      <c r="AS104" s="202">
        <f>IFERROR(__xludf.DUMMYFUNCTION("""COMPUTED_VALUE"""),26.0)</f>
        <v>26</v>
      </c>
      <c r="AT104" s="202">
        <f>IFERROR(__xludf.DUMMYFUNCTION("""COMPUTED_VALUE"""),13222.0)</f>
        <v>13222</v>
      </c>
      <c r="AU104" s="202">
        <f>IFERROR(__xludf.DUMMYFUNCTION("""COMPUTED_VALUE"""),1075.0)</f>
        <v>1075</v>
      </c>
      <c r="AV104" s="202">
        <f>IFERROR(__xludf.DUMMYFUNCTION("""COMPUTED_VALUE"""),25.0)</f>
        <v>25</v>
      </c>
      <c r="AW104" s="202">
        <f>IFERROR(__xludf.DUMMYFUNCTION("""COMPUTED_VALUE"""),32.0)</f>
        <v>32</v>
      </c>
      <c r="AX104" s="202">
        <f>IFERROR(__xludf.DUMMYFUNCTION("""COMPUTED_VALUE"""),4349.0)</f>
        <v>4349</v>
      </c>
      <c r="AY104" s="202">
        <f>IFERROR(__xludf.DUMMYFUNCTION("""COMPUTED_VALUE"""),737.0)</f>
        <v>737</v>
      </c>
      <c r="AZ104" s="202">
        <f>IFERROR(__xludf.DUMMYFUNCTION("""COMPUTED_VALUE"""),9.0)</f>
        <v>9</v>
      </c>
      <c r="BA104" s="202">
        <f>IFERROR(__xludf.DUMMYFUNCTION("""COMPUTED_VALUE"""),19.0)</f>
        <v>19</v>
      </c>
      <c r="BB104" s="202"/>
      <c r="BC104" s="202"/>
      <c r="BD104" s="202"/>
      <c r="BE104" s="202"/>
      <c r="BF104" s="202"/>
      <c r="BG104" s="202"/>
      <c r="BH104" s="202"/>
      <c r="BI104" s="202"/>
    </row>
    <row r="105">
      <c r="B105" s="220" t="str">
        <f>IFERROR(__xludf.DUMMYFUNCTION("""COMPUTED_VALUE"""),"仲間")</f>
        <v>仲間</v>
      </c>
      <c r="C105" s="220">
        <f>IFERROR(__xludf.DUMMYFUNCTION("""COMPUTED_VALUE"""),44781.0)</f>
        <v>44781</v>
      </c>
      <c r="D105" s="220">
        <f>IFERROR(__xludf.DUMMYFUNCTION("""COMPUTED_VALUE"""),4026.0)</f>
        <v>4026</v>
      </c>
      <c r="E105" s="221">
        <f>IFERROR(__xludf.DUMMYFUNCTION("""COMPUTED_VALUE"""),0.0899042004421518)</f>
        <v>0.08990420044</v>
      </c>
      <c r="F105" s="220">
        <f>IFERROR(__xludf.DUMMYFUNCTION("""COMPUTED_VALUE"""),21.0)</f>
        <v>21</v>
      </c>
      <c r="G105" s="221">
        <f>IFERROR(__xludf.DUMMYFUNCTION("""COMPUTED_VALUE"""),0.005216095380029807)</f>
        <v>0.00521609538</v>
      </c>
      <c r="H105" s="220">
        <f>IFERROR(__xludf.DUMMYFUNCTION("""COMPUTED_VALUE"""),31.0)</f>
        <v>31</v>
      </c>
      <c r="I105" s="221">
        <f>IFERROR(__xludf.DUMMYFUNCTION("""COMPUTED_VALUE"""),0.007699950322901143)</f>
        <v>0.007699950323</v>
      </c>
      <c r="J105" s="222"/>
      <c r="K105" s="222"/>
      <c r="L105" s="222"/>
      <c r="M105" s="222"/>
      <c r="N105" s="223"/>
      <c r="O105" s="223"/>
      <c r="P105" s="223"/>
      <c r="Q105" s="223"/>
      <c r="R105" s="224">
        <f>IFERROR(__xludf.DUMMYFUNCTION("""COMPUTED_VALUE"""),3141.0)</f>
        <v>3141</v>
      </c>
      <c r="S105" s="224">
        <f>IFERROR(__xludf.DUMMYFUNCTION("""COMPUTED_VALUE"""),327.0)</f>
        <v>327</v>
      </c>
      <c r="T105" s="224">
        <f>IFERROR(__xludf.DUMMYFUNCTION("""COMPUTED_VALUE"""),3.0)</f>
        <v>3</v>
      </c>
      <c r="U105" s="224">
        <f>IFERROR(__xludf.DUMMYFUNCTION("""COMPUTED_VALUE"""),5.0)</f>
        <v>5</v>
      </c>
      <c r="V105" s="225">
        <f>IFERROR(__xludf.DUMMYFUNCTION("""COMPUTED_VALUE"""),1904.0)</f>
        <v>1904</v>
      </c>
      <c r="W105" s="225">
        <f>IFERROR(__xludf.DUMMYFUNCTION("""COMPUTED_VALUE"""),299.0)</f>
        <v>299</v>
      </c>
      <c r="X105" s="225">
        <f>IFERROR(__xludf.DUMMYFUNCTION("""COMPUTED_VALUE"""),0.0)</f>
        <v>0</v>
      </c>
      <c r="Y105" s="225">
        <f>IFERROR(__xludf.DUMMYFUNCTION("""COMPUTED_VALUE"""),1.0)</f>
        <v>1</v>
      </c>
      <c r="Z105" s="226">
        <f>IFERROR(__xludf.DUMMYFUNCTION("""COMPUTED_VALUE"""),2517.0)</f>
        <v>2517</v>
      </c>
      <c r="AA105" s="226">
        <f>IFERROR(__xludf.DUMMYFUNCTION("""COMPUTED_VALUE"""),138.0)</f>
        <v>138</v>
      </c>
      <c r="AB105" s="226">
        <f>IFERROR(__xludf.DUMMYFUNCTION("""COMPUTED_VALUE"""),0.0)</f>
        <v>0</v>
      </c>
      <c r="AC105" s="226">
        <f>IFERROR(__xludf.DUMMYFUNCTION("""COMPUTED_VALUE"""),1.0)</f>
        <v>1</v>
      </c>
      <c r="AD105" s="227">
        <f>IFERROR(__xludf.DUMMYFUNCTION("""COMPUTED_VALUE"""),2968.0)</f>
        <v>2968</v>
      </c>
      <c r="AE105" s="227">
        <f>IFERROR(__xludf.DUMMYFUNCTION("""COMPUTED_VALUE"""),1379.0)</f>
        <v>1379</v>
      </c>
      <c r="AF105" s="227">
        <f>IFERROR(__xludf.DUMMYFUNCTION("""COMPUTED_VALUE"""),2.0)</f>
        <v>2</v>
      </c>
      <c r="AG105" s="227">
        <f>IFERROR(__xludf.DUMMYFUNCTION("""COMPUTED_VALUE"""),6.0)</f>
        <v>6</v>
      </c>
      <c r="AH105" s="228">
        <f>IFERROR(__xludf.DUMMYFUNCTION("""COMPUTED_VALUE"""),13958.0)</f>
        <v>13958</v>
      </c>
      <c r="AI105" s="228">
        <f>IFERROR(__xludf.DUMMYFUNCTION("""COMPUTED_VALUE"""),575.0)</f>
        <v>575</v>
      </c>
      <c r="AJ105" s="228">
        <f>IFERROR(__xludf.DUMMYFUNCTION("""COMPUTED_VALUE"""),6.0)</f>
        <v>6</v>
      </c>
      <c r="AK105" s="228">
        <f>IFERROR(__xludf.DUMMYFUNCTION("""COMPUTED_VALUE"""),6.0)</f>
        <v>6</v>
      </c>
      <c r="AL105" s="224">
        <f>IFERROR(__xludf.DUMMYFUNCTION("""COMPUTED_VALUE"""),20293.0)</f>
        <v>20293</v>
      </c>
      <c r="AM105" s="224">
        <f>IFERROR(__xludf.DUMMYFUNCTION("""COMPUTED_VALUE"""),1308.0)</f>
        <v>1308</v>
      </c>
      <c r="AN105" s="224">
        <f>IFERROR(__xludf.DUMMYFUNCTION("""COMPUTED_VALUE"""),10.0)</f>
        <v>10</v>
      </c>
      <c r="AO105" s="224">
        <f>IFERROR(__xludf.DUMMYFUNCTION("""COMPUTED_VALUE"""),12.0)</f>
        <v>12</v>
      </c>
      <c r="AP105" s="226"/>
      <c r="AQ105" s="226"/>
      <c r="AR105" s="226"/>
      <c r="AS105" s="226"/>
      <c r="AT105" s="229"/>
      <c r="AU105" s="229"/>
      <c r="AV105" s="229"/>
      <c r="AW105" s="229"/>
      <c r="AX105" s="224"/>
      <c r="AY105" s="224"/>
      <c r="AZ105" s="224"/>
      <c r="BA105" s="224"/>
      <c r="BB105" s="227"/>
      <c r="BC105" s="227"/>
      <c r="BD105" s="227"/>
      <c r="BE105" s="227"/>
      <c r="BF105" s="222"/>
      <c r="BG105" s="222"/>
      <c r="BH105" s="222"/>
      <c r="BI105" s="222"/>
    </row>
    <row r="108">
      <c r="A108" s="252"/>
      <c r="B108" s="253" t="str">
        <f>IFERROR(__xludf.DUMMYFUNCTION("IMPORTRANGE(""1vYc4iTJ16E7R6SUnGhwdB4aOJULuweZOJUwnvK3B2Ug"", ""顧客リスト!AR6:BE30"")
"),"#REF!")</f>
        <v>#REF!</v>
      </c>
      <c r="C108" s="253"/>
      <c r="D108" s="253"/>
      <c r="E108" s="253"/>
      <c r="F108" s="253"/>
      <c r="G108" s="253"/>
      <c r="H108" s="253"/>
      <c r="I108" s="253"/>
      <c r="J108" s="253"/>
      <c r="K108" s="253"/>
      <c r="L108" s="253"/>
      <c r="M108" s="253"/>
      <c r="N108" s="253"/>
      <c r="O108" s="253"/>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c r="BM108" s="252"/>
      <c r="BN108" s="252"/>
      <c r="BO108" s="252"/>
      <c r="BP108" s="252"/>
    </row>
    <row r="109">
      <c r="B109" s="5"/>
      <c r="C109" s="5"/>
      <c r="D109" s="5"/>
      <c r="E109" s="5"/>
      <c r="F109" s="5"/>
      <c r="G109" s="5"/>
      <c r="H109" s="5"/>
      <c r="I109" s="5"/>
      <c r="J109" s="5"/>
      <c r="K109" s="5"/>
      <c r="L109" s="5"/>
      <c r="M109" s="5"/>
      <c r="N109" s="5"/>
      <c r="O109" s="5"/>
    </row>
    <row r="110">
      <c r="B110" s="5"/>
      <c r="C110" s="5"/>
      <c r="D110" s="5"/>
      <c r="E110" s="5"/>
      <c r="F110" s="5"/>
      <c r="G110" s="5"/>
      <c r="H110" s="5"/>
      <c r="I110" s="5"/>
      <c r="J110" s="5"/>
      <c r="K110" s="5"/>
      <c r="L110" s="5"/>
      <c r="M110" s="5"/>
      <c r="N110" s="5"/>
      <c r="O110" s="5"/>
    </row>
    <row r="111">
      <c r="B111" s="5"/>
      <c r="C111" s="5"/>
      <c r="D111" s="5"/>
      <c r="E111" s="5"/>
      <c r="F111" s="5"/>
      <c r="G111" s="5"/>
      <c r="H111" s="5"/>
      <c r="I111" s="5"/>
      <c r="J111" s="5"/>
      <c r="K111" s="5"/>
      <c r="L111" s="5"/>
      <c r="M111" s="5"/>
      <c r="N111" s="5"/>
      <c r="O111" s="5"/>
    </row>
    <row r="112">
      <c r="B112" s="5"/>
      <c r="C112" s="5"/>
      <c r="D112" s="5"/>
      <c r="E112" s="5"/>
      <c r="F112" s="5"/>
      <c r="G112" s="5"/>
      <c r="H112" s="5"/>
      <c r="I112" s="5"/>
      <c r="J112" s="5"/>
      <c r="K112" s="5"/>
      <c r="L112" s="5"/>
      <c r="M112" s="5"/>
      <c r="N112" s="5"/>
      <c r="O112" s="5"/>
    </row>
    <row r="113">
      <c r="B113" s="5"/>
      <c r="C113" s="5"/>
      <c r="D113" s="5"/>
      <c r="E113" s="5"/>
      <c r="F113" s="5"/>
      <c r="G113" s="5"/>
      <c r="H113" s="5"/>
      <c r="I113" s="5"/>
      <c r="J113" s="5"/>
      <c r="K113" s="5"/>
      <c r="L113" s="5"/>
      <c r="M113" s="5"/>
      <c r="N113" s="5"/>
      <c r="O113" s="5"/>
    </row>
    <row r="114">
      <c r="B114" s="5"/>
      <c r="C114" s="5"/>
      <c r="D114" s="5"/>
      <c r="E114" s="5"/>
      <c r="F114" s="5"/>
      <c r="G114" s="5"/>
      <c r="H114" s="5"/>
      <c r="I114" s="5"/>
      <c r="J114" s="5"/>
      <c r="K114" s="5"/>
      <c r="L114" s="5"/>
      <c r="M114" s="5"/>
      <c r="N114" s="5"/>
      <c r="O114" s="5"/>
    </row>
    <row r="115">
      <c r="B115" s="5"/>
      <c r="C115" s="5"/>
      <c r="D115" s="5"/>
      <c r="E115" s="5"/>
      <c r="F115" s="5"/>
      <c r="G115" s="5"/>
      <c r="H115" s="5"/>
      <c r="I115" s="5"/>
      <c r="J115" s="5"/>
      <c r="K115" s="5"/>
      <c r="L115" s="5"/>
      <c r="M115" s="5"/>
      <c r="N115" s="5"/>
      <c r="O115" s="5"/>
    </row>
    <row r="116">
      <c r="B116" s="5"/>
      <c r="C116" s="5"/>
      <c r="D116" s="5"/>
      <c r="E116" s="5"/>
      <c r="F116" s="5"/>
      <c r="G116" s="5"/>
      <c r="H116" s="5"/>
      <c r="I116" s="5"/>
      <c r="J116" s="5"/>
      <c r="K116" s="5"/>
      <c r="L116" s="5"/>
      <c r="M116" s="5"/>
      <c r="N116" s="5"/>
      <c r="O116" s="5"/>
    </row>
    <row r="117">
      <c r="B117" s="5"/>
      <c r="C117" s="5"/>
      <c r="D117" s="5"/>
      <c r="E117" s="5"/>
      <c r="F117" s="5"/>
      <c r="G117" s="5"/>
      <c r="H117" s="5"/>
      <c r="I117" s="5"/>
      <c r="J117" s="5"/>
      <c r="K117" s="5"/>
      <c r="L117" s="5"/>
      <c r="M117" s="5"/>
      <c r="N117" s="5"/>
      <c r="O117" s="5"/>
    </row>
    <row r="118">
      <c r="B118" s="5"/>
      <c r="C118" s="5"/>
      <c r="D118" s="5"/>
      <c r="E118" s="5"/>
      <c r="F118" s="5"/>
      <c r="G118" s="5"/>
      <c r="H118" s="5"/>
      <c r="I118" s="5"/>
      <c r="J118" s="5"/>
      <c r="K118" s="5"/>
      <c r="L118" s="5"/>
      <c r="M118" s="5"/>
      <c r="N118" s="5"/>
      <c r="O118" s="5"/>
    </row>
    <row r="119">
      <c r="B119" s="5"/>
      <c r="C119" s="5"/>
      <c r="D119" s="5"/>
      <c r="E119" s="5"/>
      <c r="F119" s="5"/>
      <c r="G119" s="5"/>
      <c r="H119" s="5"/>
      <c r="I119" s="5"/>
      <c r="J119" s="5"/>
      <c r="K119" s="5"/>
      <c r="L119" s="5"/>
      <c r="M119" s="5"/>
      <c r="N119" s="5"/>
      <c r="O119" s="5"/>
    </row>
    <row r="120">
      <c r="B120" s="5"/>
      <c r="C120" s="5"/>
      <c r="D120" s="5"/>
      <c r="E120" s="5"/>
      <c r="F120" s="5"/>
      <c r="G120" s="5"/>
      <c r="H120" s="5"/>
      <c r="I120" s="5"/>
      <c r="J120" s="5"/>
      <c r="K120" s="5"/>
      <c r="L120" s="5"/>
      <c r="M120" s="5"/>
      <c r="N120" s="5"/>
      <c r="O120" s="5"/>
    </row>
    <row r="121">
      <c r="B121" s="5"/>
      <c r="C121" s="5"/>
      <c r="D121" s="5"/>
      <c r="E121" s="5"/>
      <c r="F121" s="5"/>
      <c r="G121" s="5"/>
      <c r="H121" s="5"/>
      <c r="I121" s="5"/>
      <c r="J121" s="5"/>
      <c r="K121" s="5"/>
      <c r="L121" s="5"/>
      <c r="M121" s="5"/>
      <c r="N121" s="5"/>
      <c r="O121" s="5"/>
    </row>
    <row r="122">
      <c r="B122" s="5"/>
      <c r="C122" s="5"/>
      <c r="D122" s="5"/>
      <c r="E122" s="5"/>
      <c r="F122" s="5"/>
      <c r="G122" s="5"/>
      <c r="H122" s="5"/>
      <c r="I122" s="5"/>
      <c r="J122" s="5"/>
      <c r="K122" s="5"/>
      <c r="L122" s="5"/>
      <c r="M122" s="5"/>
      <c r="N122" s="5"/>
      <c r="O122" s="5"/>
    </row>
    <row r="123">
      <c r="B123" s="5"/>
      <c r="C123" s="5"/>
      <c r="D123" s="5"/>
      <c r="E123" s="5"/>
      <c r="F123" s="5"/>
      <c r="G123" s="5"/>
      <c r="H123" s="5"/>
      <c r="I123" s="5"/>
      <c r="J123" s="5"/>
      <c r="K123" s="5"/>
      <c r="L123" s="5"/>
      <c r="M123" s="5"/>
      <c r="N123" s="5"/>
      <c r="O123" s="5"/>
    </row>
    <row r="124">
      <c r="B124" s="5"/>
      <c r="C124" s="5"/>
      <c r="D124" s="5"/>
      <c r="E124" s="5"/>
      <c r="F124" s="5"/>
      <c r="G124" s="5"/>
      <c r="H124" s="5"/>
      <c r="I124" s="5"/>
      <c r="J124" s="5"/>
      <c r="K124" s="5"/>
      <c r="L124" s="5"/>
      <c r="M124" s="5"/>
      <c r="N124" s="5"/>
      <c r="O124" s="5"/>
    </row>
    <row r="125">
      <c r="B125" s="5"/>
      <c r="C125" s="5"/>
      <c r="D125" s="5"/>
      <c r="E125" s="5"/>
      <c r="F125" s="5"/>
      <c r="G125" s="5"/>
      <c r="H125" s="5"/>
      <c r="I125" s="5"/>
      <c r="J125" s="5"/>
      <c r="K125" s="5"/>
      <c r="L125" s="5"/>
      <c r="M125" s="5"/>
      <c r="N125" s="5"/>
      <c r="O125" s="5"/>
    </row>
    <row r="126">
      <c r="B126" s="5"/>
      <c r="C126" s="5"/>
      <c r="D126" s="5"/>
      <c r="E126" s="5"/>
      <c r="F126" s="5"/>
      <c r="G126" s="5"/>
      <c r="H126" s="5"/>
      <c r="I126" s="5"/>
      <c r="J126" s="5"/>
      <c r="K126" s="5"/>
      <c r="L126" s="5"/>
      <c r="M126" s="5"/>
      <c r="N126" s="5"/>
      <c r="O126" s="5"/>
    </row>
    <row r="127">
      <c r="B127" s="5"/>
      <c r="C127" s="5"/>
      <c r="D127" s="5"/>
      <c r="E127" s="5"/>
      <c r="F127" s="5"/>
      <c r="G127" s="5"/>
      <c r="H127" s="5"/>
      <c r="I127" s="5"/>
      <c r="J127" s="5"/>
      <c r="K127" s="5"/>
      <c r="L127" s="5"/>
      <c r="M127" s="5"/>
      <c r="N127" s="5"/>
      <c r="O127" s="5"/>
    </row>
    <row r="128">
      <c r="B128" s="5"/>
      <c r="C128" s="5"/>
      <c r="D128" s="5"/>
      <c r="E128" s="5"/>
      <c r="F128" s="5"/>
      <c r="G128" s="5"/>
      <c r="H128" s="5"/>
      <c r="I128" s="5"/>
      <c r="J128" s="5"/>
      <c r="K128" s="5"/>
      <c r="L128" s="5"/>
      <c r="M128" s="5"/>
      <c r="N128" s="5"/>
      <c r="O128" s="5"/>
    </row>
    <row r="129">
      <c r="B129" s="5"/>
      <c r="C129" s="5"/>
      <c r="D129" s="5"/>
      <c r="E129" s="5"/>
      <c r="F129" s="5"/>
      <c r="G129" s="5"/>
      <c r="H129" s="5"/>
      <c r="I129" s="5"/>
      <c r="J129" s="5"/>
      <c r="K129" s="5"/>
      <c r="L129" s="5"/>
      <c r="M129" s="5"/>
      <c r="N129" s="5"/>
      <c r="O129" s="5"/>
    </row>
    <row r="130">
      <c r="B130" s="5"/>
      <c r="C130" s="5"/>
      <c r="D130" s="5"/>
      <c r="E130" s="5"/>
      <c r="F130" s="5"/>
      <c r="G130" s="5"/>
      <c r="H130" s="5"/>
      <c r="I130" s="5"/>
      <c r="J130" s="5"/>
      <c r="K130" s="5"/>
      <c r="L130" s="5"/>
      <c r="M130" s="5"/>
      <c r="N130" s="5"/>
      <c r="O130" s="5"/>
    </row>
    <row r="131">
      <c r="A131" s="145"/>
      <c r="B131" s="254"/>
      <c r="C131" s="254"/>
      <c r="D131" s="254"/>
      <c r="E131" s="254"/>
      <c r="F131" s="254"/>
      <c r="G131" s="254"/>
      <c r="H131" s="254"/>
      <c r="I131" s="254"/>
      <c r="J131" s="254"/>
      <c r="K131" s="254"/>
      <c r="L131" s="254"/>
      <c r="M131" s="254"/>
      <c r="N131" s="254"/>
      <c r="O131" s="254"/>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c r="BC131" s="145"/>
      <c r="BD131" s="145"/>
      <c r="BE131" s="145"/>
      <c r="BF131" s="145"/>
      <c r="BG131" s="145"/>
      <c r="BH131" s="145"/>
      <c r="BI131" s="145"/>
      <c r="BJ131" s="145"/>
      <c r="BK131" s="145"/>
      <c r="BL131" s="145"/>
      <c r="BM131" s="145"/>
      <c r="BN131" s="145"/>
      <c r="BO131" s="145"/>
      <c r="BP131" s="145"/>
    </row>
    <row r="132">
      <c r="A132" s="145"/>
      <c r="B132" s="254"/>
      <c r="C132" s="254"/>
      <c r="D132" s="254"/>
      <c r="E132" s="254"/>
      <c r="F132" s="254"/>
      <c r="G132" s="254"/>
      <c r="H132" s="255"/>
      <c r="I132" s="255"/>
      <c r="J132" s="255"/>
      <c r="K132" s="255"/>
      <c r="L132" s="255"/>
      <c r="M132" s="255"/>
      <c r="N132" s="255"/>
      <c r="O132" s="254"/>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c r="BC132" s="145"/>
      <c r="BD132" s="145"/>
      <c r="BE132" s="145"/>
      <c r="BF132" s="145"/>
      <c r="BG132" s="145"/>
      <c r="BH132" s="145"/>
      <c r="BI132" s="145"/>
      <c r="BJ132" s="145"/>
      <c r="BK132" s="145"/>
      <c r="BL132" s="145"/>
      <c r="BM132" s="145"/>
      <c r="BN132" s="145"/>
      <c r="BO132" s="145"/>
      <c r="BP132" s="145"/>
    </row>
  </sheetData>
  <mergeCells count="33">
    <mergeCell ref="V10:Y10"/>
    <mergeCell ref="Z10:AC10"/>
    <mergeCell ref="AD10:AG10"/>
    <mergeCell ref="AH10:AK10"/>
    <mergeCell ref="AL10:AO10"/>
    <mergeCell ref="B1:K1"/>
    <mergeCell ref="B3:L3"/>
    <mergeCell ref="B10:E10"/>
    <mergeCell ref="F10:I10"/>
    <mergeCell ref="N10:Q10"/>
    <mergeCell ref="R10:U10"/>
    <mergeCell ref="B52:K52"/>
    <mergeCell ref="J10:M10"/>
    <mergeCell ref="J79:M79"/>
    <mergeCell ref="N79:Q79"/>
    <mergeCell ref="R79:U79"/>
    <mergeCell ref="V79:Y79"/>
    <mergeCell ref="Z79:AC79"/>
    <mergeCell ref="AD79:AG79"/>
    <mergeCell ref="AH81:AK81"/>
    <mergeCell ref="AL81:AO81"/>
    <mergeCell ref="AP81:AS81"/>
    <mergeCell ref="AT81:AW81"/>
    <mergeCell ref="AX81:BA81"/>
    <mergeCell ref="BB81:BE81"/>
    <mergeCell ref="BF81:BI81"/>
    <mergeCell ref="C81:I81"/>
    <mergeCell ref="J81:M81"/>
    <mergeCell ref="N81:Q81"/>
    <mergeCell ref="R81:U81"/>
    <mergeCell ref="V81:Y81"/>
    <mergeCell ref="Z81:AC81"/>
    <mergeCell ref="AD81:AG81"/>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6.13"/>
    <col customWidth="1" min="4" max="4" width="17.63"/>
  </cols>
  <sheetData>
    <row r="1">
      <c r="A1" s="32" t="s">
        <v>120</v>
      </c>
      <c r="B1" s="33"/>
      <c r="C1" s="33"/>
      <c r="D1" s="33"/>
      <c r="E1" s="33"/>
      <c r="F1" s="33"/>
      <c r="G1" s="33"/>
      <c r="H1" s="33"/>
      <c r="I1" s="33"/>
      <c r="J1" s="33"/>
      <c r="K1" s="33"/>
      <c r="L1" s="33"/>
      <c r="M1" s="33"/>
      <c r="N1" s="33"/>
      <c r="O1" s="33"/>
      <c r="P1" s="33"/>
      <c r="Q1" s="33"/>
      <c r="R1" s="33"/>
      <c r="S1" s="33"/>
      <c r="T1" s="33"/>
      <c r="U1" s="33"/>
      <c r="V1" s="33"/>
      <c r="W1" s="33"/>
      <c r="X1" s="33"/>
      <c r="Y1" s="33"/>
      <c r="Z1" s="33"/>
    </row>
    <row r="2">
      <c r="A2" s="33"/>
      <c r="B2" s="256"/>
      <c r="C2" s="256" t="s">
        <v>22</v>
      </c>
      <c r="D2" s="256" t="s">
        <v>121</v>
      </c>
      <c r="E2" s="256" t="s">
        <v>121</v>
      </c>
      <c r="F2" s="33"/>
      <c r="G2" s="33"/>
      <c r="H2" s="33"/>
      <c r="I2" s="33"/>
      <c r="J2" s="33"/>
      <c r="K2" s="33"/>
      <c r="L2" s="33"/>
      <c r="M2" s="33"/>
      <c r="N2" s="33"/>
      <c r="O2" s="33"/>
      <c r="P2" s="33"/>
      <c r="Q2" s="33"/>
      <c r="R2" s="33"/>
      <c r="S2" s="33"/>
      <c r="T2" s="33"/>
      <c r="U2" s="33"/>
      <c r="V2" s="33"/>
      <c r="W2" s="33"/>
      <c r="X2" s="33"/>
      <c r="Y2" s="33"/>
      <c r="Z2" s="33"/>
    </row>
    <row r="3">
      <c r="A3" s="257" t="s">
        <v>122</v>
      </c>
      <c r="B3" s="258" t="s">
        <v>123</v>
      </c>
      <c r="C3" s="45" t="s">
        <v>124</v>
      </c>
      <c r="D3" s="258"/>
      <c r="E3" s="258"/>
      <c r="F3" s="33"/>
      <c r="G3" s="33"/>
      <c r="H3" s="33"/>
      <c r="I3" s="33"/>
      <c r="J3" s="33"/>
      <c r="K3" s="33"/>
      <c r="L3" s="33"/>
      <c r="M3" s="33"/>
      <c r="N3" s="33"/>
      <c r="O3" s="33"/>
      <c r="P3" s="33"/>
      <c r="Q3" s="33"/>
      <c r="R3" s="33"/>
      <c r="S3" s="33"/>
      <c r="T3" s="33"/>
      <c r="U3" s="33"/>
      <c r="V3" s="33"/>
      <c r="W3" s="33"/>
      <c r="X3" s="33"/>
      <c r="Y3" s="33"/>
      <c r="Z3" s="33"/>
    </row>
    <row r="4">
      <c r="A4" s="33"/>
      <c r="B4" s="259" t="s">
        <v>125</v>
      </c>
      <c r="C4" s="260" t="s">
        <v>126</v>
      </c>
      <c r="D4" s="259"/>
      <c r="E4" s="259"/>
      <c r="F4" s="33"/>
      <c r="G4" s="33"/>
      <c r="H4" s="33"/>
      <c r="I4" s="33"/>
      <c r="J4" s="33"/>
      <c r="K4" s="33"/>
      <c r="L4" s="33"/>
      <c r="M4" s="33"/>
      <c r="N4" s="33"/>
      <c r="O4" s="33"/>
      <c r="P4" s="33"/>
      <c r="Q4" s="33"/>
      <c r="R4" s="33"/>
      <c r="S4" s="33"/>
      <c r="T4" s="33"/>
      <c r="U4" s="33"/>
      <c r="V4" s="33"/>
      <c r="W4" s="33"/>
      <c r="X4" s="33"/>
      <c r="Y4" s="33"/>
      <c r="Z4" s="33"/>
    </row>
    <row r="5">
      <c r="A5" s="257" t="s">
        <v>122</v>
      </c>
      <c r="B5" s="258" t="s">
        <v>127</v>
      </c>
      <c r="C5" s="45" t="s">
        <v>128</v>
      </c>
      <c r="D5" s="258"/>
      <c r="E5" s="258"/>
      <c r="F5" s="33"/>
      <c r="G5" s="33"/>
      <c r="H5" s="33"/>
      <c r="I5" s="33"/>
      <c r="J5" s="33"/>
      <c r="K5" s="33"/>
      <c r="L5" s="33"/>
      <c r="M5" s="33"/>
      <c r="N5" s="33"/>
      <c r="O5" s="33"/>
      <c r="P5" s="33"/>
      <c r="Q5" s="33"/>
      <c r="R5" s="33"/>
      <c r="S5" s="33"/>
      <c r="T5" s="33"/>
      <c r="U5" s="33"/>
      <c r="V5" s="33"/>
      <c r="W5" s="33"/>
      <c r="X5" s="33"/>
      <c r="Y5" s="33"/>
      <c r="Z5" s="33"/>
    </row>
    <row r="6">
      <c r="A6" s="257" t="s">
        <v>122</v>
      </c>
      <c r="B6" s="259" t="s">
        <v>129</v>
      </c>
      <c r="C6" s="260" t="s">
        <v>130</v>
      </c>
      <c r="D6" s="259"/>
      <c r="E6" s="259"/>
      <c r="F6" s="33"/>
      <c r="G6" s="33"/>
      <c r="H6" s="33"/>
      <c r="I6" s="33"/>
      <c r="J6" s="33"/>
      <c r="K6" s="33"/>
      <c r="L6" s="33"/>
      <c r="M6" s="33"/>
      <c r="N6" s="33"/>
      <c r="O6" s="33"/>
      <c r="P6" s="33"/>
      <c r="Q6" s="33"/>
      <c r="R6" s="33"/>
      <c r="S6" s="33"/>
      <c r="T6" s="33"/>
      <c r="U6" s="33"/>
      <c r="V6" s="33"/>
      <c r="W6" s="33"/>
      <c r="X6" s="33"/>
      <c r="Y6" s="33"/>
      <c r="Z6" s="33"/>
    </row>
    <row r="7">
      <c r="A7" s="257" t="s">
        <v>122</v>
      </c>
      <c r="B7" s="258" t="s">
        <v>131</v>
      </c>
      <c r="C7" s="45" t="s">
        <v>132</v>
      </c>
      <c r="D7" s="258"/>
      <c r="E7" s="258"/>
      <c r="F7" s="33"/>
      <c r="G7" s="33"/>
      <c r="H7" s="33"/>
      <c r="I7" s="33"/>
      <c r="J7" s="33"/>
      <c r="K7" s="33"/>
      <c r="L7" s="33"/>
      <c r="M7" s="33"/>
      <c r="N7" s="33"/>
      <c r="O7" s="33"/>
      <c r="P7" s="33"/>
      <c r="Q7" s="33"/>
      <c r="R7" s="33"/>
      <c r="S7" s="33"/>
      <c r="T7" s="33"/>
      <c r="U7" s="33"/>
      <c r="V7" s="33"/>
      <c r="W7" s="33"/>
      <c r="X7" s="33"/>
      <c r="Y7" s="33"/>
      <c r="Z7" s="33"/>
    </row>
    <row r="8">
      <c r="A8" s="257" t="s">
        <v>122</v>
      </c>
      <c r="B8" s="261" t="s">
        <v>133</v>
      </c>
      <c r="C8" s="262" t="s">
        <v>134</v>
      </c>
      <c r="D8" s="258"/>
      <c r="E8" s="258"/>
      <c r="F8" s="33"/>
      <c r="G8" s="33"/>
      <c r="H8" s="33"/>
      <c r="I8" s="33"/>
      <c r="J8" s="33"/>
      <c r="K8" s="33"/>
      <c r="L8" s="33"/>
      <c r="M8" s="33"/>
      <c r="N8" s="33"/>
      <c r="O8" s="33"/>
      <c r="P8" s="33"/>
      <c r="Q8" s="33"/>
      <c r="R8" s="33"/>
      <c r="S8" s="33"/>
      <c r="T8" s="33"/>
      <c r="U8" s="33"/>
      <c r="V8" s="33"/>
      <c r="W8" s="33"/>
      <c r="X8" s="33"/>
      <c r="Y8" s="33"/>
      <c r="Z8" s="33"/>
    </row>
    <row r="9">
      <c r="A9" s="257" t="s">
        <v>122</v>
      </c>
      <c r="B9" s="259" t="s">
        <v>135</v>
      </c>
      <c r="C9" s="23" t="s">
        <v>136</v>
      </c>
      <c r="D9" s="259"/>
      <c r="E9" s="259"/>
      <c r="F9" s="33"/>
      <c r="G9" s="33"/>
      <c r="H9" s="33"/>
      <c r="I9" s="33"/>
      <c r="J9" s="33"/>
      <c r="K9" s="33"/>
      <c r="L9" s="33"/>
      <c r="M9" s="33"/>
      <c r="N9" s="33"/>
      <c r="O9" s="33"/>
      <c r="P9" s="33"/>
      <c r="Q9" s="33"/>
      <c r="R9" s="33"/>
      <c r="S9" s="33"/>
      <c r="T9" s="33"/>
      <c r="U9" s="33"/>
      <c r="V9" s="33"/>
      <c r="W9" s="33"/>
      <c r="X9" s="33"/>
      <c r="Y9" s="33"/>
      <c r="Z9" s="33"/>
    </row>
    <row r="10">
      <c r="A10" s="257" t="s">
        <v>122</v>
      </c>
      <c r="B10" s="258" t="s">
        <v>91</v>
      </c>
      <c r="C10" s="45" t="s">
        <v>137</v>
      </c>
      <c r="D10" s="258"/>
      <c r="E10" s="258"/>
      <c r="F10" s="33"/>
      <c r="G10" s="33"/>
      <c r="H10" s="33"/>
      <c r="I10" s="33"/>
      <c r="J10" s="33"/>
      <c r="K10" s="33"/>
      <c r="L10" s="33"/>
      <c r="M10" s="33"/>
      <c r="N10" s="33"/>
      <c r="O10" s="33"/>
      <c r="P10" s="33"/>
      <c r="Q10" s="33"/>
      <c r="R10" s="33"/>
      <c r="S10" s="33"/>
      <c r="T10" s="33"/>
      <c r="U10" s="33"/>
      <c r="V10" s="33"/>
      <c r="W10" s="33"/>
      <c r="X10" s="33"/>
      <c r="Y10" s="33"/>
      <c r="Z10" s="33"/>
    </row>
    <row r="11">
      <c r="A11" s="33"/>
      <c r="B11" s="259" t="s">
        <v>138</v>
      </c>
      <c r="C11" s="259"/>
      <c r="D11" s="259"/>
      <c r="E11" s="259"/>
      <c r="F11" s="33"/>
      <c r="G11" s="33"/>
      <c r="H11" s="33"/>
      <c r="I11" s="33"/>
      <c r="J11" s="33"/>
      <c r="K11" s="33"/>
      <c r="L11" s="33"/>
      <c r="M11" s="33"/>
      <c r="N11" s="33"/>
      <c r="O11" s="33"/>
      <c r="P11" s="33"/>
      <c r="Q11" s="33"/>
      <c r="R11" s="33"/>
      <c r="S11" s="33"/>
      <c r="T11" s="33"/>
      <c r="U11" s="33"/>
      <c r="V11" s="33"/>
      <c r="W11" s="33"/>
      <c r="X11" s="33"/>
      <c r="Y11" s="33"/>
      <c r="Z11" s="33"/>
    </row>
    <row r="12">
      <c r="A12" s="257" t="s">
        <v>122</v>
      </c>
      <c r="B12" s="261" t="s">
        <v>139</v>
      </c>
      <c r="C12" s="263" t="s">
        <v>140</v>
      </c>
      <c r="D12" s="258"/>
      <c r="E12" s="258"/>
      <c r="F12" s="33"/>
      <c r="G12" s="33"/>
      <c r="H12" s="33"/>
      <c r="I12" s="33"/>
      <c r="J12" s="33"/>
      <c r="K12" s="33"/>
      <c r="L12" s="33"/>
      <c r="M12" s="33"/>
      <c r="N12" s="33"/>
      <c r="O12" s="33"/>
      <c r="P12" s="33"/>
      <c r="Q12" s="33"/>
      <c r="R12" s="33"/>
      <c r="S12" s="33"/>
      <c r="T12" s="33"/>
      <c r="U12" s="33"/>
      <c r="V12" s="33"/>
      <c r="W12" s="33"/>
      <c r="X12" s="33"/>
      <c r="Y12" s="33"/>
      <c r="Z12" s="33"/>
    </row>
    <row r="13">
      <c r="A13" s="257" t="s">
        <v>122</v>
      </c>
      <c r="B13" s="259" t="s">
        <v>141</v>
      </c>
      <c r="C13" s="260" t="s">
        <v>142</v>
      </c>
      <c r="D13" s="259"/>
      <c r="E13" s="259"/>
      <c r="F13" s="33"/>
      <c r="G13" s="33"/>
      <c r="H13" s="33"/>
      <c r="I13" s="33"/>
      <c r="J13" s="33"/>
      <c r="K13" s="33"/>
      <c r="L13" s="33"/>
      <c r="M13" s="33"/>
      <c r="N13" s="33"/>
      <c r="O13" s="33"/>
      <c r="P13" s="33"/>
      <c r="Q13" s="33"/>
      <c r="R13" s="33"/>
      <c r="S13" s="33"/>
      <c r="T13" s="33"/>
      <c r="U13" s="33"/>
      <c r="V13" s="33"/>
      <c r="W13" s="33"/>
      <c r="X13" s="33"/>
      <c r="Y13" s="33"/>
      <c r="Z13" s="33"/>
    </row>
    <row r="14">
      <c r="A14" s="257"/>
      <c r="B14" s="258" t="s">
        <v>143</v>
      </c>
      <c r="C14" s="45" t="s">
        <v>144</v>
      </c>
      <c r="D14" s="258"/>
      <c r="E14" s="258"/>
      <c r="F14" s="33"/>
      <c r="G14" s="33"/>
      <c r="H14" s="33"/>
      <c r="I14" s="33"/>
      <c r="J14" s="33"/>
      <c r="K14" s="33"/>
      <c r="L14" s="33"/>
      <c r="M14" s="33"/>
      <c r="N14" s="33"/>
      <c r="O14" s="33"/>
      <c r="P14" s="33"/>
      <c r="Q14" s="33"/>
      <c r="R14" s="33"/>
      <c r="S14" s="33"/>
      <c r="T14" s="33"/>
      <c r="U14" s="33"/>
      <c r="V14" s="33"/>
      <c r="W14" s="33"/>
      <c r="X14" s="33"/>
      <c r="Y14" s="33"/>
      <c r="Z14" s="33"/>
    </row>
    <row r="15">
      <c r="A15" s="257" t="s">
        <v>122</v>
      </c>
      <c r="B15" s="264" t="s">
        <v>123</v>
      </c>
      <c r="C15" s="265" t="s">
        <v>145</v>
      </c>
      <c r="D15" s="259"/>
      <c r="E15" s="259"/>
      <c r="F15" s="33"/>
      <c r="G15" s="33"/>
      <c r="H15" s="33"/>
      <c r="I15" s="33"/>
      <c r="J15" s="33"/>
      <c r="K15" s="33"/>
      <c r="L15" s="33"/>
      <c r="M15" s="33"/>
      <c r="N15" s="33"/>
      <c r="O15" s="33"/>
      <c r="P15" s="33"/>
      <c r="Q15" s="33"/>
      <c r="R15" s="33"/>
      <c r="S15" s="33"/>
      <c r="T15" s="33"/>
      <c r="U15" s="33"/>
      <c r="V15" s="33"/>
      <c r="W15" s="33"/>
      <c r="X15" s="33"/>
      <c r="Y15" s="33"/>
      <c r="Z15" s="33"/>
    </row>
    <row r="16">
      <c r="A16" s="257" t="s">
        <v>122</v>
      </c>
      <c r="B16" s="261" t="s">
        <v>146</v>
      </c>
      <c r="C16" s="263" t="s">
        <v>147</v>
      </c>
      <c r="D16" s="258"/>
      <c r="E16" s="258"/>
      <c r="F16" s="33"/>
      <c r="G16" s="33"/>
      <c r="H16" s="33"/>
      <c r="I16" s="33"/>
      <c r="J16" s="33"/>
      <c r="K16" s="33"/>
      <c r="L16" s="33"/>
      <c r="M16" s="33"/>
      <c r="N16" s="33"/>
      <c r="O16" s="33"/>
      <c r="P16" s="33"/>
      <c r="Q16" s="33"/>
      <c r="R16" s="33"/>
      <c r="S16" s="33"/>
      <c r="T16" s="33"/>
      <c r="U16" s="33"/>
      <c r="V16" s="33"/>
      <c r="W16" s="33"/>
      <c r="X16" s="33"/>
      <c r="Y16" s="33"/>
      <c r="Z16" s="33"/>
    </row>
    <row r="17">
      <c r="A17" s="257" t="s">
        <v>122</v>
      </c>
      <c r="B17" s="259" t="s">
        <v>148</v>
      </c>
      <c r="C17" s="23" t="s">
        <v>149</v>
      </c>
      <c r="D17" s="259" t="s">
        <v>150</v>
      </c>
      <c r="E17" s="259"/>
      <c r="F17" s="33"/>
      <c r="G17" s="33"/>
      <c r="H17" s="33"/>
      <c r="I17" s="33"/>
      <c r="J17" s="33"/>
      <c r="K17" s="33"/>
      <c r="L17" s="33"/>
      <c r="M17" s="33"/>
      <c r="N17" s="33"/>
      <c r="O17" s="33"/>
      <c r="P17" s="33"/>
      <c r="Q17" s="33"/>
      <c r="R17" s="33"/>
      <c r="S17" s="33"/>
      <c r="T17" s="33"/>
      <c r="U17" s="33"/>
      <c r="V17" s="33"/>
      <c r="W17" s="33"/>
      <c r="X17" s="33"/>
      <c r="Y17" s="33"/>
      <c r="Z17" s="33"/>
    </row>
    <row r="18">
      <c r="A18" s="257" t="s">
        <v>122</v>
      </c>
      <c r="B18" s="258" t="s">
        <v>151</v>
      </c>
      <c r="C18" s="262" t="s">
        <v>152</v>
      </c>
      <c r="D18" s="258"/>
      <c r="E18" s="258"/>
      <c r="F18" s="33"/>
      <c r="G18" s="33"/>
      <c r="H18" s="33"/>
      <c r="I18" s="33"/>
      <c r="J18" s="33"/>
      <c r="K18" s="33"/>
      <c r="L18" s="33"/>
      <c r="M18" s="33"/>
      <c r="N18" s="33"/>
      <c r="O18" s="33"/>
      <c r="P18" s="33"/>
      <c r="Q18" s="33"/>
      <c r="R18" s="33"/>
      <c r="S18" s="33"/>
      <c r="T18" s="33"/>
      <c r="U18" s="33"/>
      <c r="V18" s="33"/>
      <c r="W18" s="33"/>
      <c r="X18" s="33"/>
      <c r="Y18" s="33"/>
      <c r="Z18" s="33"/>
    </row>
    <row r="19">
      <c r="A19" s="257" t="s">
        <v>122</v>
      </c>
      <c r="B19" s="266" t="s">
        <v>153</v>
      </c>
      <c r="C19" s="267" t="s">
        <v>154</v>
      </c>
      <c r="D19" s="266"/>
      <c r="E19" s="266"/>
      <c r="F19" s="33"/>
      <c r="G19" s="33"/>
      <c r="H19" s="33"/>
      <c r="I19" s="33"/>
      <c r="J19" s="33"/>
      <c r="K19" s="33"/>
      <c r="L19" s="33"/>
      <c r="M19" s="33"/>
      <c r="N19" s="33"/>
      <c r="O19" s="33"/>
      <c r="P19" s="33"/>
      <c r="Q19" s="33"/>
      <c r="R19" s="33"/>
      <c r="S19" s="33"/>
      <c r="T19" s="33"/>
      <c r="U19" s="33"/>
      <c r="V19" s="33"/>
      <c r="W19" s="33"/>
      <c r="X19" s="33"/>
      <c r="Y19" s="33"/>
      <c r="Z19" s="268"/>
    </row>
    <row r="20">
      <c r="A20" s="257" t="s">
        <v>122</v>
      </c>
      <c r="B20" s="258" t="s">
        <v>155</v>
      </c>
      <c r="C20" s="45" t="s">
        <v>156</v>
      </c>
      <c r="D20" s="258"/>
      <c r="E20" s="258"/>
      <c r="F20" s="33"/>
      <c r="G20" s="33"/>
      <c r="H20" s="33"/>
      <c r="I20" s="33"/>
      <c r="J20" s="33"/>
      <c r="K20" s="33"/>
      <c r="L20" s="33"/>
      <c r="M20" s="33"/>
      <c r="N20" s="33"/>
      <c r="O20" s="33"/>
      <c r="P20" s="33"/>
      <c r="Q20" s="33"/>
      <c r="R20" s="33"/>
      <c r="S20" s="33"/>
      <c r="T20" s="33"/>
      <c r="U20" s="33"/>
      <c r="V20" s="33"/>
      <c r="W20" s="33"/>
      <c r="X20" s="33"/>
      <c r="Y20" s="33"/>
      <c r="Z20" s="33"/>
    </row>
    <row r="21">
      <c r="A21" s="257" t="s">
        <v>122</v>
      </c>
      <c r="B21" s="259" t="s">
        <v>157</v>
      </c>
      <c r="C21" s="260" t="s">
        <v>158</v>
      </c>
      <c r="D21" s="259"/>
      <c r="E21" s="259"/>
      <c r="F21" s="33"/>
      <c r="G21" s="33"/>
      <c r="H21" s="33"/>
      <c r="I21" s="33"/>
      <c r="J21" s="33"/>
      <c r="K21" s="33"/>
      <c r="L21" s="33"/>
      <c r="M21" s="33"/>
      <c r="N21" s="33"/>
      <c r="O21" s="33"/>
      <c r="P21" s="33"/>
      <c r="Q21" s="33"/>
      <c r="R21" s="33"/>
      <c r="S21" s="33"/>
      <c r="T21" s="33"/>
      <c r="U21" s="33"/>
      <c r="V21" s="33"/>
      <c r="W21" s="33"/>
      <c r="X21" s="33"/>
      <c r="Y21" s="33"/>
      <c r="Z21" s="33"/>
    </row>
    <row r="22">
      <c r="A22" s="257" t="s">
        <v>122</v>
      </c>
      <c r="B22" s="258" t="s">
        <v>159</v>
      </c>
      <c r="C22" s="45" t="s">
        <v>160</v>
      </c>
      <c r="D22" s="258"/>
      <c r="E22" s="258"/>
      <c r="F22" s="33"/>
      <c r="G22" s="33"/>
      <c r="H22" s="33"/>
      <c r="I22" s="33"/>
      <c r="J22" s="33"/>
      <c r="K22" s="33"/>
      <c r="L22" s="33"/>
      <c r="M22" s="33"/>
      <c r="N22" s="33"/>
      <c r="O22" s="33"/>
      <c r="P22" s="33"/>
      <c r="Q22" s="33"/>
      <c r="R22" s="33"/>
      <c r="S22" s="33"/>
      <c r="T22" s="33"/>
      <c r="U22" s="33"/>
      <c r="V22" s="33"/>
      <c r="W22" s="33"/>
      <c r="X22" s="33"/>
      <c r="Y22" s="33"/>
      <c r="Z22" s="33"/>
    </row>
    <row r="23">
      <c r="A23" s="257" t="s">
        <v>122</v>
      </c>
      <c r="B23" s="259" t="s">
        <v>161</v>
      </c>
      <c r="C23" s="260" t="s">
        <v>162</v>
      </c>
      <c r="D23" s="259"/>
      <c r="E23" s="259"/>
      <c r="F23" s="33"/>
      <c r="G23" s="33"/>
      <c r="H23" s="33"/>
      <c r="I23" s="33"/>
      <c r="J23" s="33"/>
      <c r="K23" s="33"/>
      <c r="L23" s="33"/>
      <c r="M23" s="33"/>
      <c r="N23" s="33"/>
      <c r="O23" s="33"/>
      <c r="P23" s="33"/>
      <c r="Q23" s="33"/>
      <c r="R23" s="33"/>
      <c r="S23" s="33"/>
      <c r="T23" s="33"/>
      <c r="U23" s="33"/>
      <c r="V23" s="33"/>
      <c r="W23" s="33"/>
      <c r="X23" s="33"/>
      <c r="Y23" s="33"/>
      <c r="Z23" s="33"/>
    </row>
    <row r="24">
      <c r="A24" s="257" t="s">
        <v>122</v>
      </c>
      <c r="B24" s="258" t="s">
        <v>163</v>
      </c>
      <c r="C24" s="45" t="s">
        <v>164</v>
      </c>
      <c r="D24" s="258"/>
      <c r="E24" s="258"/>
      <c r="F24" s="33"/>
      <c r="G24" s="33"/>
      <c r="H24" s="33"/>
      <c r="I24" s="33"/>
      <c r="J24" s="33"/>
      <c r="K24" s="33"/>
      <c r="L24" s="33"/>
      <c r="M24" s="33"/>
      <c r="N24" s="33"/>
      <c r="O24" s="33"/>
      <c r="P24" s="33"/>
      <c r="Q24" s="33"/>
      <c r="R24" s="33"/>
      <c r="S24" s="33"/>
      <c r="T24" s="33"/>
      <c r="U24" s="33"/>
      <c r="V24" s="33"/>
      <c r="W24" s="33"/>
      <c r="X24" s="33"/>
      <c r="Y24" s="33"/>
      <c r="Z24" s="33"/>
    </row>
    <row r="25">
      <c r="A25" s="257" t="s">
        <v>122</v>
      </c>
      <c r="B25" s="259" t="s">
        <v>165</v>
      </c>
      <c r="C25" s="260" t="s">
        <v>166</v>
      </c>
      <c r="D25" s="259"/>
      <c r="E25" s="259"/>
      <c r="F25" s="33"/>
      <c r="G25" s="33"/>
      <c r="H25" s="33"/>
      <c r="I25" s="33"/>
      <c r="J25" s="33"/>
      <c r="K25" s="33"/>
      <c r="L25" s="33"/>
      <c r="M25" s="33"/>
      <c r="N25" s="33"/>
      <c r="O25" s="33"/>
      <c r="P25" s="33"/>
      <c r="Q25" s="33"/>
      <c r="R25" s="33"/>
      <c r="S25" s="33"/>
      <c r="T25" s="33"/>
      <c r="U25" s="33"/>
      <c r="V25" s="33"/>
      <c r="W25" s="33"/>
      <c r="X25" s="33"/>
      <c r="Y25" s="33"/>
      <c r="Z25" s="33"/>
    </row>
    <row r="26">
      <c r="A26" s="33"/>
      <c r="B26" s="261" t="s">
        <v>167</v>
      </c>
      <c r="C26" s="263" t="s">
        <v>168</v>
      </c>
      <c r="D26" s="258"/>
      <c r="E26" s="258"/>
      <c r="F26" s="33"/>
      <c r="G26" s="33"/>
      <c r="H26" s="33"/>
      <c r="I26" s="33"/>
      <c r="J26" s="33"/>
      <c r="K26" s="33"/>
      <c r="L26" s="33"/>
      <c r="M26" s="33"/>
      <c r="N26" s="33"/>
      <c r="O26" s="33"/>
      <c r="P26" s="33"/>
      <c r="Q26" s="33"/>
      <c r="R26" s="33"/>
      <c r="S26" s="33"/>
      <c r="T26" s="33"/>
      <c r="U26" s="33"/>
      <c r="V26" s="33"/>
      <c r="W26" s="33"/>
      <c r="X26" s="33"/>
      <c r="Y26" s="33"/>
      <c r="Z26" s="33"/>
    </row>
    <row r="27">
      <c r="A27" s="33"/>
      <c r="B27" s="264" t="s">
        <v>169</v>
      </c>
      <c r="C27" s="265" t="s">
        <v>170</v>
      </c>
      <c r="D27" s="259"/>
      <c r="E27" s="259"/>
      <c r="F27" s="33"/>
      <c r="G27" s="33"/>
      <c r="H27" s="33"/>
      <c r="I27" s="33"/>
      <c r="J27" s="33"/>
      <c r="K27" s="33"/>
      <c r="L27" s="33"/>
      <c r="M27" s="33"/>
      <c r="N27" s="33"/>
      <c r="O27" s="33"/>
      <c r="P27" s="33"/>
      <c r="Q27" s="33"/>
      <c r="R27" s="33"/>
      <c r="S27" s="33"/>
      <c r="T27" s="33"/>
      <c r="U27" s="33"/>
      <c r="V27" s="33"/>
      <c r="W27" s="33"/>
      <c r="X27" s="33"/>
      <c r="Y27" s="33"/>
      <c r="Z27" s="33"/>
    </row>
    <row r="28">
      <c r="A28" s="33"/>
      <c r="B28" s="261" t="s">
        <v>171</v>
      </c>
      <c r="C28" s="263" t="s">
        <v>172</v>
      </c>
      <c r="D28" s="258"/>
      <c r="E28" s="258"/>
      <c r="F28" s="33"/>
      <c r="G28" s="33"/>
      <c r="H28" s="33"/>
      <c r="I28" s="33"/>
      <c r="J28" s="33"/>
      <c r="K28" s="33"/>
      <c r="L28" s="33"/>
      <c r="M28" s="33"/>
      <c r="N28" s="33"/>
      <c r="O28" s="33"/>
      <c r="P28" s="33"/>
      <c r="Q28" s="33"/>
      <c r="R28" s="33"/>
      <c r="S28" s="33"/>
      <c r="T28" s="33"/>
      <c r="U28" s="33"/>
      <c r="V28" s="33"/>
      <c r="W28" s="33"/>
      <c r="X28" s="33"/>
      <c r="Y28" s="33"/>
      <c r="Z28" s="33"/>
    </row>
    <row r="29">
      <c r="A29" s="33"/>
      <c r="B29" s="264" t="s">
        <v>173</v>
      </c>
      <c r="C29" s="265" t="s">
        <v>174</v>
      </c>
      <c r="D29" s="259"/>
      <c r="E29" s="259"/>
      <c r="F29" s="33"/>
      <c r="G29" s="33"/>
      <c r="H29" s="33"/>
      <c r="I29" s="33"/>
      <c r="J29" s="33"/>
      <c r="K29" s="33"/>
      <c r="L29" s="33"/>
      <c r="M29" s="33"/>
      <c r="N29" s="33"/>
      <c r="O29" s="33"/>
      <c r="P29" s="33"/>
      <c r="Q29" s="33"/>
      <c r="R29" s="33"/>
      <c r="S29" s="33"/>
      <c r="T29" s="33"/>
      <c r="U29" s="33"/>
      <c r="V29" s="33"/>
      <c r="W29" s="33"/>
      <c r="X29" s="33"/>
      <c r="Y29" s="33"/>
      <c r="Z29" s="33"/>
    </row>
    <row r="30">
      <c r="A30" s="33"/>
      <c r="B30" s="261" t="s">
        <v>175</v>
      </c>
      <c r="C30" s="262" t="s">
        <v>176</v>
      </c>
      <c r="D30" s="258"/>
      <c r="E30" s="258"/>
      <c r="F30" s="33"/>
      <c r="G30" s="33"/>
      <c r="H30" s="33"/>
      <c r="I30" s="33"/>
      <c r="J30" s="33"/>
      <c r="K30" s="33"/>
      <c r="L30" s="33"/>
      <c r="M30" s="33"/>
      <c r="N30" s="33"/>
      <c r="O30" s="33"/>
      <c r="P30" s="33"/>
      <c r="Q30" s="33"/>
      <c r="R30" s="33"/>
      <c r="S30" s="33"/>
      <c r="T30" s="33"/>
      <c r="U30" s="33"/>
      <c r="V30" s="33"/>
      <c r="W30" s="33"/>
      <c r="X30" s="33"/>
      <c r="Y30" s="33"/>
      <c r="Z30" s="33"/>
    </row>
    <row r="31">
      <c r="A31" s="33"/>
      <c r="B31" s="264" t="s">
        <v>177</v>
      </c>
      <c r="C31" s="23" t="s">
        <v>178</v>
      </c>
      <c r="D31" s="259"/>
      <c r="E31" s="259"/>
      <c r="F31" s="33"/>
      <c r="G31" s="33"/>
      <c r="H31" s="33"/>
      <c r="I31" s="33"/>
      <c r="J31" s="33"/>
      <c r="K31" s="33"/>
      <c r="L31" s="33"/>
      <c r="M31" s="33"/>
      <c r="N31" s="33"/>
      <c r="O31" s="33"/>
      <c r="P31" s="33"/>
      <c r="Q31" s="33"/>
      <c r="R31" s="33"/>
      <c r="S31" s="33"/>
      <c r="T31" s="33"/>
      <c r="U31" s="33"/>
      <c r="V31" s="33"/>
      <c r="W31" s="33"/>
      <c r="X31" s="33"/>
      <c r="Y31" s="33"/>
      <c r="Z31" s="33"/>
    </row>
    <row r="32">
      <c r="A32" s="33"/>
      <c r="B32" s="261" t="s">
        <v>179</v>
      </c>
      <c r="C32" s="262" t="s">
        <v>180</v>
      </c>
      <c r="D32" s="258"/>
      <c r="E32" s="258"/>
      <c r="F32" s="33"/>
      <c r="G32" s="33"/>
      <c r="H32" s="33"/>
      <c r="I32" s="33"/>
      <c r="J32" s="33"/>
      <c r="K32" s="33"/>
      <c r="L32" s="33"/>
      <c r="M32" s="33"/>
      <c r="N32" s="33"/>
      <c r="O32" s="33"/>
      <c r="P32" s="33"/>
      <c r="Q32" s="33"/>
      <c r="R32" s="33"/>
      <c r="S32" s="33"/>
      <c r="T32" s="33"/>
      <c r="U32" s="33"/>
      <c r="V32" s="33"/>
      <c r="W32" s="33"/>
      <c r="X32" s="33"/>
      <c r="Y32" s="33"/>
      <c r="Z32" s="33"/>
    </row>
    <row r="33">
      <c r="A33" s="33"/>
      <c r="B33" s="264" t="s">
        <v>181</v>
      </c>
      <c r="C33" s="265" t="s">
        <v>182</v>
      </c>
      <c r="D33" s="259"/>
      <c r="E33" s="259"/>
      <c r="F33" s="33"/>
      <c r="G33" s="33"/>
      <c r="H33" s="33"/>
      <c r="I33" s="33"/>
      <c r="J33" s="33"/>
      <c r="K33" s="33"/>
      <c r="L33" s="33"/>
      <c r="M33" s="33"/>
      <c r="N33" s="33"/>
      <c r="O33" s="33"/>
      <c r="P33" s="33"/>
      <c r="Q33" s="33"/>
      <c r="R33" s="33"/>
      <c r="S33" s="33"/>
      <c r="T33" s="33"/>
      <c r="U33" s="33"/>
      <c r="V33" s="33"/>
      <c r="W33" s="33"/>
      <c r="X33" s="33"/>
      <c r="Y33" s="33"/>
      <c r="Z33" s="33"/>
    </row>
    <row r="34">
      <c r="A34" s="33"/>
      <c r="B34" s="261" t="s">
        <v>183</v>
      </c>
      <c r="C34" s="262" t="s">
        <v>184</v>
      </c>
      <c r="D34" s="258"/>
      <c r="E34" s="258"/>
      <c r="F34" s="33"/>
      <c r="G34" s="33"/>
      <c r="H34" s="33"/>
      <c r="I34" s="33"/>
      <c r="J34" s="33"/>
      <c r="K34" s="33"/>
      <c r="L34" s="33"/>
      <c r="M34" s="33"/>
      <c r="N34" s="33"/>
      <c r="O34" s="33"/>
      <c r="P34" s="33"/>
      <c r="Q34" s="33"/>
      <c r="R34" s="33"/>
      <c r="S34" s="33"/>
      <c r="T34" s="33"/>
      <c r="U34" s="33"/>
      <c r="V34" s="33"/>
      <c r="W34" s="33"/>
      <c r="X34" s="33"/>
      <c r="Y34" s="33"/>
      <c r="Z34" s="33"/>
    </row>
    <row r="35">
      <c r="A35" s="33"/>
      <c r="B35" s="264" t="s">
        <v>185</v>
      </c>
      <c r="C35" s="23" t="s">
        <v>186</v>
      </c>
      <c r="D35" s="259"/>
      <c r="E35" s="259"/>
      <c r="F35" s="33"/>
      <c r="G35" s="33"/>
      <c r="H35" s="33"/>
      <c r="I35" s="33"/>
      <c r="J35" s="33"/>
      <c r="K35" s="33"/>
      <c r="L35" s="33"/>
      <c r="M35" s="33"/>
      <c r="N35" s="33"/>
      <c r="O35" s="33"/>
      <c r="P35" s="33"/>
      <c r="Q35" s="33"/>
      <c r="R35" s="33"/>
      <c r="S35" s="33"/>
      <c r="T35" s="33"/>
      <c r="U35" s="33"/>
      <c r="V35" s="33"/>
      <c r="W35" s="33"/>
      <c r="X35" s="33"/>
      <c r="Y35" s="33"/>
      <c r="Z35" s="33"/>
    </row>
    <row r="36">
      <c r="A36" s="33"/>
      <c r="B36" s="261" t="s">
        <v>187</v>
      </c>
      <c r="C36" s="262" t="s">
        <v>188</v>
      </c>
      <c r="D36" s="258"/>
      <c r="E36" s="258"/>
      <c r="F36" s="33"/>
      <c r="G36" s="33"/>
      <c r="H36" s="33"/>
      <c r="I36" s="33"/>
      <c r="J36" s="33"/>
      <c r="K36" s="33"/>
      <c r="L36" s="33"/>
      <c r="M36" s="33"/>
      <c r="N36" s="33"/>
      <c r="O36" s="33"/>
      <c r="P36" s="33"/>
      <c r="Q36" s="33"/>
      <c r="R36" s="33"/>
      <c r="S36" s="33"/>
      <c r="T36" s="33"/>
      <c r="U36" s="33"/>
      <c r="V36" s="33"/>
      <c r="W36" s="33"/>
      <c r="X36" s="33"/>
      <c r="Y36" s="33"/>
      <c r="Z36" s="33"/>
    </row>
    <row r="37">
      <c r="A37" s="33"/>
      <c r="B37" s="264" t="s">
        <v>189</v>
      </c>
      <c r="C37" s="23" t="s">
        <v>190</v>
      </c>
      <c r="D37" s="259"/>
      <c r="E37" s="259"/>
      <c r="F37" s="33"/>
      <c r="G37" s="33"/>
      <c r="H37" s="33"/>
      <c r="I37" s="33"/>
      <c r="J37" s="33"/>
      <c r="K37" s="33"/>
      <c r="L37" s="33"/>
      <c r="M37" s="33"/>
      <c r="N37" s="33"/>
      <c r="O37" s="33"/>
      <c r="P37" s="33"/>
      <c r="Q37" s="33"/>
      <c r="R37" s="33"/>
      <c r="S37" s="33"/>
      <c r="T37" s="33"/>
      <c r="U37" s="33"/>
      <c r="V37" s="33"/>
      <c r="W37" s="33"/>
      <c r="X37" s="33"/>
      <c r="Y37" s="33"/>
      <c r="Z37" s="33"/>
    </row>
    <row r="38">
      <c r="A38" s="33"/>
      <c r="B38" s="261" t="s">
        <v>191</v>
      </c>
      <c r="C38" s="263" t="s">
        <v>192</v>
      </c>
      <c r="D38" s="258"/>
      <c r="E38" s="258"/>
      <c r="F38" s="33"/>
      <c r="G38" s="33"/>
      <c r="H38" s="33"/>
      <c r="I38" s="33"/>
      <c r="J38" s="33"/>
      <c r="K38" s="33"/>
      <c r="L38" s="33"/>
      <c r="M38" s="33"/>
      <c r="N38" s="33"/>
      <c r="O38" s="33"/>
      <c r="P38" s="33"/>
      <c r="Q38" s="33"/>
      <c r="R38" s="33"/>
      <c r="S38" s="33"/>
      <c r="T38" s="33"/>
      <c r="U38" s="33"/>
      <c r="V38" s="33"/>
      <c r="W38" s="33"/>
      <c r="X38" s="33"/>
      <c r="Y38" s="33"/>
      <c r="Z38" s="33"/>
    </row>
    <row r="39">
      <c r="A39" s="33"/>
      <c r="B39" s="264" t="s">
        <v>143</v>
      </c>
      <c r="C39" s="23" t="s">
        <v>193</v>
      </c>
      <c r="D39" s="259"/>
      <c r="E39" s="259"/>
      <c r="F39" s="33"/>
      <c r="G39" s="33"/>
      <c r="H39" s="33"/>
      <c r="I39" s="33"/>
      <c r="J39" s="33"/>
      <c r="K39" s="33"/>
      <c r="L39" s="33"/>
      <c r="M39" s="33"/>
      <c r="N39" s="33"/>
      <c r="O39" s="33"/>
      <c r="P39" s="33"/>
      <c r="Q39" s="33"/>
      <c r="R39" s="33"/>
      <c r="S39" s="33"/>
      <c r="T39" s="33"/>
      <c r="U39" s="33"/>
      <c r="V39" s="33"/>
      <c r="W39" s="33"/>
      <c r="X39" s="33"/>
      <c r="Y39" s="33"/>
      <c r="Z39" s="33"/>
    </row>
    <row r="40">
      <c r="A40" s="33"/>
      <c r="B40" s="261" t="s">
        <v>194</v>
      </c>
      <c r="C40" s="263" t="s">
        <v>144</v>
      </c>
      <c r="D40" s="258"/>
      <c r="E40" s="258"/>
      <c r="F40" s="33"/>
      <c r="G40" s="33"/>
      <c r="H40" s="33"/>
      <c r="I40" s="33"/>
      <c r="J40" s="33"/>
      <c r="K40" s="33"/>
      <c r="L40" s="33"/>
      <c r="M40" s="33"/>
      <c r="N40" s="33"/>
      <c r="O40" s="33"/>
      <c r="P40" s="33"/>
      <c r="Q40" s="33"/>
      <c r="R40" s="33"/>
      <c r="S40" s="33"/>
      <c r="T40" s="33"/>
      <c r="U40" s="33"/>
      <c r="V40" s="33"/>
      <c r="W40" s="33"/>
      <c r="X40" s="33"/>
      <c r="Y40" s="33"/>
      <c r="Z40" s="33"/>
    </row>
    <row r="41">
      <c r="A41" s="33"/>
      <c r="B41" s="264" t="s">
        <v>195</v>
      </c>
      <c r="C41" s="23" t="s">
        <v>196</v>
      </c>
      <c r="D41" s="259"/>
      <c r="E41" s="259"/>
      <c r="F41" s="33"/>
      <c r="G41" s="33"/>
      <c r="H41" s="33"/>
      <c r="I41" s="33"/>
      <c r="J41" s="33"/>
      <c r="K41" s="33"/>
      <c r="L41" s="33"/>
      <c r="M41" s="33"/>
      <c r="N41" s="33"/>
      <c r="O41" s="33"/>
      <c r="P41" s="33"/>
      <c r="Q41" s="33"/>
      <c r="R41" s="33"/>
      <c r="S41" s="33"/>
      <c r="T41" s="33"/>
      <c r="U41" s="33"/>
      <c r="V41" s="33"/>
      <c r="W41" s="33"/>
      <c r="X41" s="33"/>
      <c r="Y41" s="33"/>
      <c r="Z41" s="33"/>
    </row>
    <row r="42">
      <c r="A42" s="33"/>
      <c r="B42" s="261" t="s">
        <v>197</v>
      </c>
      <c r="C42" s="263" t="s">
        <v>198</v>
      </c>
      <c r="D42" s="258"/>
      <c r="E42" s="258"/>
      <c r="F42" s="33"/>
      <c r="G42" s="33"/>
      <c r="H42" s="33"/>
      <c r="I42" s="33"/>
      <c r="J42" s="33"/>
      <c r="K42" s="33"/>
      <c r="L42" s="33"/>
      <c r="M42" s="33"/>
      <c r="N42" s="33"/>
      <c r="O42" s="33"/>
      <c r="P42" s="33"/>
      <c r="Q42" s="33"/>
      <c r="R42" s="33"/>
      <c r="S42" s="33"/>
      <c r="T42" s="33"/>
      <c r="U42" s="33"/>
      <c r="V42" s="33"/>
      <c r="W42" s="33"/>
      <c r="X42" s="33"/>
      <c r="Y42" s="33"/>
      <c r="Z42" s="33"/>
    </row>
    <row r="43">
      <c r="A43" s="33"/>
      <c r="B43" s="264" t="s">
        <v>199</v>
      </c>
      <c r="C43" s="23" t="s">
        <v>200</v>
      </c>
      <c r="D43" s="259"/>
      <c r="E43" s="259"/>
      <c r="F43" s="33"/>
      <c r="G43" s="33"/>
      <c r="H43" s="33"/>
      <c r="I43" s="33"/>
      <c r="J43" s="33"/>
      <c r="K43" s="33"/>
      <c r="L43" s="33"/>
      <c r="M43" s="33"/>
      <c r="N43" s="33"/>
      <c r="O43" s="33"/>
      <c r="P43" s="33"/>
      <c r="Q43" s="33"/>
      <c r="R43" s="33"/>
      <c r="S43" s="33"/>
      <c r="T43" s="33"/>
      <c r="U43" s="33"/>
      <c r="V43" s="33"/>
      <c r="W43" s="33"/>
      <c r="X43" s="33"/>
      <c r="Y43" s="33"/>
      <c r="Z43" s="33"/>
    </row>
    <row r="44">
      <c r="A44" s="33"/>
      <c r="B44" s="261" t="s">
        <v>201</v>
      </c>
      <c r="C44" s="263" t="s">
        <v>202</v>
      </c>
      <c r="D44" s="258"/>
      <c r="E44" s="258"/>
      <c r="F44" s="33"/>
      <c r="G44" s="33"/>
      <c r="H44" s="33"/>
      <c r="I44" s="33"/>
      <c r="J44" s="33"/>
      <c r="K44" s="33"/>
      <c r="L44" s="33"/>
      <c r="M44" s="33"/>
      <c r="N44" s="33"/>
      <c r="O44" s="33"/>
      <c r="P44" s="33"/>
      <c r="Q44" s="33"/>
      <c r="R44" s="33"/>
      <c r="S44" s="33"/>
      <c r="T44" s="33"/>
      <c r="U44" s="33"/>
      <c r="V44" s="33"/>
      <c r="W44" s="33"/>
      <c r="X44" s="33"/>
      <c r="Y44" s="33"/>
      <c r="Z44" s="33"/>
    </row>
    <row r="45">
      <c r="A45" s="33"/>
      <c r="B45" s="264" t="s">
        <v>203</v>
      </c>
      <c r="C45" s="23" t="s">
        <v>204</v>
      </c>
      <c r="D45" s="259"/>
      <c r="E45" s="259"/>
      <c r="F45" s="33"/>
      <c r="G45" s="33"/>
      <c r="H45" s="33"/>
      <c r="I45" s="33"/>
      <c r="J45" s="33"/>
      <c r="K45" s="33"/>
      <c r="L45" s="33"/>
      <c r="M45" s="33"/>
      <c r="N45" s="33"/>
      <c r="O45" s="33"/>
      <c r="P45" s="33"/>
      <c r="Q45" s="33"/>
      <c r="R45" s="33"/>
      <c r="S45" s="33"/>
      <c r="T45" s="33"/>
      <c r="U45" s="33"/>
      <c r="V45" s="33"/>
      <c r="W45" s="33"/>
      <c r="X45" s="33"/>
      <c r="Y45" s="33"/>
      <c r="Z45" s="33"/>
    </row>
    <row r="46">
      <c r="A46" s="33"/>
      <c r="B46" s="258"/>
      <c r="C46" s="258"/>
      <c r="D46" s="258"/>
      <c r="E46" s="258"/>
      <c r="F46" s="33"/>
      <c r="G46" s="33"/>
      <c r="H46" s="33"/>
      <c r="I46" s="33"/>
      <c r="J46" s="33"/>
      <c r="K46" s="33"/>
      <c r="L46" s="33"/>
      <c r="M46" s="33"/>
      <c r="N46" s="33"/>
      <c r="O46" s="33"/>
      <c r="P46" s="33"/>
      <c r="Q46" s="33"/>
      <c r="R46" s="33"/>
      <c r="S46" s="33"/>
      <c r="T46" s="33"/>
      <c r="U46" s="33"/>
      <c r="V46" s="33"/>
      <c r="W46" s="33"/>
      <c r="X46" s="33"/>
      <c r="Y46" s="33"/>
      <c r="Z46" s="33"/>
    </row>
    <row r="47">
      <c r="A47" s="33"/>
      <c r="B47" s="264" t="s">
        <v>205</v>
      </c>
      <c r="C47" s="23" t="s">
        <v>206</v>
      </c>
      <c r="D47" s="259"/>
      <c r="E47" s="259"/>
      <c r="F47" s="33"/>
      <c r="G47" s="33"/>
      <c r="H47" s="33"/>
      <c r="I47" s="33"/>
      <c r="J47" s="33"/>
      <c r="K47" s="33"/>
      <c r="L47" s="33"/>
      <c r="M47" s="33"/>
      <c r="N47" s="33"/>
      <c r="O47" s="33"/>
      <c r="P47" s="33"/>
      <c r="Q47" s="33"/>
      <c r="R47" s="33"/>
      <c r="S47" s="33"/>
      <c r="T47" s="33"/>
      <c r="U47" s="33"/>
      <c r="V47" s="33"/>
      <c r="W47" s="33"/>
      <c r="X47" s="33"/>
      <c r="Y47" s="33"/>
      <c r="Z47" s="33"/>
    </row>
    <row r="48">
      <c r="A48" s="33"/>
      <c r="B48" s="264" t="s">
        <v>207</v>
      </c>
      <c r="C48" s="263" t="s">
        <v>208</v>
      </c>
      <c r="D48" s="258"/>
      <c r="E48" s="258"/>
      <c r="F48" s="33"/>
      <c r="G48" s="33"/>
      <c r="H48" s="33"/>
      <c r="I48" s="33"/>
      <c r="J48" s="33"/>
      <c r="K48" s="33"/>
      <c r="L48" s="33"/>
      <c r="M48" s="33"/>
      <c r="N48" s="33"/>
      <c r="O48" s="33"/>
      <c r="P48" s="33"/>
      <c r="Q48" s="33"/>
      <c r="R48" s="33"/>
      <c r="S48" s="33"/>
      <c r="T48" s="33"/>
      <c r="U48" s="33"/>
      <c r="V48" s="33"/>
      <c r="W48" s="33"/>
      <c r="X48" s="33"/>
      <c r="Y48" s="33"/>
      <c r="Z48" s="33"/>
    </row>
    <row r="49">
      <c r="A49" s="33"/>
      <c r="B49" s="264" t="s">
        <v>209</v>
      </c>
      <c r="C49" s="265" t="s">
        <v>210</v>
      </c>
      <c r="D49" s="259"/>
      <c r="E49" s="259"/>
      <c r="F49" s="33"/>
      <c r="G49" s="33"/>
      <c r="H49" s="33"/>
      <c r="I49" s="33"/>
      <c r="J49" s="33"/>
      <c r="K49" s="33"/>
      <c r="L49" s="33"/>
      <c r="M49" s="33"/>
      <c r="N49" s="33"/>
      <c r="O49" s="33"/>
      <c r="P49" s="33"/>
      <c r="Q49" s="33"/>
      <c r="R49" s="33"/>
      <c r="S49" s="33"/>
      <c r="T49" s="33"/>
      <c r="U49" s="33"/>
      <c r="V49" s="33"/>
      <c r="W49" s="33"/>
      <c r="X49" s="33"/>
      <c r="Y49" s="33"/>
      <c r="Z49" s="33"/>
    </row>
    <row r="50">
      <c r="A50" s="33"/>
      <c r="B50" s="258"/>
      <c r="C50" s="258"/>
      <c r="D50" s="258"/>
      <c r="E50" s="258"/>
      <c r="F50" s="33"/>
      <c r="G50" s="33"/>
      <c r="H50" s="33"/>
      <c r="I50" s="33"/>
      <c r="J50" s="33"/>
      <c r="K50" s="33"/>
      <c r="L50" s="33"/>
      <c r="M50" s="33"/>
      <c r="N50" s="33"/>
      <c r="O50" s="33"/>
      <c r="P50" s="33"/>
      <c r="Q50" s="33"/>
      <c r="R50" s="33"/>
      <c r="S50" s="33"/>
      <c r="T50" s="33"/>
      <c r="U50" s="33"/>
      <c r="V50" s="33"/>
      <c r="W50" s="33"/>
      <c r="X50" s="33"/>
      <c r="Y50" s="33"/>
      <c r="Z50" s="33"/>
    </row>
    <row r="51">
      <c r="A51" s="33"/>
      <c r="B51" s="264" t="s">
        <v>211</v>
      </c>
      <c r="C51" s="23" t="s">
        <v>212</v>
      </c>
      <c r="D51" s="259"/>
      <c r="E51" s="259"/>
      <c r="F51" s="33"/>
      <c r="G51" s="33"/>
      <c r="H51" s="33"/>
      <c r="I51" s="33"/>
      <c r="J51" s="33"/>
      <c r="K51" s="33"/>
      <c r="L51" s="33"/>
      <c r="M51" s="33"/>
      <c r="N51" s="33"/>
      <c r="O51" s="33"/>
      <c r="P51" s="33"/>
      <c r="Q51" s="33"/>
      <c r="R51" s="33"/>
      <c r="S51" s="33"/>
      <c r="T51" s="33"/>
      <c r="U51" s="33"/>
      <c r="V51" s="33"/>
      <c r="W51" s="33"/>
      <c r="X51" s="33"/>
      <c r="Y51" s="33"/>
      <c r="Z51" s="33"/>
    </row>
    <row r="52">
      <c r="A52" s="33"/>
      <c r="B52" s="261" t="s">
        <v>213</v>
      </c>
      <c r="C52" s="262" t="s">
        <v>214</v>
      </c>
      <c r="D52" s="258"/>
      <c r="E52" s="258"/>
      <c r="F52" s="33"/>
      <c r="G52" s="33"/>
      <c r="H52" s="33"/>
      <c r="I52" s="33"/>
      <c r="J52" s="33"/>
      <c r="K52" s="33"/>
      <c r="L52" s="33"/>
      <c r="M52" s="33"/>
      <c r="N52" s="33"/>
      <c r="O52" s="33"/>
      <c r="P52" s="33"/>
      <c r="Q52" s="33"/>
      <c r="R52" s="33"/>
      <c r="S52" s="33"/>
      <c r="T52" s="33"/>
      <c r="U52" s="33"/>
      <c r="V52" s="33"/>
      <c r="W52" s="33"/>
      <c r="X52" s="33"/>
      <c r="Y52" s="33"/>
      <c r="Z52" s="33"/>
    </row>
    <row r="53">
      <c r="A53" s="33"/>
      <c r="B53" s="259"/>
      <c r="C53" s="259"/>
      <c r="D53" s="259"/>
      <c r="E53" s="259"/>
      <c r="F53" s="33"/>
      <c r="G53" s="33"/>
      <c r="H53" s="33"/>
      <c r="I53" s="33"/>
      <c r="J53" s="33"/>
      <c r="K53" s="33"/>
      <c r="L53" s="33"/>
      <c r="M53" s="33"/>
      <c r="N53" s="33"/>
      <c r="O53" s="33"/>
      <c r="P53" s="33"/>
      <c r="Q53" s="33"/>
      <c r="R53" s="33"/>
      <c r="S53" s="33"/>
      <c r="T53" s="33"/>
      <c r="U53" s="33"/>
      <c r="V53" s="33"/>
      <c r="W53" s="33"/>
      <c r="X53" s="33"/>
      <c r="Y53" s="33"/>
      <c r="Z53" s="33"/>
    </row>
    <row r="54">
      <c r="A54" s="33"/>
      <c r="B54" s="258"/>
      <c r="C54" s="258"/>
      <c r="D54" s="258"/>
      <c r="E54" s="258"/>
      <c r="F54" s="33"/>
      <c r="G54" s="33"/>
      <c r="H54" s="33"/>
      <c r="I54" s="33"/>
      <c r="J54" s="33"/>
      <c r="K54" s="33"/>
      <c r="L54" s="33"/>
      <c r="M54" s="33"/>
      <c r="N54" s="33"/>
      <c r="O54" s="33"/>
      <c r="P54" s="33"/>
      <c r="Q54" s="33"/>
      <c r="R54" s="33"/>
      <c r="S54" s="33"/>
      <c r="T54" s="33"/>
      <c r="U54" s="33"/>
      <c r="V54" s="33"/>
      <c r="W54" s="33"/>
      <c r="X54" s="33"/>
      <c r="Y54" s="33"/>
      <c r="Z54" s="33"/>
    </row>
    <row r="55">
      <c r="A55" s="33"/>
      <c r="B55" s="264" t="s">
        <v>215</v>
      </c>
      <c r="C55" s="265" t="s">
        <v>216</v>
      </c>
      <c r="D55" s="259"/>
      <c r="E55" s="259"/>
      <c r="F55" s="33"/>
      <c r="G55" s="33"/>
      <c r="H55" s="33"/>
      <c r="I55" s="33"/>
      <c r="J55" s="33"/>
      <c r="K55" s="33"/>
      <c r="L55" s="33"/>
      <c r="M55" s="33"/>
      <c r="N55" s="33"/>
      <c r="O55" s="33"/>
      <c r="P55" s="33"/>
      <c r="Q55" s="33"/>
      <c r="R55" s="33"/>
      <c r="S55" s="33"/>
      <c r="T55" s="33"/>
      <c r="U55" s="33"/>
      <c r="V55" s="33"/>
      <c r="W55" s="33"/>
      <c r="X55" s="33"/>
      <c r="Y55" s="33"/>
      <c r="Z55" s="33"/>
    </row>
    <row r="56">
      <c r="A56" s="33"/>
      <c r="B56" s="261" t="s">
        <v>217</v>
      </c>
      <c r="C56" s="262" t="s">
        <v>218</v>
      </c>
      <c r="D56" s="258"/>
      <c r="E56" s="258"/>
      <c r="F56" s="33"/>
      <c r="G56" s="33"/>
      <c r="H56" s="33"/>
      <c r="I56" s="33"/>
      <c r="J56" s="33"/>
      <c r="K56" s="33"/>
      <c r="L56" s="33"/>
      <c r="M56" s="33"/>
      <c r="N56" s="33"/>
      <c r="O56" s="33"/>
      <c r="P56" s="33"/>
      <c r="Q56" s="33"/>
      <c r="R56" s="33"/>
      <c r="S56" s="33"/>
      <c r="T56" s="33"/>
      <c r="U56" s="33"/>
      <c r="V56" s="33"/>
      <c r="W56" s="33"/>
      <c r="X56" s="33"/>
      <c r="Y56" s="33"/>
      <c r="Z56" s="33"/>
    </row>
    <row r="57">
      <c r="A57" s="33"/>
      <c r="B57" s="264" t="s">
        <v>219</v>
      </c>
      <c r="C57" s="265" t="s">
        <v>220</v>
      </c>
      <c r="D57" s="259"/>
      <c r="E57" s="259"/>
      <c r="F57" s="33"/>
      <c r="G57" s="33"/>
      <c r="H57" s="33"/>
      <c r="I57" s="33"/>
      <c r="J57" s="33"/>
      <c r="K57" s="33"/>
      <c r="L57" s="33"/>
      <c r="M57" s="33"/>
      <c r="N57" s="33"/>
      <c r="O57" s="33"/>
      <c r="P57" s="33"/>
      <c r="Q57" s="33"/>
      <c r="R57" s="33"/>
      <c r="S57" s="33"/>
      <c r="T57" s="33"/>
      <c r="U57" s="33"/>
      <c r="V57" s="33"/>
      <c r="W57" s="33"/>
      <c r="X57" s="33"/>
      <c r="Y57" s="33"/>
      <c r="Z57" s="33"/>
    </row>
    <row r="58">
      <c r="A58" s="33"/>
      <c r="B58" s="261" t="s">
        <v>143</v>
      </c>
      <c r="C58" s="263" t="s">
        <v>221</v>
      </c>
      <c r="D58" s="258"/>
      <c r="E58" s="258"/>
      <c r="F58" s="33"/>
      <c r="G58" s="33"/>
      <c r="H58" s="33"/>
      <c r="I58" s="33"/>
      <c r="J58" s="33"/>
      <c r="K58" s="33"/>
      <c r="L58" s="33"/>
      <c r="M58" s="33"/>
      <c r="N58" s="33"/>
      <c r="O58" s="33"/>
      <c r="P58" s="33"/>
      <c r="Q58" s="33"/>
      <c r="R58" s="33"/>
      <c r="S58" s="33"/>
      <c r="T58" s="33"/>
      <c r="U58" s="33"/>
      <c r="V58" s="33"/>
      <c r="W58" s="33"/>
      <c r="X58" s="33"/>
      <c r="Y58" s="33"/>
      <c r="Z58" s="33"/>
    </row>
    <row r="59">
      <c r="A59" s="33"/>
      <c r="B59" s="264" t="s">
        <v>222</v>
      </c>
      <c r="C59" s="265" t="s">
        <v>223</v>
      </c>
      <c r="D59" s="259"/>
      <c r="E59" s="259"/>
      <c r="F59" s="33"/>
      <c r="G59" s="33"/>
      <c r="H59" s="33"/>
      <c r="I59" s="33"/>
      <c r="J59" s="33"/>
      <c r="K59" s="33"/>
      <c r="L59" s="33"/>
      <c r="M59" s="33"/>
      <c r="N59" s="33"/>
      <c r="O59" s="33"/>
      <c r="P59" s="33"/>
      <c r="Q59" s="33"/>
      <c r="R59" s="33"/>
      <c r="S59" s="33"/>
      <c r="T59" s="33"/>
      <c r="U59" s="33"/>
      <c r="V59" s="33"/>
      <c r="W59" s="33"/>
      <c r="X59" s="33"/>
      <c r="Y59" s="33"/>
      <c r="Z59" s="33"/>
    </row>
    <row r="60">
      <c r="A60" s="33"/>
      <c r="B60" s="261" t="s">
        <v>224</v>
      </c>
      <c r="C60" s="263" t="s">
        <v>225</v>
      </c>
      <c r="D60" s="258"/>
      <c r="E60" s="258"/>
      <c r="F60" s="33"/>
      <c r="G60" s="33"/>
      <c r="H60" s="33"/>
      <c r="I60" s="33"/>
      <c r="J60" s="33"/>
      <c r="K60" s="33"/>
      <c r="L60" s="33"/>
      <c r="M60" s="33"/>
      <c r="N60" s="33"/>
      <c r="O60" s="33"/>
      <c r="P60" s="33"/>
      <c r="Q60" s="33"/>
      <c r="R60" s="33"/>
      <c r="S60" s="33"/>
      <c r="T60" s="33"/>
      <c r="U60" s="33"/>
      <c r="V60" s="33"/>
      <c r="W60" s="33"/>
      <c r="X60" s="33"/>
      <c r="Y60" s="33"/>
      <c r="Z60" s="33"/>
    </row>
    <row r="61">
      <c r="A61" s="33"/>
      <c r="B61" s="264" t="s">
        <v>226</v>
      </c>
      <c r="C61" s="265" t="s">
        <v>227</v>
      </c>
      <c r="D61" s="259"/>
      <c r="E61" s="259"/>
      <c r="F61" s="33"/>
      <c r="G61" s="33"/>
      <c r="H61" s="33"/>
      <c r="I61" s="33"/>
      <c r="J61" s="33"/>
      <c r="K61" s="33"/>
      <c r="L61" s="33"/>
      <c r="M61" s="33"/>
      <c r="N61" s="33"/>
      <c r="O61" s="33"/>
      <c r="P61" s="33"/>
      <c r="Q61" s="33"/>
      <c r="R61" s="33"/>
      <c r="S61" s="33"/>
      <c r="T61" s="33"/>
      <c r="U61" s="33"/>
      <c r="V61" s="33"/>
      <c r="W61" s="33"/>
      <c r="X61" s="33"/>
      <c r="Y61" s="33"/>
      <c r="Z61" s="33"/>
    </row>
    <row r="62">
      <c r="A62" s="33"/>
      <c r="B62" s="261" t="s">
        <v>228</v>
      </c>
      <c r="C62" s="263" t="s">
        <v>229</v>
      </c>
      <c r="D62" s="258"/>
      <c r="E62" s="258"/>
      <c r="F62" s="33"/>
      <c r="G62" s="33"/>
      <c r="H62" s="33"/>
      <c r="I62" s="33"/>
      <c r="J62" s="33"/>
      <c r="K62" s="33"/>
      <c r="L62" s="33"/>
      <c r="M62" s="33"/>
      <c r="N62" s="33"/>
      <c r="O62" s="33"/>
      <c r="P62" s="33"/>
      <c r="Q62" s="33"/>
      <c r="R62" s="33"/>
      <c r="S62" s="33"/>
      <c r="T62" s="33"/>
      <c r="U62" s="33"/>
      <c r="V62" s="33"/>
      <c r="W62" s="33"/>
      <c r="X62" s="33"/>
      <c r="Y62" s="33"/>
      <c r="Z62" s="33"/>
    </row>
    <row r="63">
      <c r="A63" s="33"/>
      <c r="B63" s="264" t="s">
        <v>230</v>
      </c>
      <c r="C63" s="265" t="s">
        <v>231</v>
      </c>
      <c r="D63" s="259"/>
      <c r="E63" s="259"/>
      <c r="F63" s="33"/>
      <c r="G63" s="33"/>
      <c r="H63" s="33"/>
      <c r="I63" s="33"/>
      <c r="J63" s="33"/>
      <c r="K63" s="33"/>
      <c r="L63" s="33"/>
      <c r="M63" s="33"/>
      <c r="N63" s="33"/>
      <c r="O63" s="33"/>
      <c r="P63" s="33"/>
      <c r="Q63" s="33"/>
      <c r="R63" s="33"/>
      <c r="S63" s="33"/>
      <c r="T63" s="33"/>
      <c r="U63" s="33"/>
      <c r="V63" s="33"/>
      <c r="W63" s="33"/>
      <c r="X63" s="33"/>
      <c r="Y63" s="33"/>
      <c r="Z63" s="33"/>
    </row>
    <row r="64">
      <c r="A64" s="33"/>
      <c r="B64" s="258"/>
      <c r="C64" s="258"/>
      <c r="D64" s="258"/>
      <c r="E64" s="258"/>
      <c r="F64" s="33"/>
      <c r="G64" s="33"/>
      <c r="H64" s="33"/>
      <c r="I64" s="33"/>
      <c r="J64" s="33"/>
      <c r="K64" s="33"/>
      <c r="L64" s="33"/>
      <c r="M64" s="33"/>
      <c r="N64" s="33"/>
      <c r="O64" s="33"/>
      <c r="P64" s="33"/>
      <c r="Q64" s="33"/>
      <c r="R64" s="33"/>
      <c r="S64" s="33"/>
      <c r="T64" s="33"/>
      <c r="U64" s="33"/>
      <c r="V64" s="33"/>
      <c r="W64" s="33"/>
      <c r="X64" s="33"/>
      <c r="Y64" s="33"/>
      <c r="Z64" s="33"/>
    </row>
    <row r="65">
      <c r="A65" s="33"/>
      <c r="B65" s="264" t="s">
        <v>232</v>
      </c>
      <c r="C65" s="23" t="s">
        <v>233</v>
      </c>
      <c r="D65" s="259"/>
      <c r="E65" s="259"/>
      <c r="F65" s="33"/>
      <c r="G65" s="33"/>
      <c r="H65" s="33"/>
      <c r="I65" s="33"/>
      <c r="J65" s="33"/>
      <c r="K65" s="33"/>
      <c r="L65" s="33"/>
      <c r="M65" s="33"/>
      <c r="N65" s="33"/>
      <c r="O65" s="33"/>
      <c r="P65" s="33"/>
      <c r="Q65" s="33"/>
      <c r="R65" s="33"/>
      <c r="S65" s="33"/>
      <c r="T65" s="33"/>
      <c r="U65" s="33"/>
      <c r="V65" s="33"/>
      <c r="W65" s="33"/>
      <c r="X65" s="33"/>
      <c r="Y65" s="33"/>
      <c r="Z65" s="33"/>
    </row>
    <row r="66">
      <c r="A66" s="33"/>
      <c r="B66" s="258"/>
      <c r="C66" s="258"/>
      <c r="D66" s="258"/>
      <c r="E66" s="258"/>
      <c r="F66" s="33"/>
      <c r="G66" s="33"/>
      <c r="H66" s="33"/>
      <c r="I66" s="33"/>
      <c r="J66" s="33"/>
      <c r="K66" s="33"/>
      <c r="L66" s="33"/>
      <c r="M66" s="33"/>
      <c r="N66" s="33"/>
      <c r="O66" s="33"/>
      <c r="P66" s="33"/>
      <c r="Q66" s="33"/>
      <c r="R66" s="33"/>
      <c r="S66" s="33"/>
      <c r="T66" s="33"/>
      <c r="U66" s="33"/>
      <c r="V66" s="33"/>
      <c r="W66" s="33"/>
      <c r="X66" s="33"/>
      <c r="Y66" s="33"/>
      <c r="Z66" s="33"/>
    </row>
    <row r="67">
      <c r="A67" s="33"/>
      <c r="B67" s="259"/>
      <c r="C67" s="259"/>
      <c r="D67" s="259"/>
      <c r="E67" s="259"/>
      <c r="F67" s="33"/>
      <c r="G67" s="33"/>
      <c r="H67" s="33"/>
      <c r="I67" s="33"/>
      <c r="J67" s="33"/>
      <c r="K67" s="33"/>
      <c r="L67" s="33"/>
      <c r="M67" s="33"/>
      <c r="N67" s="33"/>
      <c r="O67" s="33"/>
      <c r="P67" s="33"/>
      <c r="Q67" s="33"/>
      <c r="R67" s="33"/>
      <c r="S67" s="33"/>
      <c r="T67" s="33"/>
      <c r="U67" s="33"/>
      <c r="V67" s="33"/>
      <c r="W67" s="33"/>
      <c r="X67" s="33"/>
      <c r="Y67" s="33"/>
      <c r="Z67" s="33"/>
    </row>
    <row r="68">
      <c r="A68" s="33"/>
      <c r="B68" s="258"/>
      <c r="C68" s="258"/>
      <c r="D68" s="258"/>
      <c r="E68" s="258"/>
      <c r="F68" s="33"/>
      <c r="G68" s="33"/>
      <c r="H68" s="33"/>
      <c r="I68" s="33"/>
      <c r="J68" s="33"/>
      <c r="K68" s="33"/>
      <c r="L68" s="33"/>
      <c r="M68" s="33"/>
      <c r="N68" s="33"/>
      <c r="O68" s="33"/>
      <c r="P68" s="33"/>
      <c r="Q68" s="33"/>
      <c r="R68" s="33"/>
      <c r="S68" s="33"/>
      <c r="T68" s="33"/>
      <c r="U68" s="33"/>
      <c r="V68" s="33"/>
      <c r="W68" s="33"/>
      <c r="X68" s="33"/>
      <c r="Y68" s="33"/>
      <c r="Z68" s="33"/>
    </row>
    <row r="69">
      <c r="A69" s="33"/>
      <c r="B69" s="259"/>
      <c r="C69" s="259"/>
      <c r="D69" s="259"/>
      <c r="E69" s="259"/>
      <c r="F69" s="33"/>
      <c r="G69" s="33"/>
      <c r="H69" s="33"/>
      <c r="I69" s="33"/>
      <c r="J69" s="33"/>
      <c r="K69" s="33"/>
      <c r="L69" s="33"/>
      <c r="M69" s="33"/>
      <c r="N69" s="33"/>
      <c r="O69" s="33"/>
      <c r="P69" s="33"/>
      <c r="Q69" s="33"/>
      <c r="R69" s="33"/>
      <c r="S69" s="33"/>
      <c r="T69" s="33"/>
      <c r="U69" s="33"/>
      <c r="V69" s="33"/>
      <c r="W69" s="33"/>
      <c r="X69" s="33"/>
      <c r="Y69" s="33"/>
      <c r="Z69" s="33"/>
    </row>
    <row r="70">
      <c r="A70" s="33"/>
      <c r="B70" s="258"/>
      <c r="C70" s="258"/>
      <c r="D70" s="258"/>
      <c r="E70" s="258"/>
      <c r="F70" s="33"/>
      <c r="G70" s="33"/>
      <c r="H70" s="33"/>
      <c r="I70" s="33"/>
      <c r="J70" s="33"/>
      <c r="K70" s="33"/>
      <c r="L70" s="33"/>
      <c r="M70" s="33"/>
      <c r="N70" s="33"/>
      <c r="O70" s="33"/>
      <c r="P70" s="33"/>
      <c r="Q70" s="33"/>
      <c r="R70" s="33"/>
      <c r="S70" s="33"/>
      <c r="T70" s="33"/>
      <c r="U70" s="33"/>
      <c r="V70" s="33"/>
      <c r="W70" s="33"/>
      <c r="X70" s="33"/>
      <c r="Y70" s="33"/>
      <c r="Z70" s="33"/>
    </row>
    <row r="71">
      <c r="A71" s="33"/>
      <c r="B71" s="259"/>
      <c r="C71" s="259"/>
      <c r="D71" s="259"/>
      <c r="E71" s="259"/>
      <c r="F71" s="33"/>
      <c r="G71" s="33"/>
      <c r="H71" s="33"/>
      <c r="I71" s="33"/>
      <c r="J71" s="33"/>
      <c r="K71" s="33"/>
      <c r="L71" s="33"/>
      <c r="M71" s="33"/>
      <c r="N71" s="33"/>
      <c r="O71" s="33"/>
      <c r="P71" s="33"/>
      <c r="Q71" s="33"/>
      <c r="R71" s="33"/>
      <c r="S71" s="33"/>
      <c r="T71" s="33"/>
      <c r="U71" s="33"/>
      <c r="V71" s="33"/>
      <c r="W71" s="33"/>
      <c r="X71" s="33"/>
      <c r="Y71" s="33"/>
      <c r="Z71" s="33"/>
    </row>
    <row r="72">
      <c r="A72" s="33"/>
      <c r="B72" s="258"/>
      <c r="C72" s="258"/>
      <c r="D72" s="258"/>
      <c r="E72" s="258"/>
      <c r="F72" s="33"/>
      <c r="G72" s="33"/>
      <c r="H72" s="33"/>
      <c r="I72" s="33"/>
      <c r="J72" s="33"/>
      <c r="K72" s="33"/>
      <c r="L72" s="33"/>
      <c r="M72" s="33"/>
      <c r="N72" s="33"/>
      <c r="O72" s="33"/>
      <c r="P72" s="33"/>
      <c r="Q72" s="33"/>
      <c r="R72" s="33"/>
      <c r="S72" s="33"/>
      <c r="T72" s="33"/>
      <c r="U72" s="33"/>
      <c r="V72" s="33"/>
      <c r="W72" s="33"/>
      <c r="X72" s="33"/>
      <c r="Y72" s="33"/>
      <c r="Z72" s="33"/>
    </row>
    <row r="73">
      <c r="A73" s="33"/>
      <c r="B73" s="259"/>
      <c r="C73" s="259"/>
      <c r="D73" s="259"/>
      <c r="E73" s="259"/>
      <c r="F73" s="33"/>
      <c r="G73" s="33"/>
      <c r="H73" s="33"/>
      <c r="I73" s="33"/>
      <c r="J73" s="33"/>
      <c r="K73" s="33"/>
      <c r="L73" s="33"/>
      <c r="M73" s="33"/>
      <c r="N73" s="33"/>
      <c r="O73" s="33"/>
      <c r="P73" s="33"/>
      <c r="Q73" s="33"/>
      <c r="R73" s="33"/>
      <c r="S73" s="33"/>
      <c r="T73" s="33"/>
      <c r="U73" s="33"/>
      <c r="V73" s="33"/>
      <c r="W73" s="33"/>
      <c r="X73" s="33"/>
      <c r="Y73" s="33"/>
      <c r="Z73" s="33"/>
    </row>
    <row r="74">
      <c r="A74" s="33"/>
      <c r="B74" s="258"/>
      <c r="C74" s="258"/>
      <c r="D74" s="258"/>
      <c r="E74" s="258"/>
      <c r="F74" s="33"/>
      <c r="G74" s="33"/>
      <c r="H74" s="33"/>
      <c r="I74" s="33"/>
      <c r="J74" s="33"/>
      <c r="K74" s="33"/>
      <c r="L74" s="33"/>
      <c r="M74" s="33"/>
      <c r="N74" s="33"/>
      <c r="O74" s="33"/>
      <c r="P74" s="33"/>
      <c r="Q74" s="33"/>
      <c r="R74" s="33"/>
      <c r="S74" s="33"/>
      <c r="T74" s="33"/>
      <c r="U74" s="33"/>
      <c r="V74" s="33"/>
      <c r="W74" s="33"/>
      <c r="X74" s="33"/>
      <c r="Y74" s="33"/>
      <c r="Z74" s="33"/>
    </row>
    <row r="75">
      <c r="A75" s="33"/>
      <c r="B75" s="259"/>
      <c r="C75" s="259"/>
      <c r="D75" s="259"/>
      <c r="E75" s="259"/>
      <c r="F75" s="33"/>
      <c r="G75" s="33"/>
      <c r="H75" s="33"/>
      <c r="I75" s="33"/>
      <c r="J75" s="33"/>
      <c r="K75" s="33"/>
      <c r="L75" s="33"/>
      <c r="M75" s="33"/>
      <c r="N75" s="33"/>
      <c r="O75" s="33"/>
      <c r="P75" s="33"/>
      <c r="Q75" s="33"/>
      <c r="R75" s="33"/>
      <c r="S75" s="33"/>
      <c r="T75" s="33"/>
      <c r="U75" s="33"/>
      <c r="V75" s="33"/>
      <c r="W75" s="33"/>
      <c r="X75" s="33"/>
      <c r="Y75" s="33"/>
      <c r="Z75" s="33"/>
    </row>
    <row r="76">
      <c r="A76" s="33"/>
      <c r="B76" s="258"/>
      <c r="C76" s="258"/>
      <c r="D76" s="258"/>
      <c r="E76" s="258"/>
      <c r="F76" s="33"/>
      <c r="G76" s="33"/>
      <c r="H76" s="33"/>
      <c r="I76" s="33"/>
      <c r="J76" s="33"/>
      <c r="K76" s="33"/>
      <c r="L76" s="33"/>
      <c r="M76" s="33"/>
      <c r="N76" s="33"/>
      <c r="O76" s="33"/>
      <c r="P76" s="33"/>
      <c r="Q76" s="33"/>
      <c r="R76" s="33"/>
      <c r="S76" s="33"/>
      <c r="T76" s="33"/>
      <c r="U76" s="33"/>
      <c r="V76" s="33"/>
      <c r="W76" s="33"/>
      <c r="X76" s="33"/>
      <c r="Y76" s="33"/>
      <c r="Z76" s="33"/>
    </row>
    <row r="77">
      <c r="A77" s="33"/>
      <c r="B77" s="259"/>
      <c r="C77" s="259"/>
      <c r="D77" s="259"/>
      <c r="E77" s="259"/>
      <c r="F77" s="33"/>
      <c r="G77" s="33"/>
      <c r="H77" s="33"/>
      <c r="I77" s="33"/>
      <c r="J77" s="33"/>
      <c r="K77" s="33"/>
      <c r="L77" s="33"/>
      <c r="M77" s="33"/>
      <c r="N77" s="33"/>
      <c r="O77" s="33"/>
      <c r="P77" s="33"/>
      <c r="Q77" s="33"/>
      <c r="R77" s="33"/>
      <c r="S77" s="33"/>
      <c r="T77" s="33"/>
      <c r="U77" s="33"/>
      <c r="V77" s="33"/>
      <c r="W77" s="33"/>
      <c r="X77" s="33"/>
      <c r="Y77" s="33"/>
      <c r="Z77" s="33"/>
    </row>
    <row r="78">
      <c r="A78" s="33"/>
      <c r="B78" s="258"/>
      <c r="C78" s="258"/>
      <c r="D78" s="258"/>
      <c r="E78" s="258"/>
      <c r="F78" s="33"/>
      <c r="G78" s="33"/>
      <c r="H78" s="33"/>
      <c r="I78" s="33"/>
      <c r="J78" s="33"/>
      <c r="K78" s="33"/>
      <c r="L78" s="33"/>
      <c r="M78" s="33"/>
      <c r="N78" s="33"/>
      <c r="O78" s="33"/>
      <c r="P78" s="33"/>
      <c r="Q78" s="33"/>
      <c r="R78" s="33"/>
      <c r="S78" s="33"/>
      <c r="T78" s="33"/>
      <c r="U78" s="33"/>
      <c r="V78" s="33"/>
      <c r="W78" s="33"/>
      <c r="X78" s="33"/>
      <c r="Y78" s="33"/>
      <c r="Z78" s="33"/>
    </row>
    <row r="79">
      <c r="A79" s="33"/>
      <c r="B79" s="259"/>
      <c r="C79" s="259"/>
      <c r="D79" s="259"/>
      <c r="E79" s="259"/>
      <c r="F79" s="33"/>
      <c r="G79" s="33"/>
      <c r="H79" s="33"/>
      <c r="I79" s="33"/>
      <c r="J79" s="33"/>
      <c r="K79" s="33"/>
      <c r="L79" s="33"/>
      <c r="M79" s="33"/>
      <c r="N79" s="33"/>
      <c r="O79" s="33"/>
      <c r="P79" s="33"/>
      <c r="Q79" s="33"/>
      <c r="R79" s="33"/>
      <c r="S79" s="33"/>
      <c r="T79" s="33"/>
      <c r="U79" s="33"/>
      <c r="V79" s="33"/>
      <c r="W79" s="33"/>
      <c r="X79" s="33"/>
      <c r="Y79" s="33"/>
      <c r="Z79" s="33"/>
    </row>
    <row r="80">
      <c r="A80" s="33"/>
      <c r="B80" s="258"/>
      <c r="C80" s="258"/>
      <c r="D80" s="258"/>
      <c r="E80" s="258"/>
      <c r="F80" s="33"/>
      <c r="G80" s="33"/>
      <c r="H80" s="33"/>
      <c r="I80" s="33"/>
      <c r="J80" s="33"/>
      <c r="K80" s="33"/>
      <c r="L80" s="33"/>
      <c r="M80" s="33"/>
      <c r="N80" s="33"/>
      <c r="O80" s="33"/>
      <c r="P80" s="33"/>
      <c r="Q80" s="33"/>
      <c r="R80" s="33"/>
      <c r="S80" s="33"/>
      <c r="T80" s="33"/>
      <c r="U80" s="33"/>
      <c r="V80" s="33"/>
      <c r="W80" s="33"/>
      <c r="X80" s="33"/>
      <c r="Y80" s="33"/>
      <c r="Z80" s="33"/>
    </row>
    <row r="81">
      <c r="A81" s="33"/>
      <c r="B81" s="259"/>
      <c r="C81" s="259"/>
      <c r="D81" s="259"/>
      <c r="E81" s="259"/>
      <c r="F81" s="33"/>
      <c r="G81" s="33"/>
      <c r="H81" s="33"/>
      <c r="I81" s="33"/>
      <c r="J81" s="33"/>
      <c r="K81" s="33"/>
      <c r="L81" s="33"/>
      <c r="M81" s="33"/>
      <c r="N81" s="33"/>
      <c r="O81" s="33"/>
      <c r="P81" s="33"/>
      <c r="Q81" s="33"/>
      <c r="R81" s="33"/>
      <c r="S81" s="33"/>
      <c r="T81" s="33"/>
      <c r="U81" s="33"/>
      <c r="V81" s="33"/>
      <c r="W81" s="33"/>
      <c r="X81" s="33"/>
      <c r="Y81" s="33"/>
      <c r="Z81" s="33"/>
    </row>
    <row r="82">
      <c r="A82" s="33"/>
      <c r="B82" s="258"/>
      <c r="C82" s="258"/>
      <c r="D82" s="258"/>
      <c r="E82" s="258"/>
      <c r="F82" s="33"/>
      <c r="G82" s="33"/>
      <c r="H82" s="33"/>
      <c r="I82" s="33"/>
      <c r="J82" s="33"/>
      <c r="K82" s="33"/>
      <c r="L82" s="33"/>
      <c r="M82" s="33"/>
      <c r="N82" s="33"/>
      <c r="O82" s="33"/>
      <c r="P82" s="33"/>
      <c r="Q82" s="33"/>
      <c r="R82" s="33"/>
      <c r="S82" s="33"/>
      <c r="T82" s="33"/>
      <c r="U82" s="33"/>
      <c r="V82" s="33"/>
      <c r="W82" s="33"/>
      <c r="X82" s="33"/>
      <c r="Y82" s="33"/>
      <c r="Z82" s="33"/>
    </row>
    <row r="83">
      <c r="A83" s="33"/>
      <c r="B83" s="259"/>
      <c r="C83" s="259"/>
      <c r="D83" s="259"/>
      <c r="E83" s="259"/>
      <c r="F83" s="33"/>
      <c r="G83" s="33"/>
      <c r="H83" s="33"/>
      <c r="I83" s="33"/>
      <c r="J83" s="33"/>
      <c r="K83" s="33"/>
      <c r="L83" s="33"/>
      <c r="M83" s="33"/>
      <c r="N83" s="33"/>
      <c r="O83" s="33"/>
      <c r="P83" s="33"/>
      <c r="Q83" s="33"/>
      <c r="R83" s="33"/>
      <c r="S83" s="33"/>
      <c r="T83" s="33"/>
      <c r="U83" s="33"/>
      <c r="V83" s="33"/>
      <c r="W83" s="33"/>
      <c r="X83" s="33"/>
      <c r="Y83" s="33"/>
      <c r="Z83" s="33"/>
    </row>
    <row r="84">
      <c r="A84" s="33"/>
      <c r="B84" s="258"/>
      <c r="C84" s="258"/>
      <c r="D84" s="258"/>
      <c r="E84" s="258"/>
      <c r="F84" s="33"/>
      <c r="G84" s="33"/>
      <c r="H84" s="33"/>
      <c r="I84" s="33"/>
      <c r="J84" s="33"/>
      <c r="K84" s="33"/>
      <c r="L84" s="33"/>
      <c r="M84" s="33"/>
      <c r="N84" s="33"/>
      <c r="O84" s="33"/>
      <c r="P84" s="33"/>
      <c r="Q84" s="33"/>
      <c r="R84" s="33"/>
      <c r="S84" s="33"/>
      <c r="T84" s="33"/>
      <c r="U84" s="33"/>
      <c r="V84" s="33"/>
      <c r="W84" s="33"/>
      <c r="X84" s="33"/>
      <c r="Y84" s="33"/>
      <c r="Z84" s="33"/>
    </row>
    <row r="85">
      <c r="A85" s="33"/>
      <c r="B85" s="259"/>
      <c r="C85" s="259"/>
      <c r="D85" s="259"/>
      <c r="E85" s="259"/>
      <c r="F85" s="33"/>
      <c r="G85" s="33"/>
      <c r="H85" s="33"/>
      <c r="I85" s="33"/>
      <c r="J85" s="33"/>
      <c r="K85" s="33"/>
      <c r="L85" s="33"/>
      <c r="M85" s="33"/>
      <c r="N85" s="33"/>
      <c r="O85" s="33"/>
      <c r="P85" s="33"/>
      <c r="Q85" s="33"/>
      <c r="R85" s="33"/>
      <c r="S85" s="33"/>
      <c r="T85" s="33"/>
      <c r="U85" s="33"/>
      <c r="V85" s="33"/>
      <c r="W85" s="33"/>
      <c r="X85" s="33"/>
      <c r="Y85" s="33"/>
      <c r="Z85" s="33"/>
    </row>
    <row r="86">
      <c r="A86" s="33"/>
      <c r="B86" s="258"/>
      <c r="C86" s="258"/>
      <c r="D86" s="258"/>
      <c r="E86" s="258"/>
      <c r="F86" s="33"/>
      <c r="G86" s="33"/>
      <c r="H86" s="33"/>
      <c r="I86" s="33"/>
      <c r="J86" s="33"/>
      <c r="K86" s="33"/>
      <c r="L86" s="33"/>
      <c r="M86" s="33"/>
      <c r="N86" s="33"/>
      <c r="O86" s="33"/>
      <c r="P86" s="33"/>
      <c r="Q86" s="33"/>
      <c r="R86" s="33"/>
      <c r="S86" s="33"/>
      <c r="T86" s="33"/>
      <c r="U86" s="33"/>
      <c r="V86" s="33"/>
      <c r="W86" s="33"/>
      <c r="X86" s="33"/>
      <c r="Y86" s="33"/>
      <c r="Z86" s="33"/>
    </row>
    <row r="87">
      <c r="A87" s="33"/>
      <c r="B87" s="259"/>
      <c r="C87" s="259"/>
      <c r="D87" s="259"/>
      <c r="E87" s="259"/>
      <c r="F87" s="33"/>
      <c r="G87" s="33"/>
      <c r="H87" s="33"/>
      <c r="I87" s="33"/>
      <c r="J87" s="33"/>
      <c r="K87" s="33"/>
      <c r="L87" s="33"/>
      <c r="M87" s="33"/>
      <c r="N87" s="33"/>
      <c r="O87" s="33"/>
      <c r="P87" s="33"/>
      <c r="Q87" s="33"/>
      <c r="R87" s="33"/>
      <c r="S87" s="33"/>
      <c r="T87" s="33"/>
      <c r="U87" s="33"/>
      <c r="V87" s="33"/>
      <c r="W87" s="33"/>
      <c r="X87" s="33"/>
      <c r="Y87" s="33"/>
      <c r="Z87" s="33"/>
    </row>
    <row r="88">
      <c r="A88" s="33"/>
      <c r="B88" s="258"/>
      <c r="C88" s="258"/>
      <c r="D88" s="258"/>
      <c r="E88" s="258"/>
      <c r="F88" s="33"/>
      <c r="G88" s="33"/>
      <c r="H88" s="33"/>
      <c r="I88" s="33"/>
      <c r="J88" s="33"/>
      <c r="K88" s="33"/>
      <c r="L88" s="33"/>
      <c r="M88" s="33"/>
      <c r="N88" s="33"/>
      <c r="O88" s="33"/>
      <c r="P88" s="33"/>
      <c r="Q88" s="33"/>
      <c r="R88" s="33"/>
      <c r="S88" s="33"/>
      <c r="T88" s="33"/>
      <c r="U88" s="33"/>
      <c r="V88" s="33"/>
      <c r="W88" s="33"/>
      <c r="X88" s="33"/>
      <c r="Y88" s="33"/>
      <c r="Z88" s="33"/>
    </row>
    <row r="89">
      <c r="A89" s="33"/>
      <c r="B89" s="259"/>
      <c r="C89" s="259"/>
      <c r="D89" s="259"/>
      <c r="E89" s="259"/>
      <c r="F89" s="33"/>
      <c r="G89" s="33"/>
      <c r="H89" s="33"/>
      <c r="I89" s="33"/>
      <c r="J89" s="33"/>
      <c r="K89" s="33"/>
      <c r="L89" s="33"/>
      <c r="M89" s="33"/>
      <c r="N89" s="33"/>
      <c r="O89" s="33"/>
      <c r="P89" s="33"/>
      <c r="Q89" s="33"/>
      <c r="R89" s="33"/>
      <c r="S89" s="33"/>
      <c r="T89" s="33"/>
      <c r="U89" s="33"/>
      <c r="V89" s="33"/>
      <c r="W89" s="33"/>
      <c r="X89" s="33"/>
      <c r="Y89" s="33"/>
      <c r="Z89" s="33"/>
    </row>
    <row r="90">
      <c r="A90" s="33"/>
      <c r="B90" s="258"/>
      <c r="C90" s="258"/>
      <c r="D90" s="258"/>
      <c r="E90" s="258"/>
      <c r="F90" s="33"/>
      <c r="G90" s="33"/>
      <c r="H90" s="33"/>
      <c r="I90" s="33"/>
      <c r="J90" s="33"/>
      <c r="K90" s="33"/>
      <c r="L90" s="33"/>
      <c r="M90" s="33"/>
      <c r="N90" s="33"/>
      <c r="O90" s="33"/>
      <c r="P90" s="33"/>
      <c r="Q90" s="33"/>
      <c r="R90" s="33"/>
      <c r="S90" s="33"/>
      <c r="T90" s="33"/>
      <c r="U90" s="33"/>
      <c r="V90" s="33"/>
      <c r="W90" s="33"/>
      <c r="X90" s="33"/>
      <c r="Y90" s="33"/>
      <c r="Z90" s="33"/>
    </row>
    <row r="91">
      <c r="A91" s="33"/>
      <c r="B91" s="259"/>
      <c r="C91" s="259"/>
      <c r="D91" s="259"/>
      <c r="E91" s="259"/>
      <c r="F91" s="33"/>
      <c r="G91" s="33"/>
      <c r="H91" s="33"/>
      <c r="I91" s="33"/>
      <c r="J91" s="33"/>
      <c r="K91" s="33"/>
      <c r="L91" s="33"/>
      <c r="M91" s="33"/>
      <c r="N91" s="33"/>
      <c r="O91" s="33"/>
      <c r="P91" s="33"/>
      <c r="Q91" s="33"/>
      <c r="R91" s="33"/>
      <c r="S91" s="33"/>
      <c r="T91" s="33"/>
      <c r="U91" s="33"/>
      <c r="V91" s="33"/>
      <c r="W91" s="33"/>
      <c r="X91" s="33"/>
      <c r="Y91" s="33"/>
      <c r="Z91" s="33"/>
    </row>
    <row r="92">
      <c r="A92" s="33"/>
      <c r="B92" s="258"/>
      <c r="C92" s="258"/>
      <c r="D92" s="258"/>
      <c r="E92" s="258"/>
      <c r="F92" s="33"/>
      <c r="G92" s="33"/>
      <c r="H92" s="33"/>
      <c r="I92" s="33"/>
      <c r="J92" s="33"/>
      <c r="K92" s="33"/>
      <c r="L92" s="33"/>
      <c r="M92" s="33"/>
      <c r="N92" s="33"/>
      <c r="O92" s="33"/>
      <c r="P92" s="33"/>
      <c r="Q92" s="33"/>
      <c r="R92" s="33"/>
      <c r="S92" s="33"/>
      <c r="T92" s="33"/>
      <c r="U92" s="33"/>
      <c r="V92" s="33"/>
      <c r="W92" s="33"/>
      <c r="X92" s="33"/>
      <c r="Y92" s="33"/>
      <c r="Z92" s="33"/>
    </row>
    <row r="93">
      <c r="A93" s="33"/>
      <c r="B93" s="259"/>
      <c r="C93" s="259"/>
      <c r="D93" s="259"/>
      <c r="E93" s="259"/>
      <c r="F93" s="33"/>
      <c r="G93" s="33"/>
      <c r="H93" s="33"/>
      <c r="I93" s="33"/>
      <c r="J93" s="33"/>
      <c r="K93" s="33"/>
      <c r="L93" s="33"/>
      <c r="M93" s="33"/>
      <c r="N93" s="33"/>
      <c r="O93" s="33"/>
      <c r="P93" s="33"/>
      <c r="Q93" s="33"/>
      <c r="R93" s="33"/>
      <c r="S93" s="33"/>
      <c r="T93" s="33"/>
      <c r="U93" s="33"/>
      <c r="V93" s="33"/>
      <c r="W93" s="33"/>
      <c r="X93" s="33"/>
      <c r="Y93" s="33"/>
      <c r="Z93" s="33"/>
    </row>
    <row r="94">
      <c r="A94" s="33"/>
      <c r="B94" s="258"/>
      <c r="C94" s="258"/>
      <c r="D94" s="258"/>
      <c r="E94" s="258"/>
      <c r="F94" s="33"/>
      <c r="G94" s="33"/>
      <c r="H94" s="33"/>
      <c r="I94" s="33"/>
      <c r="J94" s="33"/>
      <c r="K94" s="33"/>
      <c r="L94" s="33"/>
      <c r="M94" s="33"/>
      <c r="N94" s="33"/>
      <c r="O94" s="33"/>
      <c r="P94" s="33"/>
      <c r="Q94" s="33"/>
      <c r="R94" s="33"/>
      <c r="S94" s="33"/>
      <c r="T94" s="33"/>
      <c r="U94" s="33"/>
      <c r="V94" s="33"/>
      <c r="W94" s="33"/>
      <c r="X94" s="33"/>
      <c r="Y94" s="33"/>
      <c r="Z94" s="33"/>
    </row>
    <row r="95">
      <c r="A95" s="33"/>
      <c r="B95" s="259"/>
      <c r="C95" s="259"/>
      <c r="D95" s="259"/>
      <c r="E95" s="259"/>
      <c r="F95" s="33"/>
      <c r="G95" s="33"/>
      <c r="H95" s="33"/>
      <c r="I95" s="33"/>
      <c r="J95" s="33"/>
      <c r="K95" s="33"/>
      <c r="L95" s="33"/>
      <c r="M95" s="33"/>
      <c r="N95" s="33"/>
      <c r="O95" s="33"/>
      <c r="P95" s="33"/>
      <c r="Q95" s="33"/>
      <c r="R95" s="33"/>
      <c r="S95" s="33"/>
      <c r="T95" s="33"/>
      <c r="U95" s="33"/>
      <c r="V95" s="33"/>
      <c r="W95" s="33"/>
      <c r="X95" s="33"/>
      <c r="Y95" s="33"/>
      <c r="Z95" s="33"/>
    </row>
    <row r="96">
      <c r="A96" s="33"/>
      <c r="B96" s="258"/>
      <c r="C96" s="258"/>
      <c r="D96" s="258"/>
      <c r="E96" s="258"/>
      <c r="F96" s="33"/>
      <c r="G96" s="33"/>
      <c r="H96" s="33"/>
      <c r="I96" s="33"/>
      <c r="J96" s="33"/>
      <c r="K96" s="33"/>
      <c r="L96" s="33"/>
      <c r="M96" s="33"/>
      <c r="N96" s="33"/>
      <c r="O96" s="33"/>
      <c r="P96" s="33"/>
      <c r="Q96" s="33"/>
      <c r="R96" s="33"/>
      <c r="S96" s="33"/>
      <c r="T96" s="33"/>
      <c r="U96" s="33"/>
      <c r="V96" s="33"/>
      <c r="W96" s="33"/>
      <c r="X96" s="33"/>
      <c r="Y96" s="33"/>
      <c r="Z96" s="33"/>
    </row>
    <row r="97">
      <c r="A97" s="33"/>
      <c r="B97" s="259"/>
      <c r="C97" s="259"/>
      <c r="D97" s="259"/>
      <c r="E97" s="259"/>
      <c r="F97" s="33"/>
      <c r="G97" s="33"/>
      <c r="H97" s="33"/>
      <c r="I97" s="33"/>
      <c r="J97" s="33"/>
      <c r="K97" s="33"/>
      <c r="L97" s="33"/>
      <c r="M97" s="33"/>
      <c r="N97" s="33"/>
      <c r="O97" s="33"/>
      <c r="P97" s="33"/>
      <c r="Q97" s="33"/>
      <c r="R97" s="33"/>
      <c r="S97" s="33"/>
      <c r="T97" s="33"/>
      <c r="U97" s="33"/>
      <c r="V97" s="33"/>
      <c r="W97" s="33"/>
      <c r="X97" s="33"/>
      <c r="Y97" s="33"/>
      <c r="Z97" s="33"/>
    </row>
    <row r="98">
      <c r="A98" s="33"/>
      <c r="B98" s="258"/>
      <c r="C98" s="258"/>
      <c r="D98" s="258"/>
      <c r="E98" s="258"/>
      <c r="F98" s="33"/>
      <c r="G98" s="33"/>
      <c r="H98" s="33"/>
      <c r="I98" s="33"/>
      <c r="J98" s="33"/>
      <c r="K98" s="33"/>
      <c r="L98" s="33"/>
      <c r="M98" s="33"/>
      <c r="N98" s="33"/>
      <c r="O98" s="33"/>
      <c r="P98" s="33"/>
      <c r="Q98" s="33"/>
      <c r="R98" s="33"/>
      <c r="S98" s="33"/>
      <c r="T98" s="33"/>
      <c r="U98" s="33"/>
      <c r="V98" s="33"/>
      <c r="W98" s="33"/>
      <c r="X98" s="33"/>
      <c r="Y98" s="33"/>
      <c r="Z98" s="33"/>
    </row>
    <row r="99">
      <c r="A99" s="33"/>
      <c r="B99" s="259"/>
      <c r="C99" s="259"/>
      <c r="D99" s="259"/>
      <c r="E99" s="259"/>
      <c r="F99" s="33"/>
      <c r="G99" s="33"/>
      <c r="H99" s="33"/>
      <c r="I99" s="33"/>
      <c r="J99" s="33"/>
      <c r="K99" s="33"/>
      <c r="L99" s="33"/>
      <c r="M99" s="33"/>
      <c r="N99" s="33"/>
      <c r="O99" s="33"/>
      <c r="P99" s="33"/>
      <c r="Q99" s="33"/>
      <c r="R99" s="33"/>
      <c r="S99" s="33"/>
      <c r="T99" s="33"/>
      <c r="U99" s="33"/>
      <c r="V99" s="33"/>
      <c r="W99" s="33"/>
      <c r="X99" s="33"/>
      <c r="Y99" s="33"/>
      <c r="Z99" s="33"/>
    </row>
    <row r="100">
      <c r="A100" s="33"/>
      <c r="B100" s="258"/>
      <c r="C100" s="258"/>
      <c r="D100" s="258"/>
      <c r="E100" s="258"/>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259"/>
      <c r="C101" s="259"/>
      <c r="D101" s="259"/>
      <c r="E101" s="259"/>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258"/>
      <c r="C102" s="258"/>
      <c r="D102" s="258"/>
      <c r="E102" s="258"/>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259"/>
      <c r="C103" s="259"/>
      <c r="D103" s="259"/>
      <c r="E103" s="259"/>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258"/>
      <c r="C104" s="258"/>
      <c r="D104" s="258"/>
      <c r="E104" s="258"/>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259"/>
      <c r="C105" s="259"/>
      <c r="D105" s="259"/>
      <c r="E105" s="259"/>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258"/>
      <c r="C106" s="258"/>
      <c r="D106" s="258"/>
      <c r="E106" s="258"/>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259"/>
      <c r="C107" s="259"/>
      <c r="D107" s="259"/>
      <c r="E107" s="259"/>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258"/>
      <c r="C108" s="258"/>
      <c r="D108" s="258"/>
      <c r="E108" s="258"/>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259"/>
      <c r="C109" s="259"/>
      <c r="D109" s="259"/>
      <c r="E109" s="259"/>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258"/>
      <c r="C110" s="258"/>
      <c r="D110" s="258"/>
      <c r="E110" s="258"/>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259"/>
      <c r="C111" s="259"/>
      <c r="D111" s="259"/>
      <c r="E111" s="259"/>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258"/>
      <c r="C112" s="258"/>
      <c r="D112" s="258"/>
      <c r="E112" s="258"/>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259"/>
      <c r="C113" s="259"/>
      <c r="D113" s="259"/>
      <c r="E113" s="259"/>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258"/>
      <c r="C114" s="258"/>
      <c r="D114" s="258"/>
      <c r="E114" s="258"/>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259"/>
      <c r="C115" s="259"/>
      <c r="D115" s="259"/>
      <c r="E115" s="259"/>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258"/>
      <c r="C116" s="258"/>
      <c r="D116" s="258"/>
      <c r="E116" s="258"/>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259"/>
      <c r="C117" s="259"/>
      <c r="D117" s="259"/>
      <c r="E117" s="259"/>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258"/>
      <c r="C118" s="258"/>
      <c r="D118" s="258"/>
      <c r="E118" s="258"/>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259"/>
      <c r="C119" s="259"/>
      <c r="D119" s="259"/>
      <c r="E119" s="259"/>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258"/>
      <c r="C120" s="258"/>
      <c r="D120" s="258"/>
      <c r="E120" s="258"/>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259"/>
      <c r="C121" s="259"/>
      <c r="D121" s="259"/>
      <c r="E121" s="259"/>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258"/>
      <c r="C122" s="258"/>
      <c r="D122" s="258"/>
      <c r="E122" s="258"/>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259"/>
      <c r="C123" s="259"/>
      <c r="D123" s="259"/>
      <c r="E123" s="259"/>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258"/>
      <c r="C124" s="258"/>
      <c r="D124" s="258"/>
      <c r="E124" s="258"/>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259"/>
      <c r="C125" s="259"/>
      <c r="D125" s="259"/>
      <c r="E125" s="259"/>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258"/>
      <c r="C126" s="258"/>
      <c r="D126" s="258"/>
      <c r="E126" s="258"/>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259"/>
      <c r="C127" s="259"/>
      <c r="D127" s="259"/>
      <c r="E127" s="259"/>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258"/>
      <c r="C128" s="258"/>
      <c r="D128" s="258"/>
      <c r="E128" s="258"/>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259"/>
      <c r="C129" s="259"/>
      <c r="D129" s="259"/>
      <c r="E129" s="259"/>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sheetData>
  <hyperlinks>
    <hyperlink r:id="rId1" location="gid=2089831337" ref="C3"/>
    <hyperlink r:id="rId2" location="gid=0" ref="C4"/>
    <hyperlink r:id="rId3" location="gid=441054899" ref="C5"/>
    <hyperlink r:id="rId4" ref="C6"/>
    <hyperlink r:id="rId5" location="gid=0" ref="C7"/>
    <hyperlink r:id="rId6" location="gid=0" ref="C8"/>
    <hyperlink r:id="rId7" location="gid=0" ref="C9"/>
    <hyperlink r:id="rId8" location="gid=1563093964" ref="C10"/>
    <hyperlink r:id="rId9" location="gid=1485379724" ref="C12"/>
    <hyperlink r:id="rId10" location="gid=619570511" ref="C13"/>
    <hyperlink r:id="rId11" location="gid=992341450" ref="C14"/>
    <hyperlink r:id="rId12" location="gid=1483108432" ref="C15"/>
    <hyperlink r:id="rId13" location="gid=0" ref="C16"/>
    <hyperlink r:id="rId14" location="gid=0" ref="C17"/>
    <hyperlink r:id="rId15" location="gid=941121920" ref="C18"/>
    <hyperlink r:id="rId16" location="gid=1564874204" ref="C19"/>
    <hyperlink r:id="rId17" location="heading=h.ux0m98l75fsd" ref="C20"/>
    <hyperlink r:id="rId18" location="gid=69945731" ref="C21"/>
    <hyperlink r:id="rId19" location="gid=0" ref="C22"/>
    <hyperlink r:id="rId20" ref="C23"/>
    <hyperlink r:id="rId21" ref="C24"/>
    <hyperlink r:id="rId22" ref="C25"/>
    <hyperlink r:id="rId23" location="gid=0" ref="C26"/>
    <hyperlink r:id="rId24" location="gid=0" ref="C27"/>
    <hyperlink r:id="rId25" location="gid=1680971485" ref="C28"/>
    <hyperlink r:id="rId26" ref="C29"/>
    <hyperlink r:id="rId27" location="gid=2055936698" ref="C30"/>
    <hyperlink r:id="rId28" location="gid=0" ref="C31"/>
    <hyperlink r:id="rId29" location="gid=0" ref="C32"/>
    <hyperlink r:id="rId30" location="gid=965343278" ref="C33"/>
    <hyperlink r:id="rId31" location="gid=0" ref="C34"/>
    <hyperlink r:id="rId32" location="gid=1145697343" ref="C35"/>
    <hyperlink r:id="rId33" location="gid=0" ref="C36"/>
    <hyperlink r:id="rId34" location="gid=0" ref="C37"/>
    <hyperlink r:id="rId35" location="gid=1369730177" ref="C38"/>
    <hyperlink r:id="rId36" location="gid=976302755" ref="C39"/>
    <hyperlink r:id="rId37" location="gid=992341450" ref="C40"/>
    <hyperlink r:id="rId38" location="gid=1983021448" ref="C41"/>
    <hyperlink r:id="rId39" location="gid=1259461157" ref="C42"/>
    <hyperlink r:id="rId40" location="gid=704804644" ref="C43"/>
    <hyperlink r:id="rId41" location="gid=1732137804" ref="C44"/>
    <hyperlink r:id="rId42" location="gid=1145697343" ref="C45"/>
    <hyperlink r:id="rId43" location="gid=1650759560" ref="C47"/>
    <hyperlink r:id="rId44" ref="C48"/>
    <hyperlink r:id="rId45" ref="C49"/>
    <hyperlink r:id="rId46" location="gid=0" ref="C51"/>
    <hyperlink r:id="rId47" location="gid=0" ref="C52"/>
    <hyperlink r:id="rId48" location="gid=1388364056" ref="C55"/>
    <hyperlink r:id="rId49" location="gid=0" ref="C56"/>
    <hyperlink r:id="rId50" location="gid=790450177" ref="C57"/>
    <hyperlink r:id="rId51" location="gid=0" ref="C58"/>
    <hyperlink r:id="rId52" location="gid=0" ref="C59"/>
    <hyperlink r:id="rId53" location="gid=610707892" ref="C60"/>
    <hyperlink r:id="rId54" ref="C61"/>
    <hyperlink r:id="rId55" location="gid=1786886565" ref="C62"/>
    <hyperlink r:id="rId56" ref="C63"/>
    <hyperlink r:id="rId57" ref="C65"/>
  </hyperlinks>
  <drawing r:id="rId58"/>
  <tableParts count="1">
    <tablePart r:id="rId6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5"/>
    <col customWidth="1" min="2" max="2" width="24.63"/>
    <col customWidth="1" min="3" max="3" width="16.38"/>
    <col customWidth="1" min="4" max="28" width="17.38"/>
    <col customWidth="1" min="29" max="29" width="22.75"/>
    <col customWidth="1" min="30" max="30" width="21.38"/>
    <col customWidth="1" min="31" max="31" width="17.38"/>
    <col customWidth="1" min="32" max="34" width="19.13"/>
    <col customWidth="1" min="35" max="35" width="19.63"/>
    <col customWidth="1" min="36" max="36" width="18.13"/>
    <col customWidth="1" min="37" max="37" width="19.13"/>
    <col customWidth="1" min="38" max="38" width="13.63"/>
    <col customWidth="1" min="39" max="57" width="19.13"/>
  </cols>
  <sheetData>
    <row r="1">
      <c r="AJ1" s="79"/>
    </row>
    <row r="2">
      <c r="B2" s="269" t="s">
        <v>234</v>
      </c>
      <c r="AA2" s="270" t="s">
        <v>235</v>
      </c>
      <c r="AD2" s="270" t="s">
        <v>235</v>
      </c>
      <c r="AG2" s="270" t="s">
        <v>235</v>
      </c>
      <c r="AJ2" s="271" t="s">
        <v>235</v>
      </c>
      <c r="AM2" s="270" t="s">
        <v>235</v>
      </c>
      <c r="AP2" s="270" t="s">
        <v>235</v>
      </c>
      <c r="AS2" s="270" t="s">
        <v>235</v>
      </c>
      <c r="AT2" s="55"/>
      <c r="AU2" s="55"/>
      <c r="AV2" s="270" t="s">
        <v>235</v>
      </c>
      <c r="AW2" s="55"/>
      <c r="AX2" s="55"/>
      <c r="AY2" s="270" t="s">
        <v>235</v>
      </c>
      <c r="AZ2" s="55"/>
      <c r="BB2" s="270" t="s">
        <v>235</v>
      </c>
      <c r="BC2" s="272"/>
      <c r="BD2" s="270" t="s">
        <v>235</v>
      </c>
      <c r="BE2" s="272"/>
    </row>
    <row r="3">
      <c r="B3" s="273"/>
      <c r="AA3" s="274">
        <v>144.07</v>
      </c>
      <c r="AD3" s="274">
        <v>149.91</v>
      </c>
      <c r="AF3" s="270"/>
      <c r="AG3" s="274">
        <v>155.0</v>
      </c>
      <c r="AI3" s="270"/>
      <c r="AJ3" s="275">
        <v>155.0</v>
      </c>
      <c r="AL3" s="270"/>
      <c r="AM3" s="274">
        <v>155.2</v>
      </c>
      <c r="AO3" s="270"/>
      <c r="AP3" s="274">
        <v>157.16</v>
      </c>
      <c r="AR3" s="270"/>
      <c r="AS3" s="274">
        <v>149.75</v>
      </c>
      <c r="AT3" s="276"/>
      <c r="AU3" s="270"/>
      <c r="AV3" s="274">
        <v>151.96</v>
      </c>
      <c r="AW3" s="277"/>
      <c r="AX3" s="270"/>
      <c r="AY3" s="274">
        <v>143.71</v>
      </c>
      <c r="AZ3" s="276"/>
      <c r="BA3" s="270"/>
      <c r="BB3" s="274">
        <v>146.2</v>
      </c>
      <c r="BD3" s="274">
        <v>149.2</v>
      </c>
      <c r="BE3" s="278"/>
    </row>
    <row r="4">
      <c r="A4" s="279"/>
      <c r="B4" s="280"/>
      <c r="C4" s="281" t="s">
        <v>234</v>
      </c>
      <c r="D4" s="282" t="s">
        <v>236</v>
      </c>
      <c r="E4" s="283"/>
      <c r="F4" s="284"/>
      <c r="G4" s="282" t="s">
        <v>237</v>
      </c>
      <c r="H4" s="283"/>
      <c r="I4" s="284"/>
      <c r="J4" s="282" t="s">
        <v>238</v>
      </c>
      <c r="K4" s="283"/>
      <c r="L4" s="284"/>
      <c r="M4" s="282" t="s">
        <v>239</v>
      </c>
      <c r="N4" s="283"/>
      <c r="O4" s="284"/>
      <c r="P4" s="285" t="s">
        <v>240</v>
      </c>
      <c r="Q4" s="286"/>
      <c r="R4" s="287"/>
      <c r="S4" s="288" t="s">
        <v>241</v>
      </c>
      <c r="T4" s="289"/>
      <c r="U4" s="290"/>
      <c r="V4" s="291" t="s">
        <v>242</v>
      </c>
      <c r="W4" s="292"/>
      <c r="X4" s="293"/>
      <c r="Y4" s="294" t="s">
        <v>243</v>
      </c>
      <c r="Z4" s="295"/>
      <c r="AA4" s="296"/>
      <c r="AB4" s="297" t="s">
        <v>244</v>
      </c>
      <c r="AC4" s="298"/>
      <c r="AD4" s="299"/>
      <c r="AE4" s="300" t="s">
        <v>245</v>
      </c>
      <c r="AF4" s="301"/>
      <c r="AG4" s="302"/>
      <c r="AH4" s="303" t="s">
        <v>246</v>
      </c>
      <c r="AI4" s="301"/>
      <c r="AJ4" s="302"/>
      <c r="AK4" s="304" t="s">
        <v>247</v>
      </c>
      <c r="AL4" s="301"/>
      <c r="AM4" s="302"/>
      <c r="AN4" s="305" t="s">
        <v>248</v>
      </c>
      <c r="AO4" s="301"/>
      <c r="AP4" s="302"/>
      <c r="AQ4" s="306" t="s">
        <v>249</v>
      </c>
      <c r="AR4" s="301"/>
      <c r="AS4" s="302"/>
      <c r="AT4" s="306" t="s">
        <v>250</v>
      </c>
      <c r="AU4" s="301"/>
      <c r="AV4" s="302"/>
      <c r="AW4" s="307" t="s">
        <v>251</v>
      </c>
      <c r="AX4" s="301"/>
      <c r="AY4" s="302"/>
      <c r="AZ4" s="308" t="s">
        <v>252</v>
      </c>
      <c r="BA4" s="301"/>
      <c r="BB4" s="302"/>
      <c r="BC4" s="309" t="s">
        <v>253</v>
      </c>
      <c r="BD4" s="301"/>
      <c r="BE4" s="302"/>
      <c r="BF4" s="279"/>
      <c r="BG4" s="279"/>
      <c r="BH4" s="279"/>
      <c r="BI4" s="279"/>
      <c r="BJ4" s="279"/>
      <c r="BK4" s="279"/>
      <c r="BL4" s="279"/>
      <c r="BM4" s="279"/>
      <c r="BN4" s="279"/>
      <c r="BO4" s="279"/>
      <c r="BP4" s="279"/>
      <c r="BQ4" s="279"/>
      <c r="BR4" s="279"/>
    </row>
    <row r="5">
      <c r="A5" s="310"/>
      <c r="B5" s="311"/>
      <c r="C5" s="312"/>
      <c r="D5" s="313" t="s">
        <v>254</v>
      </c>
      <c r="E5" s="314" t="s">
        <v>255</v>
      </c>
      <c r="F5" s="314" t="s">
        <v>256</v>
      </c>
      <c r="G5" s="313" t="s">
        <v>254</v>
      </c>
      <c r="H5" s="314" t="s">
        <v>255</v>
      </c>
      <c r="I5" s="314" t="s">
        <v>256</v>
      </c>
      <c r="J5" s="313" t="s">
        <v>254</v>
      </c>
      <c r="K5" s="314" t="s">
        <v>255</v>
      </c>
      <c r="L5" s="314" t="s">
        <v>256</v>
      </c>
      <c r="M5" s="313" t="s">
        <v>254</v>
      </c>
      <c r="N5" s="314" t="s">
        <v>255</v>
      </c>
      <c r="O5" s="314" t="s">
        <v>256</v>
      </c>
      <c r="P5" s="313" t="s">
        <v>254</v>
      </c>
      <c r="Q5" s="314" t="s">
        <v>255</v>
      </c>
      <c r="R5" s="314" t="s">
        <v>256</v>
      </c>
      <c r="S5" s="313" t="s">
        <v>254</v>
      </c>
      <c r="T5" s="314" t="s">
        <v>255</v>
      </c>
      <c r="U5" s="314" t="s">
        <v>256</v>
      </c>
      <c r="V5" s="313" t="s">
        <v>254</v>
      </c>
      <c r="W5" s="314" t="s">
        <v>255</v>
      </c>
      <c r="X5" s="314" t="s">
        <v>256</v>
      </c>
      <c r="Y5" s="313" t="s">
        <v>254</v>
      </c>
      <c r="Z5" s="314" t="s">
        <v>255</v>
      </c>
      <c r="AA5" s="314" t="s">
        <v>256</v>
      </c>
      <c r="AB5" s="313" t="s">
        <v>254</v>
      </c>
      <c r="AC5" s="314" t="s">
        <v>255</v>
      </c>
      <c r="AD5" s="314" t="s">
        <v>256</v>
      </c>
      <c r="AE5" s="312" t="s">
        <v>254</v>
      </c>
      <c r="AF5" s="315" t="s">
        <v>255</v>
      </c>
      <c r="AG5" s="315" t="s">
        <v>256</v>
      </c>
      <c r="AH5" s="312" t="s">
        <v>254</v>
      </c>
      <c r="AI5" s="315" t="s">
        <v>255</v>
      </c>
      <c r="AJ5" s="315" t="s">
        <v>256</v>
      </c>
      <c r="AK5" s="312" t="s">
        <v>254</v>
      </c>
      <c r="AL5" s="315" t="s">
        <v>255</v>
      </c>
      <c r="AM5" s="315" t="s">
        <v>256</v>
      </c>
      <c r="AN5" s="312" t="s">
        <v>254</v>
      </c>
      <c r="AO5" s="315" t="s">
        <v>255</v>
      </c>
      <c r="AP5" s="315" t="s">
        <v>256</v>
      </c>
      <c r="AQ5" s="312" t="s">
        <v>254</v>
      </c>
      <c r="AR5" s="315" t="s">
        <v>255</v>
      </c>
      <c r="AS5" s="315" t="s">
        <v>256</v>
      </c>
      <c r="AT5" s="312" t="s">
        <v>254</v>
      </c>
      <c r="AU5" s="315" t="s">
        <v>255</v>
      </c>
      <c r="AV5" s="315" t="s">
        <v>256</v>
      </c>
      <c r="AW5" s="312" t="s">
        <v>254</v>
      </c>
      <c r="AX5" s="315" t="s">
        <v>255</v>
      </c>
      <c r="AY5" s="315" t="s">
        <v>256</v>
      </c>
      <c r="AZ5" s="312" t="s">
        <v>254</v>
      </c>
      <c r="BA5" s="315" t="s">
        <v>255</v>
      </c>
      <c r="BB5" s="315" t="s">
        <v>256</v>
      </c>
      <c r="BC5" s="312" t="s">
        <v>254</v>
      </c>
      <c r="BD5" s="315" t="s">
        <v>255</v>
      </c>
      <c r="BE5" s="315" t="s">
        <v>256</v>
      </c>
      <c r="BF5" s="310"/>
      <c r="BG5" s="310"/>
      <c r="BH5" s="310"/>
      <c r="BI5" s="310"/>
      <c r="BJ5" s="310"/>
      <c r="BK5" s="310"/>
      <c r="BL5" s="310"/>
      <c r="BM5" s="310"/>
      <c r="BN5" s="310"/>
      <c r="BO5" s="310"/>
      <c r="BP5" s="310"/>
      <c r="BQ5" s="310"/>
      <c r="BR5" s="310"/>
    </row>
    <row r="6">
      <c r="A6" s="316"/>
      <c r="B6" s="317" t="s">
        <v>257</v>
      </c>
      <c r="C6" s="318">
        <f t="shared" ref="C6:C16" si="1">AH6+AK6+AN6+AT6+AW6+AZ6+BC6+AE6+AB6+Y6+V6+S6+P6+M6+J6+G6+D6</f>
        <v>166547</v>
      </c>
      <c r="D6" s="319" t="str">
        <f>'2025年12月収益'!C2</f>
        <v/>
      </c>
      <c r="E6" s="320" t="s">
        <v>258</v>
      </c>
      <c r="F6" s="321">
        <f>IFERROR(D6/E6, "　")</f>
        <v>0</v>
      </c>
      <c r="G6" s="319">
        <f>'2025年11月収益'!C2</f>
        <v>14867</v>
      </c>
      <c r="H6" s="320" t="s">
        <v>258</v>
      </c>
      <c r="I6" s="321">
        <f>IFERROR(G6/H6, "　")</f>
        <v>0.9911333333</v>
      </c>
      <c r="J6" s="319">
        <f>'2025年10月収益'!C2</f>
        <v>14542</v>
      </c>
      <c r="K6" s="320" t="s">
        <v>258</v>
      </c>
      <c r="L6" s="321">
        <f>IFERROR(J6/K6, "　")</f>
        <v>0.9694666667</v>
      </c>
      <c r="M6" s="319">
        <f>'2025年9月収益D'!C2</f>
        <v>14807</v>
      </c>
      <c r="N6" s="320" t="s">
        <v>258</v>
      </c>
      <c r="O6" s="321">
        <f>IFERROR(M6/N6, "　")</f>
        <v>0.9871333333</v>
      </c>
      <c r="P6" s="322">
        <f>'2025年8月収益'!C2</f>
        <v>9997</v>
      </c>
      <c r="Q6" s="323" t="s">
        <v>259</v>
      </c>
      <c r="R6" s="324">
        <f>IFERROR(P6/T6, "　")</f>
        <v>0.9997</v>
      </c>
      <c r="S6" s="325">
        <f>'2025年7月収益'!C2</f>
        <v>9957</v>
      </c>
      <c r="T6" s="326" t="s">
        <v>259</v>
      </c>
      <c r="U6" s="327">
        <f>IFERROR(S6/W6, "　")</f>
        <v>0.9957</v>
      </c>
      <c r="V6" s="328">
        <f>'2025年6月収益'!C2</f>
        <v>9884</v>
      </c>
      <c r="W6" s="329" t="s">
        <v>259</v>
      </c>
      <c r="X6" s="330">
        <f>IFERROR(V6/Z6, "　")</f>
        <v>0.9884</v>
      </c>
      <c r="Y6" s="331">
        <f>'2025年5月収益'!C2</f>
        <v>9967</v>
      </c>
      <c r="Z6" s="332" t="s">
        <v>259</v>
      </c>
      <c r="AA6" s="333">
        <f>IFERROR(Y6/AC6, "　")</f>
        <v>0.9967</v>
      </c>
      <c r="AB6" s="334">
        <f>'2025年4月収益'!C2</f>
        <v>9601</v>
      </c>
      <c r="AC6" s="335" t="s">
        <v>259</v>
      </c>
      <c r="AD6" s="336">
        <f>IFERROR(AB6/AF6, "　")</f>
        <v>0.9601</v>
      </c>
      <c r="AE6" s="337">
        <f>'2025年3月収益'!C2</f>
        <v>6976</v>
      </c>
      <c r="AF6" s="338" t="s">
        <v>259</v>
      </c>
      <c r="AG6" s="339">
        <f>IFERROR(AE6/AF6, "　")</f>
        <v>0.6976</v>
      </c>
      <c r="AH6" s="340">
        <f>'2025年2月収益'!C2</f>
        <v>5948</v>
      </c>
      <c r="AI6" s="341" t="s">
        <v>259</v>
      </c>
      <c r="AJ6" s="342">
        <f>IFERROR(AH6/AI6, "　")</f>
        <v>0.5948</v>
      </c>
      <c r="AK6" s="343">
        <f>'2025年1月収益'!C2</f>
        <v>4231</v>
      </c>
      <c r="AL6" s="344" t="s">
        <v>259</v>
      </c>
      <c r="AM6" s="345">
        <f>IFERROR(AK6/AL6, "　")</f>
        <v>0.4231</v>
      </c>
      <c r="AN6" s="346">
        <f>'2024年12月収益'!C2</f>
        <v>5492</v>
      </c>
      <c r="AO6" s="347" t="s">
        <v>259</v>
      </c>
      <c r="AP6" s="348">
        <f>IFERROR(AN6/AO6, "　")</f>
        <v>0.5492</v>
      </c>
      <c r="AQ6" s="349">
        <f>'2024年11月収益'!C2</f>
        <v>34638</v>
      </c>
      <c r="AR6" s="317" t="s">
        <v>259</v>
      </c>
      <c r="AS6" s="350">
        <f>IFERROR(AQ6/AR6, "　")</f>
        <v>3.4638</v>
      </c>
      <c r="AT6" s="351">
        <f>'2024年10月収益'!C2</f>
        <v>10278</v>
      </c>
      <c r="AU6" s="351" t="s">
        <v>259</v>
      </c>
      <c r="AV6" s="352">
        <f>IFERROR(AT6/AU6, "　")</f>
        <v>1.0278</v>
      </c>
      <c r="AW6" s="353">
        <f>'2024年9月収益'!C2</f>
        <v>14000</v>
      </c>
      <c r="AX6" s="353" t="s">
        <v>259</v>
      </c>
      <c r="AY6" s="354">
        <f>IFERROR(AW6/AX6, "　")</f>
        <v>1.4</v>
      </c>
      <c r="AZ6" s="355">
        <f>'2024年8月収益'!C2</f>
        <v>16000</v>
      </c>
      <c r="BA6" s="355" t="s">
        <v>259</v>
      </c>
      <c r="BB6" s="356">
        <f>IFERROR(BA6/AZ6, "　")</f>
        <v>0.625</v>
      </c>
      <c r="BC6" s="357">
        <f>'2024年7月収益'!C2</f>
        <v>10000</v>
      </c>
      <c r="BD6" s="357"/>
      <c r="BE6" s="357"/>
      <c r="BF6" s="316"/>
      <c r="BG6" s="316"/>
      <c r="BH6" s="316"/>
      <c r="BI6" s="316"/>
      <c r="BJ6" s="316"/>
      <c r="BK6" s="316"/>
      <c r="BL6" s="316"/>
      <c r="BM6" s="316"/>
      <c r="BN6" s="316"/>
      <c r="BO6" s="316"/>
      <c r="BP6" s="316"/>
      <c r="BQ6" s="316"/>
      <c r="BR6" s="316"/>
    </row>
    <row r="7">
      <c r="A7" s="358"/>
      <c r="B7" s="359" t="s">
        <v>260</v>
      </c>
      <c r="C7" s="360">
        <f t="shared" si="1"/>
        <v>867255</v>
      </c>
      <c r="D7" s="314" t="str">
        <f>'2025年12月収益'!C3</f>
        <v/>
      </c>
      <c r="E7" s="314"/>
      <c r="F7" s="361"/>
      <c r="G7" s="314">
        <f>'2025年11月収益'!C3</f>
        <v>10398</v>
      </c>
      <c r="H7" s="314"/>
      <c r="I7" s="361"/>
      <c r="J7" s="314">
        <f>'2025年10月収益'!C3</f>
        <v>10579</v>
      </c>
      <c r="K7" s="314"/>
      <c r="L7" s="361"/>
      <c r="M7" s="314">
        <f>'2025年9月収益D'!C3</f>
        <v>12471</v>
      </c>
      <c r="N7" s="314"/>
      <c r="O7" s="361"/>
      <c r="P7" s="314">
        <f>'2025年8月収益'!C3</f>
        <v>9829</v>
      </c>
      <c r="Q7" s="361"/>
      <c r="R7" s="361"/>
      <c r="S7" s="314">
        <f>'2025年7月収益'!C3</f>
        <v>100011</v>
      </c>
      <c r="T7" s="361"/>
      <c r="U7" s="361"/>
      <c r="V7" s="314">
        <f>'2025年6月収益'!C3</f>
        <v>191066</v>
      </c>
      <c r="W7" s="361"/>
      <c r="X7" s="361"/>
      <c r="Y7" s="314">
        <f>'2025年5月収益'!C3</f>
        <v>171257</v>
      </c>
      <c r="Z7" s="361"/>
      <c r="AA7" s="361"/>
      <c r="AB7" s="314">
        <f>'2025年4月収益'!C3</f>
        <v>95781</v>
      </c>
      <c r="AC7" s="361"/>
      <c r="AD7" s="361"/>
      <c r="AE7" s="362">
        <f>'2025年3月収益'!C3</f>
        <v>63823</v>
      </c>
      <c r="AF7" s="361"/>
      <c r="AG7" s="361"/>
      <c r="AH7" s="362">
        <f>'2025年2月収益'!C3</f>
        <v>47811</v>
      </c>
      <c r="AI7" s="361"/>
      <c r="AJ7" s="361"/>
      <c r="AK7" s="362">
        <f>'2025年1月収益'!C3</f>
        <v>31156</v>
      </c>
      <c r="AL7" s="361"/>
      <c r="AM7" s="363"/>
      <c r="AN7" s="362">
        <f>'2024年12月収益'!C3</f>
        <v>37455</v>
      </c>
      <c r="AO7" s="361"/>
      <c r="AP7" s="361"/>
      <c r="AQ7" s="362">
        <f>'2024年11月収益'!C3</f>
        <v>41317</v>
      </c>
      <c r="AR7" s="361"/>
      <c r="AS7" s="364"/>
      <c r="AT7" s="359">
        <f>'2024年10月収益'!C3</f>
        <v>35815</v>
      </c>
      <c r="AU7" s="361"/>
      <c r="AV7" s="364"/>
      <c r="AW7" s="359">
        <f>'2024年9月収益'!C3</f>
        <v>12626</v>
      </c>
      <c r="AX7" s="359"/>
      <c r="AY7" s="364"/>
      <c r="AZ7" s="359">
        <f>'2024年8月収益'!C3</f>
        <v>18177</v>
      </c>
      <c r="BA7" s="359"/>
      <c r="BB7" s="359"/>
      <c r="BC7" s="359">
        <f>'2024年7月収益'!C3</f>
        <v>19000</v>
      </c>
      <c r="BD7" s="359"/>
      <c r="BE7" s="359"/>
      <c r="BF7" s="358"/>
      <c r="BG7" s="358"/>
      <c r="BH7" s="358"/>
      <c r="BI7" s="358"/>
      <c r="BJ7" s="358"/>
      <c r="BK7" s="358"/>
      <c r="BL7" s="358"/>
      <c r="BM7" s="358"/>
      <c r="BN7" s="358"/>
      <c r="BO7" s="358"/>
      <c r="BP7" s="358"/>
      <c r="BQ7" s="358"/>
      <c r="BR7" s="358"/>
    </row>
    <row r="8">
      <c r="A8" s="316"/>
      <c r="B8" s="317" t="s">
        <v>261</v>
      </c>
      <c r="C8" s="318">
        <f t="shared" si="1"/>
        <v>58832</v>
      </c>
      <c r="D8" s="319" t="str">
        <f>'2025年12月収益'!C4</f>
        <v/>
      </c>
      <c r="E8" s="320" t="s">
        <v>262</v>
      </c>
      <c r="F8" s="321">
        <f>IFERROR(D8/E8, "　")</f>
        <v>0</v>
      </c>
      <c r="G8" s="319">
        <f>'2025年11月収益'!C4</f>
        <v>1209</v>
      </c>
      <c r="H8" s="320" t="s">
        <v>262</v>
      </c>
      <c r="I8" s="321">
        <f>IFERROR(G8/H8, "　")</f>
        <v>0.3358333333</v>
      </c>
      <c r="J8" s="319">
        <f>'2025年10月収益'!C4</f>
        <v>1716</v>
      </c>
      <c r="K8" s="320" t="s">
        <v>262</v>
      </c>
      <c r="L8" s="321">
        <f>IFERROR(J8/K8, "　")</f>
        <v>0.4766666667</v>
      </c>
      <c r="M8" s="319">
        <f>'2025年9月収益D'!C4</f>
        <v>2418</v>
      </c>
      <c r="N8" s="320" t="s">
        <v>262</v>
      </c>
      <c r="O8" s="321">
        <f>IFERROR(M8/N8, "　")</f>
        <v>0.6716666667</v>
      </c>
      <c r="P8" s="322">
        <f>'2025年8月収益'!C4</f>
        <v>3810</v>
      </c>
      <c r="Q8" s="323" t="s">
        <v>262</v>
      </c>
      <c r="R8" s="324">
        <f>IFERROR(P8/T8, "　")</f>
        <v>1.058333333</v>
      </c>
      <c r="S8" s="325">
        <f>'2025年7月収益'!C4</f>
        <v>3839</v>
      </c>
      <c r="T8" s="326" t="s">
        <v>262</v>
      </c>
      <c r="U8" s="327">
        <f>IFERROR(S8/W8, "　")</f>
        <v>1.066388889</v>
      </c>
      <c r="V8" s="328">
        <f>'2025年6月収益'!C4</f>
        <v>7980</v>
      </c>
      <c r="W8" s="329" t="s">
        <v>262</v>
      </c>
      <c r="X8" s="330">
        <f>IFERROR(V8/Z8, "　")</f>
        <v>2.216666667</v>
      </c>
      <c r="Y8" s="331">
        <f>'2025年5月収益'!C4</f>
        <v>6193</v>
      </c>
      <c r="Z8" s="332" t="s">
        <v>262</v>
      </c>
      <c r="AA8" s="333">
        <f>IFERROR(Y8/AC8, "　")</f>
        <v>1.720277778</v>
      </c>
      <c r="AB8" s="334">
        <f>'2025年4月収益'!C4</f>
        <v>4488</v>
      </c>
      <c r="AC8" s="335" t="s">
        <v>262</v>
      </c>
      <c r="AD8" s="336">
        <f>IFERROR(AB8/AF8, "　")</f>
        <v>1.246666667</v>
      </c>
      <c r="AE8" s="337">
        <f>'2025年3月収益'!C4</f>
        <v>4040</v>
      </c>
      <c r="AF8" s="338" t="s">
        <v>262</v>
      </c>
      <c r="AG8" s="339">
        <f>IFERROR(AE8/AF8, "　")</f>
        <v>1.122222222</v>
      </c>
      <c r="AH8" s="340">
        <f>'2025年2月収益'!C4</f>
        <v>4970</v>
      </c>
      <c r="AI8" s="341" t="s">
        <v>262</v>
      </c>
      <c r="AJ8" s="342">
        <f>IFERROR(AH8/AI8, "　")</f>
        <v>1.380555556</v>
      </c>
      <c r="AK8" s="343">
        <f>'2025年1月収益'!C4</f>
        <v>3724</v>
      </c>
      <c r="AL8" s="344" t="s">
        <v>263</v>
      </c>
      <c r="AM8" s="345">
        <f>IFERROR(AK8/AL8, "　")</f>
        <v>1.16375</v>
      </c>
      <c r="AN8" s="346">
        <f>'2024年12月収益'!C4</f>
        <v>4104</v>
      </c>
      <c r="AO8" s="347" t="s">
        <v>263</v>
      </c>
      <c r="AP8" s="348">
        <f>IFERROR(AN8/AO8, "　")</f>
        <v>1.2825</v>
      </c>
      <c r="AQ8" s="349">
        <f>'2024年11月収益'!C4</f>
        <v>4881</v>
      </c>
      <c r="AR8" s="317" t="s">
        <v>264</v>
      </c>
      <c r="AS8" s="350">
        <f>IFERROR(AQ8/AR8, "　")</f>
        <v>1.743214286</v>
      </c>
      <c r="AT8" s="351">
        <f>'2024年10月収益'!C4</f>
        <v>4262</v>
      </c>
      <c r="AU8" s="351" t="s">
        <v>264</v>
      </c>
      <c r="AV8" s="352">
        <f>IFERROR(AT8/AU8, "　")</f>
        <v>1.522142857</v>
      </c>
      <c r="AW8" s="353">
        <f>'2024年9月収益'!C4</f>
        <v>1610</v>
      </c>
      <c r="AX8" s="353" t="s">
        <v>265</v>
      </c>
      <c r="AY8" s="354">
        <f>IFERROR(AW8/AX8, "　")</f>
        <v>0.6708333333</v>
      </c>
      <c r="AZ8" s="365">
        <f>'2024年8月収益'!C4</f>
        <v>1927</v>
      </c>
      <c r="BA8" s="355" t="s">
        <v>265</v>
      </c>
      <c r="BB8" s="356">
        <f>IFERROR(BA8/AZ8, "　")</f>
        <v>1.245459263</v>
      </c>
      <c r="BC8" s="357">
        <f>'2024年7月収益'!C4</f>
        <v>2542</v>
      </c>
      <c r="BD8" s="366"/>
      <c r="BE8" s="366"/>
      <c r="BF8" s="316"/>
      <c r="BG8" s="316"/>
      <c r="BH8" s="316"/>
      <c r="BI8" s="316"/>
      <c r="BJ8" s="316"/>
      <c r="BK8" s="316"/>
      <c r="BL8" s="316"/>
      <c r="BM8" s="316"/>
      <c r="BN8" s="316"/>
      <c r="BO8" s="316"/>
      <c r="BP8" s="316"/>
      <c r="BQ8" s="316"/>
      <c r="BR8" s="316"/>
    </row>
    <row r="9">
      <c r="A9" s="358"/>
      <c r="B9" s="359" t="s">
        <v>266</v>
      </c>
      <c r="C9" s="360">
        <f t="shared" si="1"/>
        <v>3068</v>
      </c>
      <c r="D9" s="314" t="str">
        <f>'2025年12月収益'!C5</f>
        <v/>
      </c>
      <c r="E9" s="361"/>
      <c r="F9" s="361"/>
      <c r="G9" s="314">
        <f>'2025年11月収益'!C5</f>
        <v>38</v>
      </c>
      <c r="H9" s="361"/>
      <c r="I9" s="361"/>
      <c r="J9" s="314">
        <f>'2025年10月収益'!C5</f>
        <v>23</v>
      </c>
      <c r="K9" s="361"/>
      <c r="L9" s="361"/>
      <c r="M9" s="314">
        <f>'2025年9月収益D'!C5</f>
        <v>161</v>
      </c>
      <c r="N9" s="361"/>
      <c r="O9" s="361"/>
      <c r="P9" s="314">
        <f>'2025年8月収益'!C5</f>
        <v>48</v>
      </c>
      <c r="Q9" s="361"/>
      <c r="R9" s="361"/>
      <c r="S9" s="314">
        <f>'2025年7月収益'!C5</f>
        <v>51</v>
      </c>
      <c r="T9" s="361"/>
      <c r="U9" s="361"/>
      <c r="V9" s="314">
        <f>'2025年6月収益'!C5</f>
        <v>367</v>
      </c>
      <c r="W9" s="361"/>
      <c r="X9" s="361"/>
      <c r="Y9" s="314">
        <f>'2025年5月収益'!C5</f>
        <v>497</v>
      </c>
      <c r="Z9" s="361"/>
      <c r="AA9" s="361"/>
      <c r="AB9" s="314">
        <f>'2025年4月収益'!C5</f>
        <v>269</v>
      </c>
      <c r="AC9" s="361"/>
      <c r="AD9" s="361"/>
      <c r="AE9" s="362">
        <f>'2025年3月収益'!C5</f>
        <v>207</v>
      </c>
      <c r="AF9" s="361"/>
      <c r="AG9" s="361"/>
      <c r="AH9" s="362">
        <f>'2025年2月収益'!C5</f>
        <v>223</v>
      </c>
      <c r="AI9" s="361"/>
      <c r="AJ9" s="361"/>
      <c r="AK9" s="362">
        <f>'2025年1月収益'!C5</f>
        <v>213</v>
      </c>
      <c r="AL9" s="361"/>
      <c r="AM9" s="363"/>
      <c r="AN9" s="362">
        <f>'2024年12月収益'!C5</f>
        <v>177</v>
      </c>
      <c r="AO9" s="361"/>
      <c r="AP9" s="361"/>
      <c r="AQ9" s="362">
        <f>'2024年11月収益'!C5</f>
        <v>238</v>
      </c>
      <c r="AR9" s="361"/>
      <c r="AS9" s="364"/>
      <c r="AT9" s="359">
        <f>'2024年10月収益'!C5</f>
        <v>266</v>
      </c>
      <c r="AU9" s="361"/>
      <c r="AV9" s="364"/>
      <c r="AW9" s="359">
        <f>'2024年9月収益'!C5</f>
        <v>198</v>
      </c>
      <c r="AX9" s="359"/>
      <c r="AY9" s="364"/>
      <c r="AZ9" s="359">
        <f>'2024年8月収益'!C5</f>
        <v>200</v>
      </c>
      <c r="BA9" s="359"/>
      <c r="BB9" s="359"/>
      <c r="BC9" s="359">
        <f>'2024年7月収益'!C5</f>
        <v>130</v>
      </c>
      <c r="BD9" s="359"/>
      <c r="BE9" s="359"/>
      <c r="BF9" s="358"/>
      <c r="BG9" s="358"/>
      <c r="BH9" s="358"/>
      <c r="BI9" s="358"/>
      <c r="BJ9" s="358"/>
      <c r="BK9" s="358"/>
      <c r="BL9" s="358"/>
      <c r="BM9" s="358"/>
      <c r="BN9" s="358"/>
      <c r="BO9" s="358"/>
      <c r="BP9" s="358"/>
      <c r="BQ9" s="358"/>
      <c r="BR9" s="358"/>
    </row>
    <row r="10">
      <c r="A10" s="316"/>
      <c r="B10" s="317" t="s">
        <v>267</v>
      </c>
      <c r="C10" s="349" t="str">
        <f t="shared" si="1"/>
        <v>#REF!</v>
      </c>
      <c r="D10" s="319">
        <f>'2025年12月収益'!C6</f>
        <v>27</v>
      </c>
      <c r="E10" s="320" t="s">
        <v>268</v>
      </c>
      <c r="F10" s="321">
        <f t="shared" ref="F10:F12" si="2">IFERROR(D10/E10, "　")</f>
        <v>0.0421875</v>
      </c>
      <c r="G10" s="319">
        <f>'2025年11月収益'!C6</f>
        <v>77</v>
      </c>
      <c r="H10" s="320" t="s">
        <v>268</v>
      </c>
      <c r="I10" s="321">
        <f t="shared" ref="I10:I12" si="3">IFERROR(G10/H10, "　")</f>
        <v>0.1203125</v>
      </c>
      <c r="J10" s="319">
        <f>'2025年10月収益'!C6</f>
        <v>141</v>
      </c>
      <c r="K10" s="320" t="s">
        <v>268</v>
      </c>
      <c r="L10" s="321">
        <f t="shared" ref="L10:L12" si="4">IFERROR(J10/K10, "　")</f>
        <v>0.2203125</v>
      </c>
      <c r="M10" s="320">
        <f>'2025年9月収益D'!C6</f>
        <v>233</v>
      </c>
      <c r="N10" s="320" t="s">
        <v>268</v>
      </c>
      <c r="O10" s="321">
        <f t="shared" ref="O10:O12" si="5">IFERROR(M10/N10, "　")</f>
        <v>0.3640625</v>
      </c>
      <c r="P10" s="322">
        <f>'2025年8月収益'!C6</f>
        <v>78</v>
      </c>
      <c r="Q10" s="323" t="s">
        <v>268</v>
      </c>
      <c r="R10" s="324">
        <f t="shared" ref="R10:R12" si="6">IFERROR(P10/T10, "　")</f>
        <v>0.121875</v>
      </c>
      <c r="S10" s="326">
        <f>'2025年7月収益'!C6</f>
        <v>67</v>
      </c>
      <c r="T10" s="326" t="s">
        <v>268</v>
      </c>
      <c r="U10" s="327">
        <f t="shared" ref="U10:U12" si="7">IFERROR(S10/W10, "　")</f>
        <v>0.1046875</v>
      </c>
      <c r="V10" s="328" t="str">
        <f>'2025年6月収益'!C6</f>
        <v>#REF!</v>
      </c>
      <c r="W10" s="329" t="s">
        <v>268</v>
      </c>
      <c r="X10" s="330" t="str">
        <f t="shared" ref="X10:X12" si="8">IFERROR(V10/Z10, "　")</f>
        <v>　</v>
      </c>
      <c r="Y10" s="332">
        <f>'2025年5月収益'!C6</f>
        <v>316</v>
      </c>
      <c r="Z10" s="332" t="s">
        <v>268</v>
      </c>
      <c r="AA10" s="333">
        <f t="shared" ref="AA10:AA12" si="9">IFERROR(Y10/AC10, "　")</f>
        <v>0.49375</v>
      </c>
      <c r="AB10" s="335">
        <f>'2025年4月収益'!C6</f>
        <v>208</v>
      </c>
      <c r="AC10" s="335" t="s">
        <v>268</v>
      </c>
      <c r="AD10" s="336">
        <f t="shared" ref="AD10:AD12" si="10">IFERROR(AB10/AF10, "　")</f>
        <v>0.325</v>
      </c>
      <c r="AE10" s="367">
        <f>'2025年3月収益'!C6</f>
        <v>159</v>
      </c>
      <c r="AF10" s="338" t="s">
        <v>268</v>
      </c>
      <c r="AG10" s="339">
        <f t="shared" ref="AG10:AG12" si="11">IFERROR(AE10/AF10, "　")</f>
        <v>0.2484375</v>
      </c>
      <c r="AH10" s="368">
        <f>'2025年2月収益'!C6</f>
        <v>113</v>
      </c>
      <c r="AI10" s="341" t="s">
        <v>268</v>
      </c>
      <c r="AJ10" s="342">
        <f t="shared" ref="AJ10:AJ12" si="12">IFERROR(AH10/AI10, "　")</f>
        <v>0.1765625</v>
      </c>
      <c r="AK10" s="369">
        <f>'2025年1月収益'!C6</f>
        <v>149</v>
      </c>
      <c r="AL10" s="344" t="s">
        <v>268</v>
      </c>
      <c r="AM10" s="345">
        <f t="shared" ref="AM10:AM12" si="13">IFERROR(AK10/AL10, "　")</f>
        <v>0.2328125</v>
      </c>
      <c r="AN10" s="370">
        <f>'2024年12月収益'!C6</f>
        <v>111</v>
      </c>
      <c r="AO10" s="347" t="s">
        <v>268</v>
      </c>
      <c r="AP10" s="348">
        <f t="shared" ref="AP10:AP12" si="14">IFERROR(AN10/AO10, "　")</f>
        <v>0.1734375</v>
      </c>
      <c r="AQ10" s="318">
        <f>'2024年11月収益'!C6</f>
        <v>151</v>
      </c>
      <c r="AR10" s="317" t="s">
        <v>268</v>
      </c>
      <c r="AS10" s="350">
        <f t="shared" ref="AS10:AS12" si="15">IFERROR(AQ10/AR10, "　")</f>
        <v>0.2359375</v>
      </c>
      <c r="AT10" s="351">
        <f>'2024年10月収益'!C6</f>
        <v>161</v>
      </c>
      <c r="AU10" s="351" t="s">
        <v>268</v>
      </c>
      <c r="AV10" s="352">
        <f t="shared" ref="AV10:AV12" si="16">IFERROR(AT10/AU10, "　")</f>
        <v>0.2515625</v>
      </c>
      <c r="AW10" s="353">
        <f>'2024年9月収益'!C6</f>
        <v>149</v>
      </c>
      <c r="AX10" s="353" t="s">
        <v>268</v>
      </c>
      <c r="AY10" s="354">
        <f t="shared" ref="AY10:AY12" si="17">IFERROR(AW10/AX10, "　")</f>
        <v>0.2328125</v>
      </c>
      <c r="AZ10" s="365">
        <f>'2024年8月収益'!C6</f>
        <v>134</v>
      </c>
      <c r="BA10" s="355" t="s">
        <v>268</v>
      </c>
      <c r="BB10" s="356">
        <f t="shared" ref="BB10:BB11" si="18">IFERROR(BA10/AZ10, "　")</f>
        <v>4.776119403</v>
      </c>
      <c r="BC10" s="357">
        <f>'2024年7月収益'!C6</f>
        <v>68</v>
      </c>
      <c r="BD10" s="366"/>
      <c r="BE10" s="366"/>
      <c r="BF10" s="316"/>
      <c r="BG10" s="316"/>
      <c r="BH10" s="316"/>
      <c r="BI10" s="316"/>
      <c r="BJ10" s="316"/>
      <c r="BK10" s="316"/>
      <c r="BL10" s="316"/>
      <c r="BM10" s="316"/>
      <c r="BN10" s="316"/>
      <c r="BO10" s="316"/>
      <c r="BP10" s="316"/>
      <c r="BQ10" s="316"/>
      <c r="BR10" s="316"/>
    </row>
    <row r="11">
      <c r="A11" s="358"/>
      <c r="B11" s="359" t="s">
        <v>269</v>
      </c>
      <c r="C11" s="311" t="str">
        <f t="shared" si="1"/>
        <v>#REF!</v>
      </c>
      <c r="D11" s="314">
        <f>'2025年12月収益'!C7</f>
        <v>8</v>
      </c>
      <c r="E11" s="359" t="s">
        <v>270</v>
      </c>
      <c r="F11" s="363">
        <f t="shared" si="2"/>
        <v>0.025</v>
      </c>
      <c r="G11" s="314">
        <f>'2025年11月収益'!C7</f>
        <v>61</v>
      </c>
      <c r="H11" s="359" t="s">
        <v>270</v>
      </c>
      <c r="I11" s="363">
        <f t="shared" si="3"/>
        <v>0.190625</v>
      </c>
      <c r="J11" s="314">
        <f>'2025年10月収益'!C7</f>
        <v>82</v>
      </c>
      <c r="K11" s="359" t="s">
        <v>270</v>
      </c>
      <c r="L11" s="363">
        <f t="shared" si="4"/>
        <v>0.25625</v>
      </c>
      <c r="M11" s="359">
        <f>'2025年9月収益D'!C7</f>
        <v>154</v>
      </c>
      <c r="N11" s="359" t="s">
        <v>270</v>
      </c>
      <c r="O11" s="363">
        <f t="shared" si="5"/>
        <v>0.48125</v>
      </c>
      <c r="P11" s="314">
        <f>'2025年8月収益'!C7</f>
        <v>60</v>
      </c>
      <c r="Q11" s="359" t="s">
        <v>270</v>
      </c>
      <c r="R11" s="363">
        <f t="shared" si="6"/>
        <v>0.1875</v>
      </c>
      <c r="S11" s="359">
        <f>'2025年7月収益'!C7</f>
        <v>39</v>
      </c>
      <c r="T11" s="359" t="s">
        <v>270</v>
      </c>
      <c r="U11" s="363">
        <f t="shared" si="7"/>
        <v>0.121875</v>
      </c>
      <c r="V11" s="314" t="str">
        <f>'2025年6月収益'!C7</f>
        <v>#REF!</v>
      </c>
      <c r="W11" s="359" t="s">
        <v>270</v>
      </c>
      <c r="X11" s="363" t="str">
        <f t="shared" si="8"/>
        <v>　</v>
      </c>
      <c r="Y11" s="359">
        <f>'2025年5月収益'!C7</f>
        <v>0</v>
      </c>
      <c r="Z11" s="359" t="s">
        <v>270</v>
      </c>
      <c r="AA11" s="363">
        <f t="shared" si="9"/>
        <v>0</v>
      </c>
      <c r="AB11" s="359">
        <f>'2025年4月収益'!C7</f>
        <v>0</v>
      </c>
      <c r="AC11" s="359" t="s">
        <v>270</v>
      </c>
      <c r="AD11" s="363">
        <f t="shared" si="10"/>
        <v>0</v>
      </c>
      <c r="AE11" s="361">
        <f>'2025年3月収益'!C7</f>
        <v>0</v>
      </c>
      <c r="AF11" s="359" t="s">
        <v>270</v>
      </c>
      <c r="AG11" s="363">
        <f t="shared" si="11"/>
        <v>0</v>
      </c>
      <c r="AH11" s="361">
        <f>'2025年2月収益'!C7</f>
        <v>0</v>
      </c>
      <c r="AI11" s="359" t="s">
        <v>270</v>
      </c>
      <c r="AJ11" s="342">
        <f t="shared" si="12"/>
        <v>0</v>
      </c>
      <c r="AK11" s="361">
        <f>'2025年1月収益'!C7</f>
        <v>0</v>
      </c>
      <c r="AL11" s="359" t="s">
        <v>271</v>
      </c>
      <c r="AM11" s="363">
        <f t="shared" si="13"/>
        <v>0</v>
      </c>
      <c r="AN11" s="361">
        <f>'2024年12月収益'!C7</f>
        <v>0</v>
      </c>
      <c r="AO11" s="359" t="s">
        <v>271</v>
      </c>
      <c r="AP11" s="363">
        <f t="shared" si="14"/>
        <v>0</v>
      </c>
      <c r="AQ11" s="361">
        <f>'2024年11月収益'!C7</f>
        <v>0</v>
      </c>
      <c r="AR11" s="359" t="s">
        <v>271</v>
      </c>
      <c r="AS11" s="363">
        <f t="shared" si="15"/>
        <v>0</v>
      </c>
      <c r="AT11" s="359">
        <f>'2024年10月収益'!C7</f>
        <v>0</v>
      </c>
      <c r="AU11" s="359" t="s">
        <v>272</v>
      </c>
      <c r="AV11" s="363">
        <f t="shared" si="16"/>
        <v>0</v>
      </c>
      <c r="AW11" s="359">
        <f>'2024年9月収益'!C7</f>
        <v>0</v>
      </c>
      <c r="AX11" s="359" t="s">
        <v>272</v>
      </c>
      <c r="AY11" s="371">
        <f t="shared" si="17"/>
        <v>0</v>
      </c>
      <c r="AZ11" s="361">
        <f>'2024年8月収益'!C7</f>
        <v>0</v>
      </c>
      <c r="BA11" s="359" t="s">
        <v>272</v>
      </c>
      <c r="BB11" s="371" t="str">
        <f t="shared" si="18"/>
        <v>　</v>
      </c>
      <c r="BC11" s="359">
        <f>'2024年7月収益'!C7</f>
        <v>0</v>
      </c>
      <c r="BD11" s="361"/>
      <c r="BE11" s="361"/>
      <c r="BF11" s="358"/>
      <c r="BG11" s="358"/>
      <c r="BH11" s="358"/>
      <c r="BI11" s="358"/>
      <c r="BJ11" s="358"/>
      <c r="BK11" s="358"/>
      <c r="BL11" s="358"/>
      <c r="BM11" s="358"/>
      <c r="BN11" s="358"/>
      <c r="BO11" s="358"/>
      <c r="BP11" s="358"/>
      <c r="BQ11" s="358"/>
      <c r="BR11" s="358"/>
    </row>
    <row r="12">
      <c r="A12" s="316"/>
      <c r="B12" s="317" t="s">
        <v>273</v>
      </c>
      <c r="C12" s="318">
        <f t="shared" si="1"/>
        <v>1102</v>
      </c>
      <c r="D12" s="319">
        <f>'2025年12月収益'!C15</f>
        <v>0</v>
      </c>
      <c r="E12" s="320" t="s">
        <v>274</v>
      </c>
      <c r="F12" s="321">
        <f t="shared" si="2"/>
        <v>0</v>
      </c>
      <c r="G12" s="319">
        <f>'2025年11月収益'!C15</f>
        <v>82</v>
      </c>
      <c r="H12" s="320" t="s">
        <v>274</v>
      </c>
      <c r="I12" s="321">
        <f t="shared" si="3"/>
        <v>0.2760942761</v>
      </c>
      <c r="J12" s="319">
        <f>'2025年10月収益'!C15</f>
        <v>75</v>
      </c>
      <c r="K12" s="320" t="s">
        <v>274</v>
      </c>
      <c r="L12" s="321">
        <f t="shared" si="4"/>
        <v>0.2525252525</v>
      </c>
      <c r="M12" s="320">
        <f>'2025年9月収益D'!C15</f>
        <v>21</v>
      </c>
      <c r="N12" s="320" t="s">
        <v>274</v>
      </c>
      <c r="O12" s="321">
        <f t="shared" si="5"/>
        <v>0.07070707071</v>
      </c>
      <c r="P12" s="322">
        <f>'2025年8月収益'!C15</f>
        <v>88</v>
      </c>
      <c r="Q12" s="323" t="s">
        <v>274</v>
      </c>
      <c r="R12" s="324">
        <f t="shared" si="6"/>
        <v>0.2962962963</v>
      </c>
      <c r="S12" s="326">
        <f>'2025年7月収益'!C15</f>
        <v>17</v>
      </c>
      <c r="T12" s="326" t="s">
        <v>274</v>
      </c>
      <c r="U12" s="327">
        <f t="shared" si="7"/>
        <v>0.05723905724</v>
      </c>
      <c r="V12" s="328">
        <f>'2025年6月収益'!C15</f>
        <v>235</v>
      </c>
      <c r="W12" s="329" t="s">
        <v>274</v>
      </c>
      <c r="X12" s="330">
        <f t="shared" si="8"/>
        <v>0.7912457912</v>
      </c>
      <c r="Y12" s="331">
        <f>'2025年5月収益'!C15</f>
        <v>119</v>
      </c>
      <c r="Z12" s="332" t="s">
        <v>274</v>
      </c>
      <c r="AA12" s="333">
        <f t="shared" si="9"/>
        <v>0.4006734007</v>
      </c>
      <c r="AB12" s="372">
        <f>'2025年4月収益'!C15</f>
        <v>74</v>
      </c>
      <c r="AC12" s="335" t="s">
        <v>274</v>
      </c>
      <c r="AD12" s="336">
        <f t="shared" si="10"/>
        <v>0.2491582492</v>
      </c>
      <c r="AE12" s="337">
        <f>'2025年3月収益'!C15</f>
        <v>56</v>
      </c>
      <c r="AF12" s="338" t="s">
        <v>274</v>
      </c>
      <c r="AG12" s="339">
        <f t="shared" si="11"/>
        <v>0.1885521886</v>
      </c>
      <c r="AH12" s="340">
        <f>'2025年2月収益'!C15</f>
        <v>75</v>
      </c>
      <c r="AI12" s="341" t="s">
        <v>275</v>
      </c>
      <c r="AJ12" s="342">
        <f t="shared" si="12"/>
        <v>0.3409090909</v>
      </c>
      <c r="AK12" s="343">
        <f>'2025年1月収益'!C15</f>
        <v>60</v>
      </c>
      <c r="AL12" s="344" t="s">
        <v>276</v>
      </c>
      <c r="AM12" s="345">
        <f t="shared" si="13"/>
        <v>0.3015075377</v>
      </c>
      <c r="AN12" s="346">
        <f>'2024年12月収益'!C15</f>
        <v>60</v>
      </c>
      <c r="AO12" s="347" t="s">
        <v>277</v>
      </c>
      <c r="AP12" s="348">
        <f t="shared" si="14"/>
        <v>0.3773584906</v>
      </c>
      <c r="AQ12" s="349">
        <f>'2024年11月収益'!C15</f>
        <v>75</v>
      </c>
      <c r="AR12" s="317" t="s">
        <v>278</v>
      </c>
      <c r="AS12" s="350">
        <f t="shared" si="15"/>
        <v>0.6696428571</v>
      </c>
      <c r="AT12" s="351">
        <f>'2024年10月収益'!C15</f>
        <v>67</v>
      </c>
      <c r="AU12" s="351" t="s">
        <v>279</v>
      </c>
      <c r="AV12" s="352">
        <f t="shared" si="16"/>
        <v>0.7444444444</v>
      </c>
      <c r="AW12" s="353">
        <f>'2024年9月収益'!C15</f>
        <v>62</v>
      </c>
      <c r="AX12" s="353" t="s">
        <v>280</v>
      </c>
      <c r="AY12" s="354">
        <f t="shared" si="17"/>
        <v>0.96875</v>
      </c>
      <c r="AZ12" s="365">
        <f>'2024年8月収益'!C15</f>
        <v>11</v>
      </c>
      <c r="BA12" s="355" t="s">
        <v>281</v>
      </c>
      <c r="BB12" s="356"/>
      <c r="BC12" s="357">
        <f>'2024年7月収益'!C15</f>
        <v>0</v>
      </c>
      <c r="BD12" s="366"/>
      <c r="BE12" s="366"/>
      <c r="BF12" s="316"/>
      <c r="BG12" s="316"/>
      <c r="BH12" s="316"/>
      <c r="BI12" s="316"/>
      <c r="BJ12" s="316"/>
      <c r="BK12" s="316"/>
      <c r="BL12" s="316"/>
      <c r="BM12" s="316"/>
      <c r="BN12" s="316"/>
      <c r="BO12" s="316"/>
      <c r="BP12" s="316"/>
      <c r="BQ12" s="316"/>
      <c r="BR12" s="316"/>
    </row>
    <row r="13">
      <c r="A13" s="358"/>
      <c r="B13" s="359" t="s">
        <v>282</v>
      </c>
      <c r="C13" s="311" t="str">
        <f t="shared" si="1"/>
        <v>#REF!</v>
      </c>
      <c r="D13" s="314" t="str">
        <f>'2025年12月収益'!C16</f>
        <v/>
      </c>
      <c r="E13" s="361"/>
      <c r="F13" s="361"/>
      <c r="G13" s="314">
        <f>'2025年11月収益'!C16</f>
        <v>150</v>
      </c>
      <c r="H13" s="361"/>
      <c r="I13" s="361"/>
      <c r="J13" s="314">
        <f>'2025年10月収益'!C16</f>
        <v>153</v>
      </c>
      <c r="K13" s="361"/>
      <c r="L13" s="361"/>
      <c r="M13" s="359">
        <f>'2025年9月収益D'!C16</f>
        <v>65</v>
      </c>
      <c r="N13" s="361"/>
      <c r="O13" s="361"/>
      <c r="P13" s="314">
        <f>'2025年8月収益'!C16</f>
        <v>206</v>
      </c>
      <c r="Q13" s="361"/>
      <c r="R13" s="361"/>
      <c r="S13" s="359">
        <f>'2025年7月収益'!C16</f>
        <v>314</v>
      </c>
      <c r="T13" s="361"/>
      <c r="U13" s="361"/>
      <c r="V13" s="314" t="str">
        <f>'2025年6月収益'!C16</f>
        <v>#REF!</v>
      </c>
      <c r="W13" s="361"/>
      <c r="X13" s="361"/>
      <c r="Y13" s="359">
        <f>'2025年5月収益'!C16</f>
        <v>438</v>
      </c>
      <c r="Z13" s="361"/>
      <c r="AA13" s="361"/>
      <c r="AB13" s="361">
        <f>'2025年4月収益'!C16</f>
        <v>343</v>
      </c>
      <c r="AC13" s="361"/>
      <c r="AD13" s="361"/>
      <c r="AE13" s="361">
        <f>'2025年3月収益'!C16</f>
        <v>296</v>
      </c>
      <c r="AF13" s="361"/>
      <c r="AG13" s="361"/>
      <c r="AH13" s="361">
        <f>'2025年2月収益'!C16</f>
        <v>256</v>
      </c>
      <c r="AI13" s="361"/>
      <c r="AJ13" s="361"/>
      <c r="AK13" s="361">
        <f>'2025年1月収益'!C16</f>
        <v>208</v>
      </c>
      <c r="AL13" s="361"/>
      <c r="AM13" s="363"/>
      <c r="AN13" s="361">
        <f>'2024年12月収益'!C16</f>
        <v>246</v>
      </c>
      <c r="AO13" s="361"/>
      <c r="AP13" s="361"/>
      <c r="AQ13" s="361">
        <f>'2024年11月収益'!C16</f>
        <v>155</v>
      </c>
      <c r="AR13" s="361"/>
      <c r="AS13" s="364"/>
      <c r="AT13" s="359">
        <f>'2024年10月収益'!C16</f>
        <v>104</v>
      </c>
      <c r="AU13" s="361"/>
      <c r="AV13" s="364"/>
      <c r="AW13" s="359">
        <f>'2024年9月収益'!C16</f>
        <v>57</v>
      </c>
      <c r="AX13" s="361"/>
      <c r="AY13" s="364"/>
      <c r="AZ13" s="361">
        <f>'2024年8月収益'!C16</f>
        <v>-10</v>
      </c>
      <c r="BA13" s="361"/>
      <c r="BB13" s="359"/>
      <c r="BC13" s="359">
        <f>'2024年7月収益'!C16</f>
        <v>0</v>
      </c>
      <c r="BD13" s="361"/>
      <c r="BE13" s="361"/>
      <c r="BF13" s="358"/>
      <c r="BG13" s="358"/>
      <c r="BH13" s="358"/>
      <c r="BI13" s="358"/>
      <c r="BJ13" s="358"/>
      <c r="BK13" s="358"/>
      <c r="BL13" s="358"/>
      <c r="BM13" s="358"/>
      <c r="BN13" s="358"/>
      <c r="BO13" s="358"/>
      <c r="BP13" s="358"/>
      <c r="BQ13" s="358"/>
      <c r="BR13" s="358"/>
    </row>
    <row r="14">
      <c r="A14" s="316"/>
      <c r="B14" s="317" t="s">
        <v>283</v>
      </c>
      <c r="C14" s="318">
        <f t="shared" si="1"/>
        <v>5970</v>
      </c>
      <c r="D14" s="319">
        <f>'2025年12月収益'!C17</f>
        <v>292</v>
      </c>
      <c r="E14" s="320" t="s">
        <v>284</v>
      </c>
      <c r="F14" s="321">
        <f>IFERROR(D14/E14, "　")</f>
        <v>0.4732576985</v>
      </c>
      <c r="G14" s="319">
        <f>'2025年11月収益'!C17</f>
        <v>227</v>
      </c>
      <c r="H14" s="320" t="s">
        <v>284</v>
      </c>
      <c r="I14" s="321">
        <f>IFERROR(G14/H14, "　")</f>
        <v>0.3679092382</v>
      </c>
      <c r="J14" s="319">
        <f>'2025年10月収益'!C17</f>
        <v>294</v>
      </c>
      <c r="K14" s="320" t="s">
        <v>284</v>
      </c>
      <c r="L14" s="321">
        <f>IFERROR(J14/K14, "　")</f>
        <v>0.4764991896</v>
      </c>
      <c r="M14" s="319">
        <f>'2025年9月収益D'!C17</f>
        <v>298</v>
      </c>
      <c r="N14" s="320" t="s">
        <v>284</v>
      </c>
      <c r="O14" s="321">
        <f>IFERROR(M14/N14, "　")</f>
        <v>0.4829821718</v>
      </c>
      <c r="P14" s="322">
        <f>'2025年8月収益'!C17</f>
        <v>284</v>
      </c>
      <c r="Q14" s="323" t="s">
        <v>284</v>
      </c>
      <c r="R14" s="324">
        <f>IFERROR(P14/T14, "　")</f>
        <v>0.4602917342</v>
      </c>
      <c r="S14" s="326">
        <f>'2025年7月収益'!C17</f>
        <v>381</v>
      </c>
      <c r="T14" s="326" t="s">
        <v>284</v>
      </c>
      <c r="U14" s="327">
        <f>IFERROR(S14/W14, "　")</f>
        <v>0.6175040519</v>
      </c>
      <c r="V14" s="328">
        <f>'2025年6月収益'!C17</f>
        <v>698</v>
      </c>
      <c r="W14" s="329" t="s">
        <v>284</v>
      </c>
      <c r="X14" s="330">
        <f>IFERROR(V14/Z14, "　")</f>
        <v>1.131280389</v>
      </c>
      <c r="Y14" s="331">
        <f>'2025年5月収益'!C17</f>
        <v>754</v>
      </c>
      <c r="Z14" s="332" t="s">
        <v>284</v>
      </c>
      <c r="AA14" s="333">
        <f>IFERROR(Y14/AC14, "　")</f>
        <v>1.222042139</v>
      </c>
      <c r="AB14" s="372">
        <f>'2025年4月収益'!C17</f>
        <v>551</v>
      </c>
      <c r="AC14" s="335" t="s">
        <v>284</v>
      </c>
      <c r="AD14" s="336">
        <f>IFERROR(AB14/AF14, "　")</f>
        <v>0.8930307942</v>
      </c>
      <c r="AE14" s="337">
        <f>'2025年3月収益'!C17</f>
        <v>455</v>
      </c>
      <c r="AF14" s="338" t="s">
        <v>284</v>
      </c>
      <c r="AG14" s="339">
        <f>IFERROR(AE14/AF14, "　")</f>
        <v>0.737439222</v>
      </c>
      <c r="AH14" s="340">
        <f>'2025年2月収益'!C17</f>
        <v>369</v>
      </c>
      <c r="AI14" s="341" t="s">
        <v>285</v>
      </c>
      <c r="AJ14" s="342">
        <f>IFERROR(AH14/AI14, "　")</f>
        <v>0.6833333333</v>
      </c>
      <c r="AK14" s="343">
        <f>'2025年1月収益'!C17</f>
        <v>357</v>
      </c>
      <c r="AL14" s="344" t="s">
        <v>286</v>
      </c>
      <c r="AM14" s="345">
        <f>IFERROR(AK14/AL14, "　")</f>
        <v>0.8132118451</v>
      </c>
      <c r="AN14" s="346">
        <f>'2024年12月収益'!C17</f>
        <v>357</v>
      </c>
      <c r="AO14" s="347" t="s">
        <v>287</v>
      </c>
      <c r="AP14" s="348">
        <f>IFERROR(AN14/AO14, "　")</f>
        <v>0.8947368421</v>
      </c>
      <c r="AQ14" s="349">
        <f>'2024年11月収益'!C17</f>
        <v>306</v>
      </c>
      <c r="AR14" s="317" t="s">
        <v>288</v>
      </c>
      <c r="AS14" s="350">
        <f>IFERROR(AQ14/AR14, "　")</f>
        <v>0.8693181818</v>
      </c>
      <c r="AT14" s="351">
        <f>'2024年10月収益'!C17</f>
        <v>265</v>
      </c>
      <c r="AU14" s="351" t="s">
        <v>289</v>
      </c>
      <c r="AV14" s="352">
        <f>IFERROR(AT14/AU14, "　")</f>
        <v>1.06</v>
      </c>
      <c r="AW14" s="353">
        <f>'2024年9月収益'!C17</f>
        <v>206</v>
      </c>
      <c r="AX14" s="353" t="s">
        <v>290</v>
      </c>
      <c r="AY14" s="354">
        <f>IFERROR(AW14/AX14, "　")</f>
        <v>0.9196428571</v>
      </c>
      <c r="AZ14" s="365">
        <f>'2024年8月収益'!C17</f>
        <v>124</v>
      </c>
      <c r="BA14" s="355" t="s">
        <v>272</v>
      </c>
      <c r="BB14" s="356">
        <f>IFERROR(BA14/AZ14, "　")</f>
        <v>1.290322581</v>
      </c>
      <c r="BC14" s="357">
        <f>'2024年7月収益'!C17</f>
        <v>58</v>
      </c>
      <c r="BD14" s="366"/>
      <c r="BE14" s="366"/>
      <c r="BF14" s="316"/>
      <c r="BG14" s="316"/>
      <c r="BH14" s="316"/>
      <c r="BI14" s="316"/>
      <c r="BJ14" s="316"/>
      <c r="BK14" s="316"/>
      <c r="BL14" s="316"/>
      <c r="BM14" s="316"/>
      <c r="BN14" s="316"/>
      <c r="BO14" s="316"/>
      <c r="BP14" s="316"/>
      <c r="BQ14" s="316"/>
      <c r="BR14" s="316"/>
    </row>
    <row r="15">
      <c r="A15" s="373"/>
      <c r="B15" s="374" t="s">
        <v>291</v>
      </c>
      <c r="C15" s="375">
        <f t="shared" si="1"/>
        <v>47580629414</v>
      </c>
      <c r="D15" s="374">
        <f>'2025年12月収益'!C18</f>
        <v>1514244472</v>
      </c>
      <c r="E15" s="364"/>
      <c r="F15" s="361"/>
      <c r="G15" s="374">
        <f>'2025年11月収益'!C18</f>
        <v>1568206350</v>
      </c>
      <c r="H15" s="364"/>
      <c r="I15" s="361"/>
      <c r="J15" s="374">
        <f>'2025年10月収益'!C18</f>
        <v>1577495818</v>
      </c>
      <c r="K15" s="364"/>
      <c r="L15" s="361"/>
      <c r="M15" s="374">
        <f>'2025年9月収益D'!C18</f>
        <v>2578173994</v>
      </c>
      <c r="N15" s="364"/>
      <c r="O15" s="361"/>
      <c r="P15" s="374">
        <f>'2025年8月収益'!C18</f>
        <v>1910465086</v>
      </c>
      <c r="Q15" s="364"/>
      <c r="R15" s="361"/>
      <c r="S15" s="374">
        <f>'2025年7月収益'!C18</f>
        <v>3753649644</v>
      </c>
      <c r="T15" s="364"/>
      <c r="U15" s="361"/>
      <c r="V15" s="374">
        <f>'2025年6月収益'!C18</f>
        <v>3764837699</v>
      </c>
      <c r="W15" s="364"/>
      <c r="X15" s="361"/>
      <c r="Y15" s="374">
        <f>'2025年5月収益'!C18</f>
        <v>5416323483</v>
      </c>
      <c r="Z15" s="364"/>
      <c r="AA15" s="361"/>
      <c r="AB15" s="364">
        <f>'2025年4月収益'!C18</f>
        <v>3401315523</v>
      </c>
      <c r="AC15" s="364"/>
      <c r="AD15" s="361"/>
      <c r="AE15" s="364">
        <f>'2025年3月収益'!C18</f>
        <v>2574622274</v>
      </c>
      <c r="AF15" s="364"/>
      <c r="AG15" s="361"/>
      <c r="AH15" s="364">
        <f>'2025年2月収益'!C18</f>
        <v>2663696845</v>
      </c>
      <c r="AI15" s="364"/>
      <c r="AJ15" s="361"/>
      <c r="AK15" s="364">
        <f>'2025年1月収益'!C18</f>
        <v>3640093327</v>
      </c>
      <c r="AL15" s="364"/>
      <c r="AM15" s="363"/>
      <c r="AN15" s="364">
        <f>'2024年12月収益'!C18</f>
        <v>7252322684</v>
      </c>
      <c r="AO15" s="364"/>
      <c r="AP15" s="361"/>
      <c r="AQ15" s="364">
        <f>'2024年11月収益'!C18</f>
        <v>2401777358</v>
      </c>
      <c r="AR15" s="364"/>
      <c r="AS15" s="364"/>
      <c r="AT15" s="313">
        <f>'2024年10月収益'!C18</f>
        <v>2159690163</v>
      </c>
      <c r="AU15" s="364"/>
      <c r="AV15" s="364"/>
      <c r="AW15" s="374">
        <f>'2024年9月収益'!C18</f>
        <v>1392132574</v>
      </c>
      <c r="AX15" s="364"/>
      <c r="AY15" s="364"/>
      <c r="AZ15" s="364">
        <f>'2024年8月収益'!C18</f>
        <v>2283745296</v>
      </c>
      <c r="BA15" s="364"/>
      <c r="BB15" s="359"/>
      <c r="BC15" s="374">
        <f>'2024年7月収益'!C18</f>
        <v>129614183</v>
      </c>
      <c r="BD15" s="364"/>
      <c r="BE15" s="364"/>
      <c r="BF15" s="373"/>
      <c r="BG15" s="373"/>
      <c r="BH15" s="373"/>
      <c r="BI15" s="373"/>
      <c r="BJ15" s="373"/>
      <c r="BK15" s="373"/>
      <c r="BL15" s="373"/>
      <c r="BM15" s="373"/>
      <c r="BN15" s="373"/>
      <c r="BO15" s="373"/>
      <c r="BP15" s="373"/>
      <c r="BQ15" s="373"/>
      <c r="BR15" s="373"/>
    </row>
    <row r="16">
      <c r="A16" s="376"/>
      <c r="B16" s="377" t="s">
        <v>292</v>
      </c>
      <c r="C16" s="378">
        <f t="shared" si="1"/>
        <v>46483843913</v>
      </c>
      <c r="D16" s="379">
        <f>'2025年12月収益'!C19</f>
        <v>1460665967</v>
      </c>
      <c r="E16" s="380"/>
      <c r="F16" s="321" t="str">
        <f>IFERROR(D16/H16, "　")</f>
        <v>　</v>
      </c>
      <c r="G16" s="379">
        <f>'2025年11月収益'!C19</f>
        <v>1503305351</v>
      </c>
      <c r="H16" s="380"/>
      <c r="I16" s="321" t="str">
        <f>IFERROR(G16/K16, "　")</f>
        <v>　</v>
      </c>
      <c r="J16" s="379">
        <f>'2025年10月収益'!C19</f>
        <v>1507184478</v>
      </c>
      <c r="K16" s="380"/>
      <c r="L16" s="321" t="str">
        <f>IFERROR(J16/N16, "　")</f>
        <v>　</v>
      </c>
      <c r="M16" s="379">
        <f>'2025年9月収益D'!C19</f>
        <v>2503998997</v>
      </c>
      <c r="N16" s="380"/>
      <c r="O16" s="321" t="str">
        <f>IFERROR(M16/Q16, "　")</f>
        <v>　</v>
      </c>
      <c r="P16" s="381">
        <f>'2025年8月収益'!C19</f>
        <v>1853512419</v>
      </c>
      <c r="Q16" s="382"/>
      <c r="R16" s="324" t="str">
        <f>IFERROR(P16/T16, "　")</f>
        <v>　</v>
      </c>
      <c r="S16" s="383">
        <f>'2025年7月収益'!C19</f>
        <v>3664240730</v>
      </c>
      <c r="T16" s="384"/>
      <c r="U16" s="327" t="str">
        <f>IFERROR(S16/W16, "　")</f>
        <v>　</v>
      </c>
      <c r="V16" s="385">
        <f>'2025年6月収益'!C19</f>
        <v>3658015706</v>
      </c>
      <c r="W16" s="386"/>
      <c r="X16" s="330" t="str">
        <f>IFERROR(V16/Z16, "　")</f>
        <v>　</v>
      </c>
      <c r="Y16" s="387">
        <f>'2025年5月収益'!C19</f>
        <v>5413798942</v>
      </c>
      <c r="Z16" s="388"/>
      <c r="AA16" s="333" t="str">
        <f>IFERROR(Y16/AC16, "　")</f>
        <v>　</v>
      </c>
      <c r="AB16" s="389">
        <f>'2025年4月収益'!C19</f>
        <v>3320603296</v>
      </c>
      <c r="AC16" s="389"/>
      <c r="AD16" s="336" t="str">
        <f>IFERROR(AB16/AF16, "　")</f>
        <v>　</v>
      </c>
      <c r="AE16" s="390">
        <f>'2025年3月収益'!C19</f>
        <v>2506838109</v>
      </c>
      <c r="AF16" s="390"/>
      <c r="AG16" s="339" t="str">
        <f>IFERROR(AE16/AF16, "　")</f>
        <v>　</v>
      </c>
      <c r="AH16" s="391">
        <f>'2025年2月収益'!C19</f>
        <v>2583305717</v>
      </c>
      <c r="AI16" s="391"/>
      <c r="AJ16" s="342" t="str">
        <f>IFERROR(AH16/AI16, "　")</f>
        <v>　</v>
      </c>
      <c r="AK16" s="392">
        <f>'2025年1月収益'!C19</f>
        <v>3541831671</v>
      </c>
      <c r="AL16" s="392"/>
      <c r="AM16" s="345" t="str">
        <f>IFERROR(AK16/AL16, "　")</f>
        <v>　</v>
      </c>
      <c r="AN16" s="393">
        <f>'2024年12月収益'!C19</f>
        <v>7125128234</v>
      </c>
      <c r="AO16" s="393"/>
      <c r="AP16" s="348" t="str">
        <f>IFERROR(AN16/AO16, "　")</f>
        <v>　</v>
      </c>
      <c r="AQ16" s="378">
        <f>'2024年11月収益'!C19</f>
        <v>2337436763</v>
      </c>
      <c r="AR16" s="378"/>
      <c r="AS16" s="350" t="str">
        <f>IFERROR(AQ16/AR16, "　")</f>
        <v>　</v>
      </c>
      <c r="AT16" s="394">
        <f>'2024年10月収益'!C19</f>
        <v>2103768160</v>
      </c>
      <c r="AU16" s="395"/>
      <c r="AV16" s="352" t="str">
        <f>IFERROR(AT16/AU16, "　")</f>
        <v>　</v>
      </c>
      <c r="AW16" s="396">
        <f>'2024年9月収益'!C19</f>
        <v>1389785960</v>
      </c>
      <c r="AX16" s="397"/>
      <c r="AY16" s="354" t="str">
        <f>IFERROR(AW16/AX16, "　")</f>
        <v>　</v>
      </c>
      <c r="AZ16" s="398">
        <f>'2024年8月収益'!C19</f>
        <v>2225182287</v>
      </c>
      <c r="BA16" s="398"/>
      <c r="BB16" s="356"/>
      <c r="BC16" s="399">
        <f>'2024年7月収益'!C19</f>
        <v>122677890</v>
      </c>
      <c r="BD16" s="400"/>
      <c r="BE16" s="400"/>
      <c r="BF16" s="376"/>
      <c r="BG16" s="376"/>
      <c r="BH16" s="376"/>
      <c r="BI16" s="376"/>
      <c r="BJ16" s="376"/>
      <c r="BK16" s="376"/>
      <c r="BL16" s="376"/>
      <c r="BM16" s="376"/>
      <c r="BN16" s="376"/>
      <c r="BO16" s="376"/>
      <c r="BP16" s="376"/>
      <c r="BQ16" s="376"/>
      <c r="BR16" s="376"/>
    </row>
    <row r="17">
      <c r="A17" s="401"/>
      <c r="B17" s="371" t="s">
        <v>293</v>
      </c>
      <c r="C17" s="402">
        <f>C16/C15</f>
        <v>0.9769489072</v>
      </c>
      <c r="D17" s="371">
        <f>'2025年12月収益'!C20</f>
        <v>0.9646170042</v>
      </c>
      <c r="E17" s="363"/>
      <c r="F17" s="361"/>
      <c r="G17" s="371">
        <f>'2025年11月収益'!C20</f>
        <v>0.9586145031</v>
      </c>
      <c r="H17" s="363"/>
      <c r="I17" s="361"/>
      <c r="J17" s="371">
        <f>'2025年10月収益'!C20</f>
        <v>0.9554285093</v>
      </c>
      <c r="K17" s="363"/>
      <c r="L17" s="361"/>
      <c r="M17" s="371">
        <f>'2025年9月収益D'!C20</f>
        <v>0.9712296388</v>
      </c>
      <c r="N17" s="363"/>
      <c r="O17" s="361"/>
      <c r="P17" s="371">
        <f>'2025年8月収益'!C20</f>
        <v>0.9735</v>
      </c>
      <c r="Q17" s="363"/>
      <c r="R17" s="361"/>
      <c r="S17" s="371">
        <f>'2025年7月収益'!C20</f>
        <v>0.9761808046</v>
      </c>
      <c r="T17" s="363"/>
      <c r="U17" s="361"/>
      <c r="V17" s="371">
        <f>'2025年6月収益'!C20</f>
        <v>0.9716264016</v>
      </c>
      <c r="W17" s="363"/>
      <c r="X17" s="361"/>
      <c r="Y17" s="371">
        <f>'2025年5月収益'!C20</f>
        <v>0.9995339014</v>
      </c>
      <c r="Z17" s="363"/>
      <c r="AA17" s="361"/>
      <c r="AB17" s="363">
        <f>'2025年4月収益'!C20</f>
        <v>0.9762702911</v>
      </c>
      <c r="AC17" s="363"/>
      <c r="AD17" s="361"/>
      <c r="AE17" s="363">
        <f>'2025年3月収益'!C20</f>
        <v>0.9736721904</v>
      </c>
      <c r="AF17" s="363"/>
      <c r="AG17" s="361"/>
      <c r="AH17" s="363">
        <f>'2025年2月収益'!C20</f>
        <v>0.9698197161</v>
      </c>
      <c r="AI17" s="363"/>
      <c r="AJ17" s="361"/>
      <c r="AK17" s="363">
        <f>'2025年1月収益'!C20</f>
        <v>0.9730057317</v>
      </c>
      <c r="AL17" s="363"/>
      <c r="AM17" s="363"/>
      <c r="AN17" s="363">
        <f>'2024年12月収益'!C20</f>
        <v>0.9824615567</v>
      </c>
      <c r="AO17" s="363"/>
      <c r="AP17" s="361"/>
      <c r="AQ17" s="363">
        <f>'2024年11月収益'!C20</f>
        <v>0.9732112576</v>
      </c>
      <c r="AR17" s="363"/>
      <c r="AS17" s="364"/>
      <c r="AT17" s="371">
        <f>'2024年10月収益'!C20</f>
        <v>0.9741064695</v>
      </c>
      <c r="AU17" s="363"/>
      <c r="AV17" s="364"/>
      <c r="AW17" s="371">
        <f>'2024年9月収益'!C20</f>
        <v>0.9983143747</v>
      </c>
      <c r="AX17" s="363"/>
      <c r="AY17" s="364"/>
      <c r="AZ17" s="363">
        <f>'2024年8月収益'!C20</f>
        <v>0.9743565935</v>
      </c>
      <c r="BA17" s="363"/>
      <c r="BB17" s="359"/>
      <c r="BC17" s="371">
        <f>'2024年7月収益'!C20</f>
        <v>0.9464850772</v>
      </c>
      <c r="BD17" s="363"/>
      <c r="BE17" s="363"/>
      <c r="BF17" s="401"/>
      <c r="BG17" s="401"/>
      <c r="BH17" s="401"/>
      <c r="BI17" s="401"/>
      <c r="BJ17" s="401"/>
      <c r="BK17" s="401"/>
      <c r="BL17" s="401"/>
      <c r="BM17" s="401"/>
      <c r="BN17" s="401"/>
      <c r="BO17" s="401"/>
      <c r="BP17" s="401"/>
      <c r="BQ17" s="401"/>
      <c r="BR17" s="401"/>
    </row>
    <row r="18">
      <c r="A18" s="376"/>
      <c r="B18" s="377" t="s">
        <v>294</v>
      </c>
      <c r="C18" s="378">
        <f t="shared" ref="C18:C21" si="19">AH18+AK18+AN18+AT18+AW18+AZ18+BC18+AE18+AB18+Y18+V18+S18+P18+M18+J18+G18+D18</f>
        <v>1096785502</v>
      </c>
      <c r="D18" s="379">
        <f>'2025年12月収益'!C21</f>
        <v>53578505.82</v>
      </c>
      <c r="E18" s="380"/>
      <c r="F18" s="321" t="str">
        <f>IFERROR(D18/H18, "　")</f>
        <v>　</v>
      </c>
      <c r="G18" s="379">
        <f>'2025年11月収益'!C21</f>
        <v>64900999.09</v>
      </c>
      <c r="H18" s="380"/>
      <c r="I18" s="321" t="str">
        <f>IFERROR(G18/K18, "　")</f>
        <v>　</v>
      </c>
      <c r="J18" s="379">
        <f>'2025年10月収益'!C21</f>
        <v>70311340.19</v>
      </c>
      <c r="K18" s="380"/>
      <c r="L18" s="321" t="str">
        <f>IFERROR(J18/N18, "　")</f>
        <v>　</v>
      </c>
      <c r="M18" s="379">
        <f>'2025年9月収益D'!C21</f>
        <v>74174997</v>
      </c>
      <c r="N18" s="380"/>
      <c r="O18" s="321" t="str">
        <f>IFERROR(M18/Q18, "　")</f>
        <v>　</v>
      </c>
      <c r="P18" s="381">
        <f>'2025年8月収益'!C21</f>
        <v>56952667</v>
      </c>
      <c r="Q18" s="382"/>
      <c r="R18" s="324" t="str">
        <f>IFERROR(P18/T18, "　")</f>
        <v>　</v>
      </c>
      <c r="S18" s="383">
        <f>'2025年7月収益'!C21</f>
        <v>89408914.42</v>
      </c>
      <c r="T18" s="384"/>
      <c r="U18" s="327" t="str">
        <f>IFERROR(S18/W18, "　")</f>
        <v>　</v>
      </c>
      <c r="V18" s="385">
        <f>'2025年6月収益'!C21</f>
        <v>106821992.9</v>
      </c>
      <c r="W18" s="386"/>
      <c r="X18" s="330" t="str">
        <f>IFERROR(V18/Z18, "　")</f>
        <v>　</v>
      </c>
      <c r="Y18" s="387">
        <f>'2025年5月収益'!C21</f>
        <v>2524541</v>
      </c>
      <c r="Z18" s="388"/>
      <c r="AA18" s="333" t="str">
        <f>IFERROR(Y18/AC18, "　")</f>
        <v>　</v>
      </c>
      <c r="AB18" s="389">
        <f>'2025年4月収益'!C21</f>
        <v>80712227.35</v>
      </c>
      <c r="AC18" s="389"/>
      <c r="AD18" s="336" t="str">
        <f>IFERROR(AB18/AF18, "　")</f>
        <v>　</v>
      </c>
      <c r="AE18" s="390">
        <f>'2025年3月収益'!C21</f>
        <v>67784165.05</v>
      </c>
      <c r="AF18" s="390"/>
      <c r="AG18" s="339" t="str">
        <f>IFERROR(AE18/AF18, "　")</f>
        <v>　</v>
      </c>
      <c r="AH18" s="391">
        <f>'2025年2月収益'!C21</f>
        <v>80391127.08</v>
      </c>
      <c r="AI18" s="391"/>
      <c r="AJ18" s="342" t="str">
        <f>IFERROR(AH18/AI18, "　")</f>
        <v>　</v>
      </c>
      <c r="AK18" s="392">
        <f>'2025年1月収益'!C21</f>
        <v>98261656</v>
      </c>
      <c r="AL18" s="392"/>
      <c r="AM18" s="345" t="str">
        <f>IFERROR(AK18/AL18, "　")</f>
        <v>　</v>
      </c>
      <c r="AN18" s="393">
        <f>'2024年12月収益'!C21</f>
        <v>127194450</v>
      </c>
      <c r="AO18" s="393"/>
      <c r="AP18" s="348" t="str">
        <f>IFERROR(AN18/AO18, "　")</f>
        <v>　</v>
      </c>
      <c r="AQ18" s="378">
        <f>'2024年11月収益'!C21</f>
        <v>64340595</v>
      </c>
      <c r="AR18" s="378"/>
      <c r="AS18" s="350" t="str">
        <f>IFERROR(AQ18/AR18, "　")</f>
        <v>　</v>
      </c>
      <c r="AT18" s="394">
        <f>'2024年10月収益'!C21</f>
        <v>55922003</v>
      </c>
      <c r="AU18" s="395"/>
      <c r="AV18" s="352" t="str">
        <f>IFERROR(AT18/AU18, "　")</f>
        <v>　</v>
      </c>
      <c r="AW18" s="396">
        <f>'2024年9月収益'!C21</f>
        <v>2346613.86</v>
      </c>
      <c r="AX18" s="397"/>
      <c r="AY18" s="354" t="str">
        <f>IFERROR(AW18/AX18, "　")</f>
        <v>　</v>
      </c>
      <c r="AZ18" s="398">
        <f>'2024年8月収益'!C21</f>
        <v>58563009</v>
      </c>
      <c r="BA18" s="398"/>
      <c r="BB18" s="356"/>
      <c r="BC18" s="399">
        <f>'2024年7月収益'!C21</f>
        <v>6936293</v>
      </c>
      <c r="BD18" s="400"/>
      <c r="BE18" s="400"/>
      <c r="BF18" s="376"/>
      <c r="BG18" s="376"/>
      <c r="BH18" s="376"/>
      <c r="BI18" s="376"/>
      <c r="BJ18" s="376"/>
      <c r="BK18" s="376"/>
      <c r="BL18" s="376"/>
      <c r="BM18" s="376"/>
      <c r="BN18" s="376"/>
      <c r="BO18" s="376"/>
      <c r="BP18" s="376"/>
      <c r="BQ18" s="376"/>
      <c r="BR18" s="376"/>
    </row>
    <row r="19">
      <c r="A19" s="373"/>
      <c r="B19" s="374" t="s">
        <v>295</v>
      </c>
      <c r="C19" s="375">
        <f t="shared" si="19"/>
        <v>3698472.471</v>
      </c>
      <c r="D19" s="374">
        <f>'2025年12月収益'!C22</f>
        <v>184753.4683</v>
      </c>
      <c r="E19" s="364"/>
      <c r="F19" s="361"/>
      <c r="G19" s="374">
        <f>'2025年11月収益'!C22</f>
        <v>285907.485</v>
      </c>
      <c r="H19" s="364"/>
      <c r="I19" s="361"/>
      <c r="J19" s="374">
        <f>'2025年10月収益'!C22</f>
        <v>239154.2183</v>
      </c>
      <c r="K19" s="364"/>
      <c r="L19" s="361"/>
      <c r="M19" s="374">
        <f>'2025年9月収益D'!C22</f>
        <v>248909.3859</v>
      </c>
      <c r="N19" s="364"/>
      <c r="O19" s="361"/>
      <c r="P19" s="374">
        <f>'2025年8月収益'!C22</f>
        <v>389548</v>
      </c>
      <c r="Q19" s="364"/>
      <c r="R19" s="361"/>
      <c r="S19" s="374">
        <f>'2025年7月収益'!C22</f>
        <v>234669.0667</v>
      </c>
      <c r="T19" s="364"/>
      <c r="U19" s="361"/>
      <c r="V19" s="374">
        <f>'2025年6月収益'!C22</f>
        <v>153040.1044</v>
      </c>
      <c r="W19" s="364"/>
      <c r="X19" s="361"/>
      <c r="Y19" s="374">
        <f>'2025年5月収益'!C22</f>
        <v>3348.197613</v>
      </c>
      <c r="Z19" s="364"/>
      <c r="AA19" s="361"/>
      <c r="AB19" s="364">
        <f>'2025年4月収益'!C22</f>
        <v>146483.1712</v>
      </c>
      <c r="AC19" s="364"/>
      <c r="AD19" s="361"/>
      <c r="AE19" s="364">
        <f>'2025年3月収益'!C22</f>
        <v>148976.1869</v>
      </c>
      <c r="AF19" s="364"/>
      <c r="AG19" s="361"/>
      <c r="AH19" s="364">
        <f>'2025年2月収益'!C22</f>
        <v>217862.133</v>
      </c>
      <c r="AI19" s="364"/>
      <c r="AJ19" s="361"/>
      <c r="AK19" s="364">
        <f>'2025年1月収益'!C22</f>
        <v>275242.7339</v>
      </c>
      <c r="AL19" s="364"/>
      <c r="AM19" s="363"/>
      <c r="AN19" s="364">
        <f>'2024年12月収益'!C22</f>
        <v>356286.9748</v>
      </c>
      <c r="AO19" s="364"/>
      <c r="AP19" s="361"/>
      <c r="AQ19" s="364">
        <f>'2024年11月収益'!C22</f>
        <v>210263.3824</v>
      </c>
      <c r="AR19" s="364"/>
      <c r="AS19" s="364"/>
      <c r="AT19" s="313">
        <f>'2024年10月収益'!C22</f>
        <v>211026.4264</v>
      </c>
      <c r="AU19" s="364"/>
      <c r="AV19" s="364"/>
      <c r="AW19" s="374">
        <f>'2024年9月収益'!C22</f>
        <v>11391.32942</v>
      </c>
      <c r="AX19" s="364"/>
      <c r="AY19" s="364"/>
      <c r="AZ19" s="364">
        <f>'2024年8月収益'!C22</f>
        <v>472282.3306</v>
      </c>
      <c r="BA19" s="364"/>
      <c r="BB19" s="359"/>
      <c r="BC19" s="374">
        <f>'2024年7月収益'!C22</f>
        <v>119591.2586</v>
      </c>
      <c r="BD19" s="364"/>
      <c r="BE19" s="364"/>
      <c r="BF19" s="373"/>
      <c r="BG19" s="373"/>
      <c r="BH19" s="373"/>
      <c r="BI19" s="373"/>
      <c r="BJ19" s="373"/>
      <c r="BK19" s="373"/>
      <c r="BL19" s="373"/>
      <c r="BM19" s="373"/>
      <c r="BN19" s="373"/>
      <c r="BO19" s="373"/>
      <c r="BP19" s="373"/>
      <c r="BQ19" s="373"/>
      <c r="BR19" s="373"/>
    </row>
    <row r="20">
      <c r="A20" s="376"/>
      <c r="B20" s="377" t="s">
        <v>296</v>
      </c>
      <c r="C20" s="349" t="str">
        <f t="shared" si="19"/>
        <v>#REF!</v>
      </c>
      <c r="D20" s="403">
        <f>'2025年12月収益'!C23</f>
        <v>73458827</v>
      </c>
      <c r="E20" s="380"/>
      <c r="F20" s="404"/>
      <c r="G20" s="403">
        <f>'2025年11月収益'!C23</f>
        <v>77447062</v>
      </c>
      <c r="H20" s="380"/>
      <c r="I20" s="404"/>
      <c r="J20" s="403">
        <f>'2025年10月収益'!C23</f>
        <v>71840329</v>
      </c>
      <c r="K20" s="380"/>
      <c r="L20" s="404"/>
      <c r="M20" s="379">
        <f>'2025年9月収益D'!C23</f>
        <v>76698566.8</v>
      </c>
      <c r="N20" s="380"/>
      <c r="O20" s="404"/>
      <c r="P20" s="405">
        <f>'2025年8月収益'!C23</f>
        <v>56467301</v>
      </c>
      <c r="Q20" s="382"/>
      <c r="R20" s="406"/>
      <c r="S20" s="383">
        <f>'2025年7月収益'!C23</f>
        <v>106737904.3</v>
      </c>
      <c r="T20" s="384"/>
      <c r="U20" s="407"/>
      <c r="V20" s="328" t="str">
        <f>'2025年6月収益'!C23</f>
        <v>#REF!</v>
      </c>
      <c r="W20" s="386"/>
      <c r="X20" s="408"/>
      <c r="Y20" s="387">
        <f>'2025年5月収益'!C23</f>
        <v>127207474.6</v>
      </c>
      <c r="Z20" s="388"/>
      <c r="AA20" s="409"/>
      <c r="AB20" s="389">
        <f>'2025年4月収益'!C23</f>
        <v>122477771.2</v>
      </c>
      <c r="AC20" s="389"/>
      <c r="AD20" s="410"/>
      <c r="AE20" s="390">
        <f>'2025年3月収益'!C23</f>
        <v>144998394.6</v>
      </c>
      <c r="AF20" s="390"/>
      <c r="AG20" s="339" t="str">
        <f>IFERROR(AE20/AF20, "　")</f>
        <v>　</v>
      </c>
      <c r="AH20" s="391">
        <f>'2025年2月収益'!C23</f>
        <v>105750924</v>
      </c>
      <c r="AI20" s="391"/>
      <c r="AJ20" s="342" t="str">
        <f>IFERROR(AH20/AI20, "　")</f>
        <v>　</v>
      </c>
      <c r="AK20" s="392">
        <f>'2025年1月収益'!C23</f>
        <v>146490822.6</v>
      </c>
      <c r="AL20" s="392"/>
      <c r="AM20" s="345" t="str">
        <f>IFERROR(AK20/AL20, "　")</f>
        <v>　</v>
      </c>
      <c r="AN20" s="393">
        <f>'2024年12月収益'!C23</f>
        <v>200248158</v>
      </c>
      <c r="AO20" s="393"/>
      <c r="AP20" s="348" t="str">
        <f>IFERROR(AN20/AO20, "　")</f>
        <v>　</v>
      </c>
      <c r="AQ20" s="378">
        <f>'2024年11月収益'!C23</f>
        <v>91106410.42</v>
      </c>
      <c r="AR20" s="378"/>
      <c r="AS20" s="350" t="str">
        <f>IFERROR(AQ20/AR20, "　")</f>
        <v>　</v>
      </c>
      <c r="AT20" s="394">
        <f>'2024年10月収益'!C23</f>
        <v>70318275.1</v>
      </c>
      <c r="AU20" s="395"/>
      <c r="AV20" s="352" t="str">
        <f>IFERROR(AT20/AU20, "　")</f>
        <v>　</v>
      </c>
      <c r="AW20" s="396">
        <f>'2024年9月収益'!C23</f>
        <v>66130411.4</v>
      </c>
      <c r="AX20" s="397"/>
      <c r="AY20" s="354" t="str">
        <f>IFERROR(AW20/AX20, "　")</f>
        <v>　</v>
      </c>
      <c r="AZ20" s="398">
        <f>'2024年8月収益'!C23</f>
        <v>67593085.51</v>
      </c>
      <c r="BA20" s="398"/>
      <c r="BB20" s="356"/>
      <c r="BC20" s="399">
        <f>'2024年7月収益'!C23</f>
        <v>5432157.6</v>
      </c>
      <c r="BD20" s="400"/>
      <c r="BE20" s="400"/>
      <c r="BF20" s="376"/>
      <c r="BG20" s="376"/>
      <c r="BH20" s="376"/>
      <c r="BI20" s="376"/>
      <c r="BJ20" s="376"/>
      <c r="BK20" s="376"/>
      <c r="BL20" s="376"/>
      <c r="BM20" s="376"/>
      <c r="BN20" s="376"/>
      <c r="BO20" s="376"/>
      <c r="BP20" s="376"/>
      <c r="BQ20" s="376"/>
      <c r="BR20" s="376"/>
    </row>
    <row r="21">
      <c r="A21" s="373"/>
      <c r="B21" s="374" t="s">
        <v>297</v>
      </c>
      <c r="C21" s="311" t="str">
        <f t="shared" si="19"/>
        <v>#REF!</v>
      </c>
      <c r="D21" s="313">
        <f>'2025年12月収益'!C24</f>
        <v>61567404</v>
      </c>
      <c r="E21" s="364"/>
      <c r="F21" s="361"/>
      <c r="G21" s="313">
        <f>'2025年11月収益'!C24</f>
        <v>64213601</v>
      </c>
      <c r="H21" s="364"/>
      <c r="I21" s="361"/>
      <c r="J21" s="313">
        <f>'2025年10月収益'!C24</f>
        <v>55956778</v>
      </c>
      <c r="K21" s="364"/>
      <c r="L21" s="361"/>
      <c r="M21" s="313">
        <f>'2025年9月収益D'!C24</f>
        <v>62846588</v>
      </c>
      <c r="N21" s="364"/>
      <c r="O21" s="361"/>
      <c r="P21" s="313">
        <f>'2025年8月収益'!C24</f>
        <v>41786755</v>
      </c>
      <c r="Q21" s="364"/>
      <c r="R21" s="361"/>
      <c r="S21" s="313">
        <f>'2025年7月収益'!C24</f>
        <v>74754327.9</v>
      </c>
      <c r="T21" s="364"/>
      <c r="U21" s="361"/>
      <c r="V21" s="314" t="str">
        <f>'2025年6月収益'!C24</f>
        <v>#REF!</v>
      </c>
      <c r="W21" s="364"/>
      <c r="X21" s="361"/>
      <c r="Y21" s="313">
        <f>'2025年5月収益'!C24</f>
        <v>108007299.5</v>
      </c>
      <c r="Z21" s="364"/>
      <c r="AA21" s="361"/>
      <c r="AB21" s="411">
        <f>'2025年4月収益'!C24</f>
        <v>114885739</v>
      </c>
      <c r="AC21" s="364"/>
      <c r="AD21" s="361"/>
      <c r="AE21" s="411">
        <f>'2025年3月収益'!C24</f>
        <v>138860230.4</v>
      </c>
      <c r="AF21" s="364"/>
      <c r="AG21" s="361"/>
      <c r="AH21" s="411">
        <f>'2025年2月収益'!C24</f>
        <v>105111084.4</v>
      </c>
      <c r="AI21" s="364"/>
      <c r="AJ21" s="361"/>
      <c r="AK21" s="411">
        <f>'2025年1月収益'!C24</f>
        <v>129120304</v>
      </c>
      <c r="AL21" s="364"/>
      <c r="AM21" s="363"/>
      <c r="AN21" s="411">
        <f>'2024年12月収益'!C24</f>
        <v>190324998</v>
      </c>
      <c r="AO21" s="364"/>
      <c r="AP21" s="361"/>
      <c r="AQ21" s="411">
        <f>'2024年11月収益'!C24</f>
        <v>82763466.68</v>
      </c>
      <c r="AR21" s="364"/>
      <c r="AS21" s="364"/>
      <c r="AT21" s="313">
        <f>'2024年10月収益'!C24</f>
        <v>57837291.31</v>
      </c>
      <c r="AU21" s="364"/>
      <c r="AV21" s="364"/>
      <c r="AW21" s="374">
        <f>'2024年9月収益'!C24</f>
        <v>55774912</v>
      </c>
      <c r="AX21" s="364"/>
      <c r="AY21" s="364"/>
      <c r="AZ21" s="364">
        <f>'2024年8月収益'!C24</f>
        <v>45528649.56</v>
      </c>
      <c r="BA21" s="364"/>
      <c r="BB21" s="359"/>
      <c r="BC21" s="374">
        <f>'2024年7月収益'!C24</f>
        <v>4115281</v>
      </c>
      <c r="BD21" s="364"/>
      <c r="BE21" s="364"/>
      <c r="BF21" s="373"/>
      <c r="BG21" s="373"/>
      <c r="BH21" s="373"/>
      <c r="BI21" s="373"/>
      <c r="BJ21" s="373"/>
      <c r="BK21" s="373"/>
      <c r="BL21" s="373"/>
      <c r="BM21" s="373"/>
      <c r="BN21" s="373"/>
      <c r="BO21" s="373"/>
      <c r="BP21" s="373"/>
      <c r="BQ21" s="373"/>
      <c r="BR21" s="373"/>
    </row>
    <row r="22">
      <c r="A22" s="412"/>
      <c r="B22" s="413" t="s">
        <v>298</v>
      </c>
      <c r="C22" s="350" t="str">
        <f>C21/C20</f>
        <v>#REF!</v>
      </c>
      <c r="D22" s="414">
        <f>'2025年12月収益'!C25</f>
        <v>0.8381212512</v>
      </c>
      <c r="E22" s="414">
        <v>0.4</v>
      </c>
      <c r="F22" s="321" t="str">
        <f t="shared" ref="F22:G22" si="20">F21/F20</f>
        <v>#DIV/0!</v>
      </c>
      <c r="G22" s="414">
        <f t="shared" si="20"/>
        <v>0.8291289475</v>
      </c>
      <c r="H22" s="414">
        <v>0.4</v>
      </c>
      <c r="I22" s="321" t="str">
        <f t="shared" ref="I22:J22" si="21">I21/I20</f>
        <v>#DIV/0!</v>
      </c>
      <c r="J22" s="414">
        <f t="shared" si="21"/>
        <v>0.7789048126</v>
      </c>
      <c r="K22" s="414">
        <v>0.4</v>
      </c>
      <c r="L22" s="321">
        <f>IFERROR(J22/K22, "　")</f>
        <v>1.947262032</v>
      </c>
      <c r="M22" s="414">
        <f>M21/M20</f>
        <v>0.8193971625</v>
      </c>
      <c r="N22" s="414">
        <v>0.4</v>
      </c>
      <c r="O22" s="321">
        <f>IFERROR(M22/N22, "　")</f>
        <v>2.048492906</v>
      </c>
      <c r="P22" s="415">
        <f>P21/P20</f>
        <v>0.7400168639</v>
      </c>
      <c r="Q22" s="415">
        <v>0.4</v>
      </c>
      <c r="R22" s="324">
        <f>IFERROR(P22/T22, "　")</f>
        <v>1.85004216</v>
      </c>
      <c r="S22" s="416">
        <f>S21/S20</f>
        <v>0.7003540906</v>
      </c>
      <c r="T22" s="416">
        <v>0.4</v>
      </c>
      <c r="U22" s="327">
        <f>IFERROR(S22/W22, "　")</f>
        <v>1.750885227</v>
      </c>
      <c r="V22" s="417" t="str">
        <f>V21/V20</f>
        <v>#REF!</v>
      </c>
      <c r="W22" s="417">
        <v>0.4</v>
      </c>
      <c r="X22" s="330" t="str">
        <f>IFERROR(V22/Z22, "　")</f>
        <v>　</v>
      </c>
      <c r="Y22" s="333">
        <f>Y21/Y20</f>
        <v>0.8490640965</v>
      </c>
      <c r="Z22" s="418">
        <v>0.4</v>
      </c>
      <c r="AA22" s="333">
        <f>IFERROR(Y22/AC22, "　")</f>
        <v>2.122660241</v>
      </c>
      <c r="AB22" s="336">
        <f>'2025年4月収益'!C25</f>
        <v>0.9380129788</v>
      </c>
      <c r="AC22" s="419">
        <v>0.4</v>
      </c>
      <c r="AD22" s="336">
        <f>IFERROR(AB22/AF22, "　")</f>
        <v>1.042236643</v>
      </c>
      <c r="AE22" s="339">
        <f>'2025年3月収益'!C25</f>
        <v>0.9576673644</v>
      </c>
      <c r="AF22" s="420">
        <v>0.9</v>
      </c>
      <c r="AG22" s="339">
        <f>IFERROR(AE22/AF22, "　")</f>
        <v>1.064074849</v>
      </c>
      <c r="AH22" s="421">
        <f>'2025年2月収益'!C25</f>
        <v>0.9939495604</v>
      </c>
      <c r="AI22" s="422">
        <v>0.9</v>
      </c>
      <c r="AJ22" s="342">
        <f>IFERROR(AH22/AI22, "　")</f>
        <v>1.1043884</v>
      </c>
      <c r="AK22" s="345">
        <f>'2025年1月収益'!C25</f>
        <v>0.881422479</v>
      </c>
      <c r="AL22" s="423">
        <v>0.9</v>
      </c>
      <c r="AM22" s="345">
        <f>IFERROR(AK22/AL22, "　")</f>
        <v>0.9793583099</v>
      </c>
      <c r="AN22" s="348">
        <f>'2024年12月収益'!C25</f>
        <v>0.9504456865</v>
      </c>
      <c r="AO22" s="424">
        <v>0.9</v>
      </c>
      <c r="AP22" s="348">
        <f>IFERROR(AN22/AO22, "　")</f>
        <v>1.056050763</v>
      </c>
      <c r="AQ22" s="350">
        <f>'2024年11月収益'!C25</f>
        <v>0.9084263807</v>
      </c>
      <c r="AR22" s="413">
        <v>0.9</v>
      </c>
      <c r="AS22" s="350">
        <f>IFERROR(AQ22/AR22, "　")</f>
        <v>1.009362645</v>
      </c>
      <c r="AT22" s="425">
        <f>'2024年10月収益'!C25</f>
        <v>0.8225072533</v>
      </c>
      <c r="AU22" s="425">
        <v>0.9</v>
      </c>
      <c r="AV22" s="352">
        <f>IFERROR(AT22/AU22, "　")</f>
        <v>0.9138969481</v>
      </c>
      <c r="AW22" s="354">
        <f>'2024年9月収益'!C25</f>
        <v>0.843407909</v>
      </c>
      <c r="AX22" s="354">
        <v>0.9</v>
      </c>
      <c r="AY22" s="354">
        <f>IFERROR(AW22/AX22, "　")</f>
        <v>0.9371198989</v>
      </c>
      <c r="AZ22" s="426">
        <f>'2024年8月収益'!C25</f>
        <v>0.6735696294</v>
      </c>
      <c r="BA22" s="356">
        <v>0.9</v>
      </c>
      <c r="BB22" s="356">
        <f>IFERROR(BA22/AZ22, "　")</f>
        <v>1.336164757</v>
      </c>
      <c r="BC22" s="427">
        <f>'2024年7月収益'!C25</f>
        <v>0.7575776152</v>
      </c>
      <c r="BD22" s="428"/>
      <c r="BE22" s="428"/>
      <c r="BF22" s="412"/>
      <c r="BG22" s="412"/>
      <c r="BH22" s="412"/>
      <c r="BI22" s="412"/>
      <c r="BJ22" s="412"/>
      <c r="BK22" s="412"/>
      <c r="BL22" s="412"/>
      <c r="BM22" s="412"/>
      <c r="BN22" s="412"/>
      <c r="BO22" s="412"/>
      <c r="BP22" s="412"/>
      <c r="BQ22" s="412"/>
      <c r="BR22" s="412"/>
    </row>
    <row r="23">
      <c r="A23" s="373"/>
      <c r="B23" s="374" t="s">
        <v>299</v>
      </c>
      <c r="C23" s="364">
        <f>AH23+AK23+AN23+AT23+AW23+AZ23+BC23</f>
        <v>253145617.7</v>
      </c>
      <c r="D23" s="313">
        <f>'2025年12月収益'!C26</f>
        <v>20555338</v>
      </c>
      <c r="E23" s="364"/>
      <c r="F23" s="361"/>
      <c r="G23" s="313">
        <f>'2025年11月収益'!C26</f>
        <v>19725328</v>
      </c>
      <c r="H23" s="364"/>
      <c r="I23" s="361"/>
      <c r="J23" s="313">
        <f>'2025年10月収益'!C26</f>
        <v>17719827</v>
      </c>
      <c r="K23" s="364"/>
      <c r="L23" s="361"/>
      <c r="M23" s="374">
        <f>'2025年9月収益D'!C26</f>
        <v>21551493</v>
      </c>
      <c r="N23" s="364"/>
      <c r="O23" s="361"/>
      <c r="P23" s="313">
        <f>'2025年8月収益'!C26</f>
        <v>13154437</v>
      </c>
      <c r="Q23" s="364"/>
      <c r="R23" s="361"/>
      <c r="S23" s="374">
        <f>'2025年7月収益'!C26</f>
        <v>37542660</v>
      </c>
      <c r="T23" s="364"/>
      <c r="U23" s="361"/>
      <c r="V23" s="314" t="str">
        <f>'2025年6月収益'!C26</f>
        <v>#REF!</v>
      </c>
      <c r="W23" s="364"/>
      <c r="X23" s="361"/>
      <c r="Y23" s="374">
        <f>'2025年5月収益'!C26</f>
        <v>74028096</v>
      </c>
      <c r="Z23" s="364"/>
      <c r="AA23" s="361"/>
      <c r="AB23" s="364">
        <f>'2025年4月収益'!C26</f>
        <v>39921751</v>
      </c>
      <c r="AC23" s="364"/>
      <c r="AD23" s="361"/>
      <c r="AE23" s="364">
        <f>'2025年3月収益'!C26</f>
        <v>45743713</v>
      </c>
      <c r="AF23" s="364"/>
      <c r="AG23" s="361"/>
      <c r="AH23" s="364">
        <f>'2025年2月収益'!C26</f>
        <v>25727451</v>
      </c>
      <c r="AI23" s="364"/>
      <c r="AJ23" s="361"/>
      <c r="AK23" s="364">
        <f>'2025年1月収益'!C26</f>
        <v>57374896</v>
      </c>
      <c r="AL23" s="364"/>
      <c r="AM23" s="363"/>
      <c r="AN23" s="364">
        <f>'2024年12月収益'!C26</f>
        <v>64423375</v>
      </c>
      <c r="AO23" s="364"/>
      <c r="AP23" s="361"/>
      <c r="AQ23" s="364">
        <f>'2024年11月収益'!C26</f>
        <v>33439172</v>
      </c>
      <c r="AR23" s="364"/>
      <c r="AS23" s="364"/>
      <c r="AT23" s="313">
        <f>'2024年10月収益'!C26</f>
        <v>21652354.7</v>
      </c>
      <c r="AU23" s="364"/>
      <c r="AV23" s="364"/>
      <c r="AW23" s="374">
        <f>'2024年9月収益'!C26</f>
        <v>64758806</v>
      </c>
      <c r="AX23" s="364"/>
      <c r="AY23" s="364"/>
      <c r="AZ23" s="364">
        <f>'2024年8月収益'!C26</f>
        <v>17978411</v>
      </c>
      <c r="BA23" s="364"/>
      <c r="BB23" s="359"/>
      <c r="BC23" s="374">
        <f>'2024年7月収益'!C26</f>
        <v>1230324</v>
      </c>
      <c r="BD23" s="364"/>
      <c r="BE23" s="364"/>
      <c r="BF23" s="373"/>
      <c r="BG23" s="373"/>
      <c r="BH23" s="373"/>
      <c r="BI23" s="373"/>
      <c r="BJ23" s="373"/>
      <c r="BK23" s="373"/>
      <c r="BL23" s="373"/>
      <c r="BM23" s="373"/>
      <c r="BN23" s="373"/>
      <c r="BO23" s="373"/>
      <c r="BP23" s="373"/>
      <c r="BQ23" s="373"/>
      <c r="BR23" s="373"/>
    </row>
    <row r="24">
      <c r="A24" s="376"/>
      <c r="B24" s="377" t="s">
        <v>300</v>
      </c>
      <c r="C24" s="429">
        <f>AB24+AE24+AH24+AK24+AN24+AT24+AW24+AZ24+BC24+Y24+V24+S24+P24+M24+J24+G24+D24</f>
        <v>798175006</v>
      </c>
      <c r="D24" s="403">
        <f>'2025年12月収益'!C27</f>
        <v>38616975</v>
      </c>
      <c r="E24" s="380">
        <f>1233600*AA3</f>
        <v>177724752</v>
      </c>
      <c r="F24" s="321">
        <f>IFERROR(D24/E24, "　")</f>
        <v>0.2172852941</v>
      </c>
      <c r="G24" s="403">
        <f>'2025年11月収益'!C27</f>
        <v>43448785</v>
      </c>
      <c r="H24" s="380">
        <f>1233600*AD3</f>
        <v>184928976</v>
      </c>
      <c r="I24" s="321">
        <f>IFERROR(G24/H24, "　")</f>
        <v>0.2349484972</v>
      </c>
      <c r="J24" s="403">
        <f>'2025年10月収益'!C27</f>
        <v>38174451</v>
      </c>
      <c r="K24" s="380">
        <f>1233600*AG3</f>
        <v>191208000</v>
      </c>
      <c r="L24" s="321">
        <f>IFERROR(J24/K24, "　")</f>
        <v>0.199648817</v>
      </c>
      <c r="M24" s="379">
        <f>'2025年9月収益D'!C27</f>
        <v>40783402</v>
      </c>
      <c r="N24" s="380">
        <f>1233600*AJ3</f>
        <v>191208000</v>
      </c>
      <c r="O24" s="321">
        <f>IFERROR(M24/N24, "　")</f>
        <v>0.2132933873</v>
      </c>
      <c r="P24" s="405">
        <f>26206490-1612843</f>
        <v>24593647</v>
      </c>
      <c r="Q24" s="382">
        <f>1233600*AM3</f>
        <v>191454720</v>
      </c>
      <c r="R24" s="324">
        <f t="shared" ref="R24:R32" si="22">IFERROR(P24/T24, "　")</f>
        <v>0.1268546976</v>
      </c>
      <c r="S24" s="430">
        <f>'2025年7月収益'!C27</f>
        <v>11754881.9</v>
      </c>
      <c r="T24" s="384">
        <f>1233600*AP3</f>
        <v>193872576</v>
      </c>
      <c r="U24" s="327">
        <f t="shared" ref="U24:U32" si="23">IFERROR(S24/W24, "　")</f>
        <v>0.06363222048</v>
      </c>
      <c r="V24" s="431">
        <f>'2025年6月収益'!C27</f>
        <v>79117068</v>
      </c>
      <c r="W24" s="386">
        <f>1233600*AS3</f>
        <v>184731600</v>
      </c>
      <c r="X24" s="330">
        <f t="shared" ref="X24:X32" si="24">IFERROR(V24/Z24, "　")</f>
        <v>0.4220525599</v>
      </c>
      <c r="Y24" s="432">
        <f>'2025年5月収益'!C27</f>
        <v>30822400</v>
      </c>
      <c r="Z24" s="388">
        <f>1233600*AV3</f>
        <v>187457856</v>
      </c>
      <c r="AA24" s="333">
        <f t="shared" ref="AA24:AA32" si="25">IFERROR(Y24/AC24, "　")</f>
        <v>0.1738621725</v>
      </c>
      <c r="AB24" s="433">
        <f>'2025年4月収益'!C27</f>
        <v>69357611</v>
      </c>
      <c r="AC24" s="389">
        <f>1233600*AY3</f>
        <v>177280656</v>
      </c>
      <c r="AD24" s="336">
        <f t="shared" ref="AD24:AD32" si="26">IFERROR(AB24/AF24, "　")</f>
        <v>0.3845673346</v>
      </c>
      <c r="AE24" s="434">
        <f>'2025年3月収益'!C27</f>
        <v>88303648</v>
      </c>
      <c r="AF24" s="390">
        <f>1233600*BB3</f>
        <v>180352320</v>
      </c>
      <c r="AG24" s="339">
        <f t="shared" ref="AG24:AG25" si="27">IFERROR(AE24/AF24, "　")</f>
        <v>0.4896174776</v>
      </c>
      <c r="AH24" s="435">
        <f>'2025年2月収益'!C27</f>
        <v>76779202</v>
      </c>
      <c r="AI24" s="391">
        <f>1079272*BB3</f>
        <v>157789566.4</v>
      </c>
      <c r="AJ24" s="342">
        <f t="shared" ref="AJ24:AJ25" si="28">IFERROR(AH24/AI24, "　")</f>
        <v>0.4865923885</v>
      </c>
      <c r="AK24" s="436">
        <f>'2025年1月収益'!C27</f>
        <v>72496605</v>
      </c>
      <c r="AL24" s="392">
        <f>878544*BB3</f>
        <v>128443132.8</v>
      </c>
      <c r="AM24" s="345">
        <f t="shared" ref="AM24:AM25" si="29">IFERROR(AK24/AL24, "　")</f>
        <v>0.5644256989</v>
      </c>
      <c r="AN24" s="437">
        <f>'2024年12月収益'!C27</f>
        <v>124135759</v>
      </c>
      <c r="AO24" s="393">
        <f>797088*BB3</f>
        <v>116534265.6</v>
      </c>
      <c r="AP24" s="348">
        <f t="shared" ref="AP24:AP25" si="30">IFERROR(AN24/AO24, "　")</f>
        <v>1.065229685</v>
      </c>
      <c r="AQ24" s="429">
        <f>'2024年11月収益'!C27</f>
        <v>49324294.68</v>
      </c>
      <c r="AR24" s="378">
        <f>704640*BB3</f>
        <v>103018368</v>
      </c>
      <c r="AS24" s="350">
        <f t="shared" ref="AS24:AS25" si="31">IFERROR(AQ24/AR24, "　")</f>
        <v>0.4787912645</v>
      </c>
      <c r="AT24" s="394">
        <f>'2024年10月収益'!C27</f>
        <v>35789786.08</v>
      </c>
      <c r="AU24" s="395">
        <f>499200*BB3</f>
        <v>72983040</v>
      </c>
      <c r="AV24" s="352">
        <f t="shared" ref="AV24:AV26" si="32">IFERROR(AT24/AU24, "　")</f>
        <v>0.4903849727</v>
      </c>
      <c r="AW24" s="396">
        <f>'2024年9月収益'!C27</f>
        <v>-8983894</v>
      </c>
      <c r="AX24" s="397">
        <f>448000*BB3</f>
        <v>65497600</v>
      </c>
      <c r="AY24" s="354">
        <f t="shared" ref="AY24:AY26" si="33">IFERROR(AW24/AX24, "　")</f>
        <v>-0.1371637129</v>
      </c>
      <c r="AZ24" s="398">
        <f>'2024年8月収益'!C27</f>
        <v>30099722</v>
      </c>
      <c r="BA24" s="398">
        <f>320000*BB3</f>
        <v>46784000</v>
      </c>
      <c r="BB24" s="356">
        <f t="shared" ref="BB24:BB25" si="34">IFERROR(BA24/AZ24, "　")</f>
        <v>1.55430007</v>
      </c>
      <c r="BC24" s="399">
        <f>'2024年7月収益'!C27</f>
        <v>2884957</v>
      </c>
      <c r="BD24" s="400"/>
      <c r="BE24" s="400"/>
      <c r="BF24" s="376"/>
      <c r="BG24" s="376"/>
      <c r="BH24" s="376"/>
      <c r="BI24" s="376"/>
      <c r="BJ24" s="376"/>
      <c r="BK24" s="376"/>
      <c r="BL24" s="376"/>
      <c r="BM24" s="376"/>
      <c r="BN24" s="376"/>
      <c r="BO24" s="376"/>
      <c r="BP24" s="376"/>
      <c r="BQ24" s="376"/>
      <c r="BR24" s="376"/>
    </row>
    <row r="25">
      <c r="A25" s="373"/>
      <c r="B25" s="374" t="s">
        <v>301</v>
      </c>
      <c r="C25" s="411">
        <f>C24/C14</f>
        <v>133697.6559</v>
      </c>
      <c r="D25" s="374">
        <f>'2025年12月収益'!C28</f>
        <v>133161.9828</v>
      </c>
      <c r="E25" s="364">
        <f>2000*F3</f>
        <v>0</v>
      </c>
      <c r="F25" s="363" t="str">
        <f t="shared" ref="F25:F26" si="35">IFERROR(D25/H25, "　")</f>
        <v>　</v>
      </c>
      <c r="G25" s="374">
        <f>'2025年11月収益'!C28</f>
        <v>191404.3392</v>
      </c>
      <c r="H25" s="364">
        <f>2000*I3</f>
        <v>0</v>
      </c>
      <c r="I25" s="363" t="str">
        <f t="shared" ref="I25:I26" si="36">IFERROR(G25/K25, "　")</f>
        <v>　</v>
      </c>
      <c r="J25" s="374">
        <f>'2025年10月収益'!C28</f>
        <v>129845.0714</v>
      </c>
      <c r="K25" s="364">
        <f>2000*L3</f>
        <v>0</v>
      </c>
      <c r="L25" s="363" t="str">
        <f t="shared" ref="L25:L26" si="37">IFERROR(J25/N25, "　")</f>
        <v>　</v>
      </c>
      <c r="M25" s="374">
        <f>'2025年9月収益D'!C28</f>
        <v>137774.1711</v>
      </c>
      <c r="N25" s="364">
        <f>2000*O3</f>
        <v>0</v>
      </c>
      <c r="O25" s="363" t="str">
        <f t="shared" ref="O25:O26" si="38">IFERROR(M25/Q25, "　")</f>
        <v>　</v>
      </c>
      <c r="P25" s="374">
        <f>'2025年8月収益'!C28</f>
        <v>92276.37324</v>
      </c>
      <c r="Q25" s="364">
        <f>2000*R3</f>
        <v>0</v>
      </c>
      <c r="R25" s="363" t="str">
        <f t="shared" si="22"/>
        <v>　</v>
      </c>
      <c r="S25" s="374">
        <f>'2025年7月収益'!C28</f>
        <v>34271.25171</v>
      </c>
      <c r="T25" s="364">
        <f>2000*U3</f>
        <v>0</v>
      </c>
      <c r="U25" s="363" t="str">
        <f t="shared" si="23"/>
        <v>　</v>
      </c>
      <c r="V25" s="374">
        <f>'2025年6月収益'!C28</f>
        <v>113348.235</v>
      </c>
      <c r="W25" s="364">
        <f>2000*X3</f>
        <v>0</v>
      </c>
      <c r="X25" s="363">
        <f t="shared" si="24"/>
        <v>0.3933790343</v>
      </c>
      <c r="Y25" s="374">
        <f>'2025年5月収益'!C28</f>
        <v>40878.51459</v>
      </c>
      <c r="Z25" s="364">
        <f>2000*AA3</f>
        <v>288140</v>
      </c>
      <c r="AA25" s="363">
        <f t="shared" si="25"/>
        <v>0.1363435214</v>
      </c>
      <c r="AB25" s="364">
        <f>'2025年4月収益'!C28</f>
        <v>125875.882</v>
      </c>
      <c r="AC25" s="364">
        <f>2000*AD3</f>
        <v>299820</v>
      </c>
      <c r="AD25" s="363">
        <f t="shared" si="26"/>
        <v>0.4060512324</v>
      </c>
      <c r="AE25" s="364">
        <f>'2025年3月収益'!C28</f>
        <v>194073.9516</v>
      </c>
      <c r="AF25" s="364">
        <f>2000*AG3</f>
        <v>310000</v>
      </c>
      <c r="AG25" s="363">
        <f t="shared" si="27"/>
        <v>0.6260450053</v>
      </c>
      <c r="AH25" s="364">
        <f>'2025年2月収益'!C28</f>
        <v>208073.7182</v>
      </c>
      <c r="AI25" s="364">
        <f>2000*AG3</f>
        <v>310000</v>
      </c>
      <c r="AJ25" s="342">
        <f t="shared" si="28"/>
        <v>0.6712055424</v>
      </c>
      <c r="AK25" s="364">
        <f>'2025年1月収益'!C28</f>
        <v>203071.7227</v>
      </c>
      <c r="AL25" s="364">
        <f>2000*AG3</f>
        <v>310000</v>
      </c>
      <c r="AM25" s="363">
        <f t="shared" si="29"/>
        <v>0.6550700732</v>
      </c>
      <c r="AN25" s="364">
        <f>'2024年12月収益'!C28</f>
        <v>347719.2129</v>
      </c>
      <c r="AO25" s="364">
        <f>2000*AG3</f>
        <v>310000</v>
      </c>
      <c r="AP25" s="363">
        <f t="shared" si="30"/>
        <v>1.12167488</v>
      </c>
      <c r="AQ25" s="364">
        <f>'2024年11月収益'!C28</f>
        <v>161190.5055</v>
      </c>
      <c r="AR25" s="364">
        <f>2000*AG3</f>
        <v>310000</v>
      </c>
      <c r="AS25" s="363">
        <f t="shared" si="31"/>
        <v>0.5199693725</v>
      </c>
      <c r="AT25" s="313">
        <f>'2024年10月収益'!C28</f>
        <v>135055.7965</v>
      </c>
      <c r="AU25" s="364">
        <f>2000*AG3</f>
        <v>310000</v>
      </c>
      <c r="AV25" s="363">
        <f t="shared" si="32"/>
        <v>0.4356638598</v>
      </c>
      <c r="AW25" s="374">
        <f>'2024年9月収益'!C28</f>
        <v>-43611.13592</v>
      </c>
      <c r="AX25" s="364">
        <f>2000*AG3</f>
        <v>310000</v>
      </c>
      <c r="AY25" s="371">
        <f t="shared" si="33"/>
        <v>-0.1406810836</v>
      </c>
      <c r="AZ25" s="364">
        <f>'2024年8月収益'!C28</f>
        <v>242739.6935</v>
      </c>
      <c r="BA25" s="374">
        <f>2000*AG3</f>
        <v>310000</v>
      </c>
      <c r="BB25" s="371">
        <f t="shared" si="34"/>
        <v>1.277088207</v>
      </c>
      <c r="BC25" s="374">
        <f>'2024年7月収益'!C28</f>
        <v>49740.63793</v>
      </c>
      <c r="BD25" s="364"/>
      <c r="BE25" s="364"/>
      <c r="BF25" s="373"/>
      <c r="BG25" s="373"/>
      <c r="BH25" s="373"/>
      <c r="BI25" s="373"/>
      <c r="BJ25" s="373"/>
      <c r="BK25" s="373"/>
      <c r="BL25" s="373"/>
      <c r="BM25" s="373"/>
      <c r="BN25" s="373"/>
      <c r="BO25" s="373"/>
      <c r="BP25" s="373"/>
      <c r="BQ25" s="373"/>
      <c r="BR25" s="373"/>
    </row>
    <row r="26">
      <c r="A26" s="376"/>
      <c r="B26" s="377" t="s">
        <v>302</v>
      </c>
      <c r="C26" s="378">
        <f>AH26+AK26+AN26+AT26+AW26+AZ26+BC26+AE26+AB26+Y26+V26+S26+P26+M26+J26+G26+D26</f>
        <v>121731144.6</v>
      </c>
      <c r="D26" s="379">
        <f>'2025年12月収益'!C29</f>
        <v>7374448</v>
      </c>
      <c r="E26" s="319"/>
      <c r="F26" s="380" t="str">
        <f t="shared" si="35"/>
        <v>　</v>
      </c>
      <c r="G26" s="379">
        <f>'2025年11月収益'!C29</f>
        <v>9838142.724</v>
      </c>
      <c r="H26" s="319"/>
      <c r="I26" s="380" t="str">
        <f t="shared" si="36"/>
        <v>　</v>
      </c>
      <c r="J26" s="379">
        <f>'2025年10月収益'!C29</f>
        <v>7263554.56</v>
      </c>
      <c r="K26" s="319"/>
      <c r="L26" s="380" t="str">
        <f t="shared" si="37"/>
        <v>　</v>
      </c>
      <c r="M26" s="379">
        <f>'2025年9月収益D'!C29</f>
        <v>9010618</v>
      </c>
      <c r="N26" s="319"/>
      <c r="O26" s="380" t="str">
        <f t="shared" si="38"/>
        <v>　</v>
      </c>
      <c r="P26" s="381">
        <f>'2025年8月収益'!C29</f>
        <v>3559976</v>
      </c>
      <c r="Q26" s="382"/>
      <c r="R26" s="382" t="str">
        <f t="shared" si="22"/>
        <v>　</v>
      </c>
      <c r="S26" s="383">
        <f>'2025年7月収益'!C29</f>
        <v>7963281.01</v>
      </c>
      <c r="T26" s="384"/>
      <c r="U26" s="384" t="str">
        <f t="shared" si="23"/>
        <v>　</v>
      </c>
      <c r="V26" s="385">
        <f>'2025年6月収益'!C29</f>
        <v>9996206.39</v>
      </c>
      <c r="W26" s="386"/>
      <c r="X26" s="386" t="str">
        <f t="shared" si="24"/>
        <v>　</v>
      </c>
      <c r="Y26" s="387">
        <f>'2025年5月収益'!C29</f>
        <v>9327506.27</v>
      </c>
      <c r="Z26" s="388"/>
      <c r="AA26" s="388" t="str">
        <f t="shared" si="25"/>
        <v>　</v>
      </c>
      <c r="AB26" s="389">
        <f>'2025年4月収益'!C29</f>
        <v>6733328.95</v>
      </c>
      <c r="AC26" s="389"/>
      <c r="AD26" s="389" t="str">
        <f t="shared" si="26"/>
        <v>　</v>
      </c>
      <c r="AE26" s="390">
        <f>'2025年3月収益'!C29</f>
        <v>14728276</v>
      </c>
      <c r="AF26" s="390"/>
      <c r="AG26" s="339" t="str">
        <f t="shared" ref="AG26:AG32" si="39">IFERROR(AE26/AI26, "　")</f>
        <v>　</v>
      </c>
      <c r="AH26" s="391">
        <f>'2025年2月収益'!C29</f>
        <v>7017654.51</v>
      </c>
      <c r="AI26" s="391"/>
      <c r="AJ26" s="391"/>
      <c r="AK26" s="436">
        <f>'2025年1月収益'!C29</f>
        <v>7973518</v>
      </c>
      <c r="AL26" s="392"/>
      <c r="AM26" s="345"/>
      <c r="AN26" s="437">
        <f>'2024年12月収益'!C29</f>
        <v>10434557</v>
      </c>
      <c r="AO26" s="393"/>
      <c r="AP26" s="348"/>
      <c r="AQ26" s="429">
        <f>'2024年11月収益'!C29</f>
        <v>5577475</v>
      </c>
      <c r="AR26" s="378"/>
      <c r="AS26" s="350"/>
      <c r="AT26" s="394">
        <f>'2024年10月収益'!C29</f>
        <v>4908551</v>
      </c>
      <c r="AU26" s="395"/>
      <c r="AV26" s="352" t="str">
        <f t="shared" si="32"/>
        <v>　</v>
      </c>
      <c r="AW26" s="396">
        <f>'2024年9月収益'!C29</f>
        <v>339726</v>
      </c>
      <c r="AX26" s="397"/>
      <c r="AY26" s="354" t="str">
        <f t="shared" si="33"/>
        <v>　</v>
      </c>
      <c r="AZ26" s="398">
        <f>'2024年8月収益'!C29</f>
        <v>4679490</v>
      </c>
      <c r="BA26" s="398"/>
      <c r="BB26" s="356"/>
      <c r="BC26" s="399">
        <f>'2024年7月収益'!C29</f>
        <v>582310.2</v>
      </c>
      <c r="BD26" s="400"/>
      <c r="BE26" s="400"/>
      <c r="BF26" s="376"/>
      <c r="BG26" s="376"/>
      <c r="BH26" s="376"/>
      <c r="BI26" s="376"/>
      <c r="BJ26" s="376"/>
      <c r="BK26" s="376"/>
      <c r="BL26" s="376"/>
      <c r="BM26" s="376"/>
      <c r="BN26" s="376"/>
      <c r="BO26" s="376"/>
      <c r="BP26" s="376"/>
      <c r="BQ26" s="376"/>
      <c r="BR26" s="376"/>
    </row>
    <row r="27">
      <c r="A27" s="373"/>
      <c r="B27" s="374" t="s">
        <v>303</v>
      </c>
      <c r="C27" s="375">
        <f>SUM(D27:BM27)</f>
        <v>722616509</v>
      </c>
      <c r="D27" s="313">
        <f>'2025年12月収益'!C30</f>
        <v>31242527</v>
      </c>
      <c r="E27" s="314"/>
      <c r="F27" s="314"/>
      <c r="G27" s="313">
        <f>'2025年11月収益'!C30</f>
        <v>33610642.28</v>
      </c>
      <c r="H27" s="314"/>
      <c r="I27" s="314"/>
      <c r="J27" s="313">
        <f>'2025年10月収益'!C30</f>
        <v>30910896.44</v>
      </c>
      <c r="K27" s="314"/>
      <c r="L27" s="314"/>
      <c r="M27" s="313">
        <f>'2025年9月収益D'!C30</f>
        <v>31772784</v>
      </c>
      <c r="N27" s="314"/>
      <c r="O27" s="314"/>
      <c r="P27" s="313">
        <f>'2025年8月収益'!C30</f>
        <v>23459499</v>
      </c>
      <c r="Q27" s="364"/>
      <c r="R27" s="363" t="str">
        <f t="shared" si="22"/>
        <v>　</v>
      </c>
      <c r="S27" s="313">
        <f>'2025年7月収益'!C30</f>
        <v>3791600.89</v>
      </c>
      <c r="T27" s="364"/>
      <c r="U27" s="363" t="str">
        <f t="shared" si="23"/>
        <v>　</v>
      </c>
      <c r="V27" s="313">
        <f>'2025年6月収益'!C30</f>
        <v>69120861.61</v>
      </c>
      <c r="W27" s="364"/>
      <c r="X27" s="363" t="str">
        <f t="shared" si="24"/>
        <v>　</v>
      </c>
      <c r="Y27" s="313">
        <f>'2025年5月収益'!C30</f>
        <v>21494893.73</v>
      </c>
      <c r="Z27" s="364"/>
      <c r="AA27" s="363" t="str">
        <f t="shared" si="25"/>
        <v>　</v>
      </c>
      <c r="AB27" s="411">
        <f>'2025年4月収益'!C30</f>
        <v>62624282.05</v>
      </c>
      <c r="AC27" s="364"/>
      <c r="AD27" s="363" t="str">
        <f t="shared" si="26"/>
        <v>　</v>
      </c>
      <c r="AE27" s="411">
        <f>'2025年3月収益'!C30</f>
        <v>73575372</v>
      </c>
      <c r="AF27" s="364"/>
      <c r="AG27" s="363" t="str">
        <f t="shared" si="39"/>
        <v>　</v>
      </c>
      <c r="AH27" s="411">
        <f>'2025年2月収益'!C30</f>
        <v>69761547.49</v>
      </c>
      <c r="AI27" s="364"/>
      <c r="AJ27" s="438" t="str">
        <f t="shared" ref="AJ27:AJ32" si="40">IFERROR(AH27/AI27, "　")</f>
        <v>　</v>
      </c>
      <c r="AK27" s="411">
        <f>'2025年1月収益'!C30</f>
        <v>64523087</v>
      </c>
      <c r="AL27" s="364"/>
      <c r="AM27" s="363"/>
      <c r="AN27" s="411">
        <f>'2024年12月収益'!C30</f>
        <v>113701202</v>
      </c>
      <c r="AO27" s="364"/>
      <c r="AP27" s="363"/>
      <c r="AQ27" s="411">
        <f>'2024年11月収益'!C30</f>
        <v>43746819.68</v>
      </c>
      <c r="AR27" s="364"/>
      <c r="AS27" s="363"/>
      <c r="AT27" s="313">
        <f>'2024年10月収益'!C30</f>
        <v>30881235.08</v>
      </c>
      <c r="AU27" s="364"/>
      <c r="AV27" s="363"/>
      <c r="AW27" s="374">
        <f>'2024年9月収益'!C30</f>
        <v>-9323620</v>
      </c>
      <c r="AX27" s="364"/>
      <c r="AY27" s="364"/>
      <c r="AZ27" s="364">
        <f>'2024年8月収益'!C30</f>
        <v>25420232</v>
      </c>
      <c r="BA27" s="364"/>
      <c r="BB27" s="359"/>
      <c r="BC27" s="374">
        <f>'2024年7月収益'!C30</f>
        <v>2302646.8</v>
      </c>
      <c r="BD27" s="364"/>
      <c r="BE27" s="364"/>
      <c r="BF27" s="373"/>
      <c r="BG27" s="373"/>
      <c r="BH27" s="373"/>
      <c r="BI27" s="373"/>
      <c r="BJ27" s="373"/>
      <c r="BK27" s="373"/>
      <c r="BL27" s="373"/>
      <c r="BM27" s="373"/>
      <c r="BN27" s="373"/>
      <c r="BO27" s="373"/>
      <c r="BP27" s="373"/>
      <c r="BQ27" s="373"/>
      <c r="BR27" s="373"/>
    </row>
    <row r="28">
      <c r="A28" s="376"/>
      <c r="B28" s="377" t="s">
        <v>304</v>
      </c>
      <c r="C28" s="378">
        <f t="shared" ref="C28:C29" si="41">SUM(G28:BM28)</f>
        <v>140094324.9</v>
      </c>
      <c r="D28" s="403">
        <f>'2025年12月収益'!C31</f>
        <v>6248505</v>
      </c>
      <c r="E28" s="319"/>
      <c r="F28" s="319"/>
      <c r="G28" s="403">
        <f>'2025年11月収益'!C31</f>
        <v>6722128.4</v>
      </c>
      <c r="H28" s="319"/>
      <c r="I28" s="319"/>
      <c r="J28" s="403">
        <f>'2025年10月収益'!C31</f>
        <v>6337611.4</v>
      </c>
      <c r="K28" s="319"/>
      <c r="L28" s="319"/>
      <c r="M28" s="403">
        <f>'2025年9月収益D'!C31</f>
        <v>6306878.4</v>
      </c>
      <c r="N28" s="319"/>
      <c r="O28" s="319"/>
      <c r="P28" s="405">
        <f>'2025年8月収益'!C31</f>
        <v>5174440</v>
      </c>
      <c r="Q28" s="382"/>
      <c r="R28" s="324" t="str">
        <f t="shared" si="22"/>
        <v>　</v>
      </c>
      <c r="S28" s="430">
        <f>'2025年7月収益'!C31</f>
        <v>760833.924</v>
      </c>
      <c r="T28" s="384"/>
      <c r="U28" s="327" t="str">
        <f t="shared" si="23"/>
        <v>　</v>
      </c>
      <c r="V28" s="431">
        <v>1.3824172E7</v>
      </c>
      <c r="W28" s="386"/>
      <c r="X28" s="330" t="str">
        <f t="shared" si="24"/>
        <v>　</v>
      </c>
      <c r="Y28" s="432">
        <v>5025483.182</v>
      </c>
      <c r="Z28" s="388"/>
      <c r="AA28" s="333" t="str">
        <f t="shared" si="25"/>
        <v>　</v>
      </c>
      <c r="AB28" s="439">
        <v>1.252485639E7</v>
      </c>
      <c r="AC28" s="389"/>
      <c r="AD28" s="336" t="str">
        <f t="shared" si="26"/>
        <v>　</v>
      </c>
      <c r="AE28" s="440">
        <v>1.4714017E7</v>
      </c>
      <c r="AF28" s="390"/>
      <c r="AG28" s="339" t="str">
        <f t="shared" si="39"/>
        <v>　</v>
      </c>
      <c r="AH28" s="435">
        <f>'2025年2月収益'!C31</f>
        <v>13952309.4</v>
      </c>
      <c r="AI28" s="391"/>
      <c r="AJ28" s="342" t="str">
        <f t="shared" si="40"/>
        <v>　</v>
      </c>
      <c r="AK28" s="436">
        <f>'2025年1月収益'!C31</f>
        <v>12717637.4</v>
      </c>
      <c r="AL28" s="392"/>
      <c r="AM28" s="345"/>
      <c r="AN28" s="437">
        <f>'2024年12月収益'!C31</f>
        <v>22740240.5</v>
      </c>
      <c r="AO28" s="393"/>
      <c r="AP28" s="348"/>
      <c r="AQ28" s="429">
        <f>'2024年11月収益'!C31</f>
        <v>9702782.8</v>
      </c>
      <c r="AR28" s="378"/>
      <c r="AS28" s="350"/>
      <c r="AT28" s="394">
        <f>'2024年10月収益'!C31</f>
        <v>6186256.224</v>
      </c>
      <c r="AU28" s="395"/>
      <c r="AV28" s="352"/>
      <c r="AW28" s="396">
        <f>'2024年9月収益'!C31</f>
        <v>-1679368.405</v>
      </c>
      <c r="AX28" s="397"/>
      <c r="AY28" s="354" t="str">
        <f>IFERROR(AW28/AX28, "　")</f>
        <v>　</v>
      </c>
      <c r="AZ28" s="398">
        <f>'2024年8月収益'!C31</f>
        <v>5084046.308</v>
      </c>
      <c r="BA28" s="398"/>
      <c r="BB28" s="356"/>
      <c r="BC28" s="399">
        <f>'2024年7月収益'!C31</f>
        <v>0</v>
      </c>
      <c r="BD28" s="400"/>
      <c r="BE28" s="400"/>
      <c r="BF28" s="376"/>
      <c r="BG28" s="376"/>
      <c r="BH28" s="376"/>
      <c r="BI28" s="376"/>
      <c r="BJ28" s="376"/>
      <c r="BK28" s="376"/>
      <c r="BL28" s="376"/>
      <c r="BM28" s="376"/>
      <c r="BN28" s="376"/>
      <c r="BO28" s="376"/>
      <c r="BP28" s="376"/>
      <c r="BQ28" s="376"/>
      <c r="BR28" s="376"/>
    </row>
    <row r="29">
      <c r="A29" s="373"/>
      <c r="B29" s="374" t="s">
        <v>305</v>
      </c>
      <c r="C29" s="375">
        <f t="shared" si="41"/>
        <v>157606115.9</v>
      </c>
      <c r="D29" s="313">
        <f>'2025年12月収益'!C32</f>
        <v>7029569</v>
      </c>
      <c r="E29" s="314"/>
      <c r="F29" s="314"/>
      <c r="G29" s="313">
        <f>'2025年11月収益'!C32</f>
        <v>7562394.45</v>
      </c>
      <c r="H29" s="314"/>
      <c r="I29" s="314"/>
      <c r="J29" s="313">
        <f>'2025年10月収益'!C32</f>
        <v>7129812.825</v>
      </c>
      <c r="K29" s="314"/>
      <c r="L29" s="314"/>
      <c r="M29" s="313">
        <f>'2025年9月収益D'!C32</f>
        <v>7095238.2</v>
      </c>
      <c r="N29" s="314"/>
      <c r="O29" s="314"/>
      <c r="P29" s="313">
        <f>'2025年8月収益'!C32</f>
        <v>5821245</v>
      </c>
      <c r="Q29" s="364"/>
      <c r="R29" s="363" t="str">
        <f t="shared" si="22"/>
        <v>　</v>
      </c>
      <c r="S29" s="313">
        <f>'2025年7月収益'!C32</f>
        <v>855938.1645</v>
      </c>
      <c r="T29" s="364"/>
      <c r="U29" s="363" t="str">
        <f t="shared" si="23"/>
        <v>　</v>
      </c>
      <c r="V29" s="313">
        <v>1.5552194E7</v>
      </c>
      <c r="W29" s="364"/>
      <c r="X29" s="363" t="str">
        <f t="shared" si="24"/>
        <v>　</v>
      </c>
      <c r="Y29" s="411">
        <v>5653668.57975</v>
      </c>
      <c r="Z29" s="364"/>
      <c r="AA29" s="363" t="str">
        <f t="shared" si="25"/>
        <v>　</v>
      </c>
      <c r="AB29" s="411">
        <v>1.409046343875E7</v>
      </c>
      <c r="AC29" s="364"/>
      <c r="AD29" s="363" t="str">
        <f t="shared" si="26"/>
        <v>　</v>
      </c>
      <c r="AE29" s="313">
        <v>1.6553269E7</v>
      </c>
      <c r="AF29" s="364"/>
      <c r="AG29" s="363" t="str">
        <f t="shared" si="39"/>
        <v>　</v>
      </c>
      <c r="AH29" s="411">
        <f>'2025年2月収益'!C32</f>
        <v>15696348.08</v>
      </c>
      <c r="AI29" s="364"/>
      <c r="AJ29" s="438" t="str">
        <f t="shared" si="40"/>
        <v>　</v>
      </c>
      <c r="AK29" s="411">
        <f>'2025年1月収益'!C32</f>
        <v>14307342.08</v>
      </c>
      <c r="AL29" s="364"/>
      <c r="AM29" s="363">
        <f t="shared" ref="AM29:AM30" si="42">IFERROR(AL29/AK29, "　")</f>
        <v>0</v>
      </c>
      <c r="AN29" s="411">
        <f>'2024年12月収益'!C32</f>
        <v>25582770.56</v>
      </c>
      <c r="AO29" s="364"/>
      <c r="AP29" s="363"/>
      <c r="AQ29" s="411">
        <f>'2024年11月収益'!C32</f>
        <v>10915630.65</v>
      </c>
      <c r="AR29" s="364"/>
      <c r="AS29" s="363"/>
      <c r="AT29" s="313">
        <f>'2024年10月収益'!C32</f>
        <v>6959538.252</v>
      </c>
      <c r="AU29" s="364"/>
      <c r="AV29" s="363"/>
      <c r="AW29" s="374">
        <f>'2024年9月収益'!C32</f>
        <v>-1889289.455</v>
      </c>
      <c r="AX29" s="364"/>
      <c r="AY29" s="364"/>
      <c r="AZ29" s="364">
        <f>'2024年8月収益'!C32</f>
        <v>5719552.097</v>
      </c>
      <c r="BA29" s="364"/>
      <c r="BB29" s="359"/>
      <c r="BC29" s="374">
        <f>'2024年7月収益'!C32</f>
        <v>0</v>
      </c>
      <c r="BD29" s="364"/>
      <c r="BE29" s="364"/>
      <c r="BF29" s="373"/>
      <c r="BG29" s="373"/>
      <c r="BH29" s="373"/>
      <c r="BI29" s="373"/>
      <c r="BJ29" s="373"/>
      <c r="BK29" s="373"/>
      <c r="BL29" s="373"/>
      <c r="BM29" s="373"/>
      <c r="BN29" s="373"/>
      <c r="BO29" s="373"/>
      <c r="BP29" s="373"/>
      <c r="BQ29" s="373"/>
      <c r="BR29" s="373"/>
    </row>
    <row r="30">
      <c r="A30" s="376"/>
      <c r="B30" s="377" t="s">
        <v>306</v>
      </c>
      <c r="C30" s="378">
        <f>SUM(D30:BM30)</f>
        <v>193303303</v>
      </c>
      <c r="D30" s="379" t="str">
        <f>'2025年12月収益'!C41</f>
        <v/>
      </c>
      <c r="E30" s="319"/>
      <c r="F30" s="319"/>
      <c r="G30" s="379">
        <f>'2025年11月収益'!C41</f>
        <v>9242926.55</v>
      </c>
      <c r="H30" s="319"/>
      <c r="I30" s="319"/>
      <c r="J30" s="379">
        <f>'2025年10月収益'!C41</f>
        <v>8714215.675</v>
      </c>
      <c r="K30" s="319"/>
      <c r="L30" s="319"/>
      <c r="M30" s="379">
        <f>'2025年9月収益D'!C41</f>
        <v>8671957.8</v>
      </c>
      <c r="N30" s="319"/>
      <c r="O30" s="319"/>
      <c r="P30" s="381">
        <f>'2025年8月収益'!C41</f>
        <v>7114855</v>
      </c>
      <c r="Q30" s="382"/>
      <c r="R30" s="324" t="str">
        <f t="shared" si="22"/>
        <v>　</v>
      </c>
      <c r="S30" s="383">
        <f>'2025年7月収益'!C41</f>
        <v>1046146.646</v>
      </c>
      <c r="T30" s="384"/>
      <c r="U30" s="327" t="str">
        <f t="shared" si="23"/>
        <v>　</v>
      </c>
      <c r="V30" s="431">
        <v>1.9008237E7</v>
      </c>
      <c r="W30" s="386"/>
      <c r="X30" s="330" t="str">
        <f t="shared" si="24"/>
        <v>　</v>
      </c>
      <c r="Y30" s="388">
        <f>'2025年5月収益'!C41</f>
        <v>6910039.375</v>
      </c>
      <c r="Z30" s="388"/>
      <c r="AA30" s="333" t="str">
        <f t="shared" si="25"/>
        <v>　</v>
      </c>
      <c r="AB30" s="389">
        <f>'2025年4月収益'!C41</f>
        <v>17221677.54</v>
      </c>
      <c r="AC30" s="389"/>
      <c r="AD30" s="336" t="str">
        <f t="shared" si="26"/>
        <v>　</v>
      </c>
      <c r="AE30" s="390">
        <f>'2025年3月収益'!C41</f>
        <v>20231773.1</v>
      </c>
      <c r="AF30" s="390"/>
      <c r="AG30" s="339" t="str">
        <f t="shared" si="39"/>
        <v>　</v>
      </c>
      <c r="AH30" s="391">
        <f>'2025年2月収益'!C41</f>
        <v>19184425.43</v>
      </c>
      <c r="AI30" s="391"/>
      <c r="AJ30" s="342" t="str">
        <f t="shared" si="40"/>
        <v>　</v>
      </c>
      <c r="AK30" s="392">
        <f>'2025年1月収益'!C41</f>
        <v>17486751.43</v>
      </c>
      <c r="AL30" s="392"/>
      <c r="AM30" s="345">
        <f t="shared" si="42"/>
        <v>0</v>
      </c>
      <c r="AN30" s="393">
        <f>'2024年12月収益'!C41</f>
        <v>31267830.69</v>
      </c>
      <c r="AO30" s="393"/>
      <c r="AP30" s="348">
        <f>IFERROR(AO30/AN30, "　")</f>
        <v>0</v>
      </c>
      <c r="AQ30" s="378">
        <f>'2024年11月収益'!C41</f>
        <v>13341326.35</v>
      </c>
      <c r="AR30" s="378"/>
      <c r="AS30" s="350"/>
      <c r="AT30" s="394">
        <f>'2024年10月収益'!C41</f>
        <v>8506102.308</v>
      </c>
      <c r="AU30" s="395"/>
      <c r="AV30" s="352"/>
      <c r="AW30" s="396">
        <f>'2024年9月収益'!C41</f>
        <v>-2309131.556</v>
      </c>
      <c r="AX30" s="397"/>
      <c r="AY30" s="354" t="str">
        <f>IFERROR(AW30/AX30, "　")</f>
        <v>　</v>
      </c>
      <c r="AZ30" s="398">
        <f>'2024年8月収益'!C41</f>
        <v>6990563.674</v>
      </c>
      <c r="BA30" s="398"/>
      <c r="BB30" s="356"/>
      <c r="BC30" s="399">
        <f>'2024年7月収益'!C41</f>
        <v>673606</v>
      </c>
      <c r="BD30" s="400"/>
      <c r="BE30" s="400"/>
      <c r="BF30" s="376"/>
      <c r="BG30" s="376"/>
      <c r="BH30" s="376"/>
      <c r="BI30" s="376"/>
      <c r="BJ30" s="376"/>
      <c r="BK30" s="376"/>
      <c r="BL30" s="376"/>
      <c r="BM30" s="376"/>
      <c r="BN30" s="376"/>
      <c r="BO30" s="376"/>
      <c r="BP30" s="376"/>
      <c r="BQ30" s="376"/>
      <c r="BR30" s="376"/>
    </row>
    <row r="31">
      <c r="A31" s="373"/>
      <c r="B31" s="374" t="s">
        <v>307</v>
      </c>
      <c r="C31" s="375">
        <f t="shared" ref="C31:C33" si="43">SUM(G31:BM31)</f>
        <v>259237384.5</v>
      </c>
      <c r="D31" s="374">
        <f>'2025年12月収益'!C40</f>
        <v>62559986.46</v>
      </c>
      <c r="E31" s="314"/>
      <c r="F31" s="314"/>
      <c r="G31" s="374">
        <f>'2025年11月収益'!C40</f>
        <v>15297170.45</v>
      </c>
      <c r="H31" s="314"/>
      <c r="I31" s="314"/>
      <c r="J31" s="374">
        <f>'2025年10月収益'!C40</f>
        <v>14157281.71</v>
      </c>
      <c r="K31" s="314"/>
      <c r="L31" s="314"/>
      <c r="M31" s="374">
        <f>'2025年9月収益D'!C40</f>
        <v>16197193.88</v>
      </c>
      <c r="N31" s="314"/>
      <c r="O31" s="314"/>
      <c r="P31" s="374">
        <f>'2025年8月収益'!C40</f>
        <v>7321812.717</v>
      </c>
      <c r="Q31" s="364"/>
      <c r="R31" s="363" t="str">
        <f t="shared" si="22"/>
        <v>　</v>
      </c>
      <c r="S31" s="374">
        <f>'2025年7月収益'!C40</f>
        <v>25992405.41</v>
      </c>
      <c r="T31" s="364"/>
      <c r="U31" s="363" t="str">
        <f t="shared" si="23"/>
        <v>　</v>
      </c>
      <c r="V31" s="374">
        <f>'2025年6月収益'!C40</f>
        <v>15775813.52</v>
      </c>
      <c r="W31" s="364"/>
      <c r="X31" s="363" t="str">
        <f t="shared" si="24"/>
        <v>　</v>
      </c>
      <c r="Y31" s="364">
        <f>'2025年5月収益'!C40</f>
        <v>22380220.52</v>
      </c>
      <c r="Z31" s="364"/>
      <c r="AA31" s="363" t="str">
        <f t="shared" si="25"/>
        <v>　</v>
      </c>
      <c r="AB31" s="364">
        <f>'2025年4月収益'!C40</f>
        <v>19903104.29</v>
      </c>
      <c r="AC31" s="364"/>
      <c r="AD31" s="363" t="str">
        <f t="shared" si="26"/>
        <v>　</v>
      </c>
      <c r="AE31" s="364">
        <f>'2025年3月収益'!C40</f>
        <v>19965510.84</v>
      </c>
      <c r="AF31" s="364"/>
      <c r="AG31" s="363" t="str">
        <f t="shared" si="39"/>
        <v>　</v>
      </c>
      <c r="AH31" s="364">
        <f>'2025年2月収益'!C40</f>
        <v>17858544.37</v>
      </c>
      <c r="AI31" s="364"/>
      <c r="AJ31" s="438" t="str">
        <f t="shared" si="40"/>
        <v>　</v>
      </c>
      <c r="AK31" s="364">
        <f>'2025年1月収益'!C40</f>
        <v>15706128.67</v>
      </c>
      <c r="AL31" s="364"/>
      <c r="AM31" s="363"/>
      <c r="AN31" s="364">
        <f>'2024年12月収益'!C40</f>
        <v>34095525.19</v>
      </c>
      <c r="AO31" s="364"/>
      <c r="AP31" s="363"/>
      <c r="AQ31" s="364">
        <f>'2024年11月収益'!C40</f>
        <v>11403531.9</v>
      </c>
      <c r="AR31" s="364"/>
      <c r="AS31" s="363"/>
      <c r="AT31" s="313">
        <f>'2024年10月収益'!C40</f>
        <v>8440091.077</v>
      </c>
      <c r="AU31" s="364"/>
      <c r="AV31" s="363"/>
      <c r="AW31" s="374">
        <f>'2024年9月収益'!C40</f>
        <v>5288634.72</v>
      </c>
      <c r="AX31" s="364"/>
      <c r="AY31" s="364"/>
      <c r="AZ31" s="364">
        <f>'2024年8月収益'!C40</f>
        <v>7375620.749</v>
      </c>
      <c r="BA31" s="364"/>
      <c r="BB31" s="359"/>
      <c r="BC31" s="374">
        <f>'2024年7月収益'!C40</f>
        <v>2078794.45</v>
      </c>
      <c r="BD31" s="364"/>
      <c r="BE31" s="364"/>
      <c r="BF31" s="373"/>
      <c r="BG31" s="373"/>
      <c r="BH31" s="373"/>
      <c r="BI31" s="373"/>
      <c r="BJ31" s="373"/>
      <c r="BK31" s="373"/>
      <c r="BL31" s="373"/>
      <c r="BM31" s="373"/>
      <c r="BN31" s="373"/>
      <c r="BO31" s="373"/>
      <c r="BP31" s="373"/>
      <c r="BQ31" s="373"/>
      <c r="BR31" s="373"/>
    </row>
    <row r="32">
      <c r="A32" s="376"/>
      <c r="B32" s="441" t="s">
        <v>308</v>
      </c>
      <c r="C32" s="442">
        <f t="shared" si="43"/>
        <v>-54507312.09</v>
      </c>
      <c r="D32" s="403">
        <f>'2025年12月収益'!C42</f>
        <v>-44595533.46</v>
      </c>
      <c r="E32" s="443"/>
      <c r="F32" s="443"/>
      <c r="G32" s="403">
        <f>'2025年11月収益'!C42</f>
        <v>-5213977.576</v>
      </c>
      <c r="H32" s="443"/>
      <c r="I32" s="443"/>
      <c r="J32" s="403">
        <f>'2025年10月収益'!C42</f>
        <v>-5428025.174</v>
      </c>
      <c r="K32" s="443"/>
      <c r="L32" s="443"/>
      <c r="M32" s="403">
        <f>'2025年9月収益D'!C42</f>
        <v>-6498484.284</v>
      </c>
      <c r="N32" s="443"/>
      <c r="O32" s="443"/>
      <c r="P32" s="405">
        <f>'2025年8月収益'!C42</f>
        <v>2386980.283</v>
      </c>
      <c r="Q32" s="444"/>
      <c r="R32" s="445" t="str">
        <f t="shared" si="22"/>
        <v>　</v>
      </c>
      <c r="S32" s="430">
        <f>'2025年7月収益'!C42</f>
        <v>-24863723.26</v>
      </c>
      <c r="T32" s="446"/>
      <c r="U32" s="447" t="str">
        <f t="shared" si="23"/>
        <v>　</v>
      </c>
      <c r="V32" s="448">
        <f>'2025年6月収益'!C42</f>
        <v>4960444.968</v>
      </c>
      <c r="W32" s="449"/>
      <c r="X32" s="450" t="str">
        <f t="shared" si="24"/>
        <v>　</v>
      </c>
      <c r="Y32" s="451">
        <f>'2025年5月収益'!C42</f>
        <v>-18474517.93</v>
      </c>
      <c r="Z32" s="451"/>
      <c r="AA32" s="452" t="str">
        <f t="shared" si="25"/>
        <v>　</v>
      </c>
      <c r="AB32" s="453">
        <f>'2025年4月収益'!C42</f>
        <v>-1115819.608</v>
      </c>
      <c r="AC32" s="453"/>
      <c r="AD32" s="454" t="str">
        <f t="shared" si="26"/>
        <v>　</v>
      </c>
      <c r="AE32" s="455">
        <f>'2025年3月収益'!C42</f>
        <v>2110802.356</v>
      </c>
      <c r="AF32" s="455"/>
      <c r="AG32" s="456" t="str">
        <f t="shared" si="39"/>
        <v>　</v>
      </c>
      <c r="AH32" s="457">
        <f>'2025年2月収益'!C42</f>
        <v>3069920.217</v>
      </c>
      <c r="AI32" s="457"/>
      <c r="AJ32" s="458" t="str">
        <f t="shared" si="40"/>
        <v>　</v>
      </c>
      <c r="AK32" s="459">
        <f>'2025年1月収益'!C42</f>
        <v>4305227.433</v>
      </c>
      <c r="AL32" s="459"/>
      <c r="AM32" s="460">
        <f>IFERROR(AL32/AK32, "　")</f>
        <v>0</v>
      </c>
      <c r="AN32" s="461">
        <f>'2024年12月収益'!C42</f>
        <v>14835.0642</v>
      </c>
      <c r="AO32" s="461"/>
      <c r="AP32" s="462">
        <f>IFERROR(AO32/AN32, "　")</f>
        <v>0</v>
      </c>
      <c r="AQ32" s="463">
        <f>'2024年11月収益'!C42</f>
        <v>-1616452.022</v>
      </c>
      <c r="AR32" s="463"/>
      <c r="AS32" s="464"/>
      <c r="AT32" s="465">
        <f>'2024年10月収益'!C42</f>
        <v>789247.2186</v>
      </c>
      <c r="AU32" s="465"/>
      <c r="AV32" s="466"/>
      <c r="AW32" s="467">
        <f>'2024年9月収益'!C42</f>
        <v>-8734465.304</v>
      </c>
      <c r="AX32" s="467"/>
      <c r="AY32" s="468" t="str">
        <f>IFERROR(AW32/AX32, "　")</f>
        <v>　</v>
      </c>
      <c r="AZ32" s="469">
        <f>'2024年8月収益'!C42</f>
        <v>250449.1734</v>
      </c>
      <c r="BA32" s="469"/>
      <c r="BB32" s="470"/>
      <c r="BC32" s="471">
        <f>'2024年7月収益'!C42</f>
        <v>-449753.65</v>
      </c>
      <c r="BD32" s="471"/>
      <c r="BE32" s="471"/>
      <c r="BF32" s="376"/>
      <c r="BG32" s="376"/>
      <c r="BH32" s="376"/>
      <c r="BI32" s="376"/>
      <c r="BJ32" s="376"/>
      <c r="BK32" s="376"/>
      <c r="BL32" s="376"/>
      <c r="BM32" s="376"/>
      <c r="BN32" s="376"/>
      <c r="BO32" s="376"/>
      <c r="BP32" s="376"/>
      <c r="BQ32" s="376"/>
      <c r="BR32" s="376"/>
    </row>
    <row r="33">
      <c r="A33" s="472"/>
      <c r="B33" s="473" t="s">
        <v>309</v>
      </c>
      <c r="C33" s="474">
        <f t="shared" si="43"/>
        <v>134930133.9</v>
      </c>
      <c r="D33" s="374">
        <f>D30+D32</f>
        <v>-44595533.46</v>
      </c>
      <c r="E33" s="313"/>
      <c r="F33" s="313"/>
      <c r="G33" s="374">
        <f>G30+G32</f>
        <v>4028948.974</v>
      </c>
      <c r="H33" s="313"/>
      <c r="I33" s="313"/>
      <c r="J33" s="374">
        <f>J30+J32</f>
        <v>3286190.501</v>
      </c>
      <c r="K33" s="313"/>
      <c r="L33" s="313"/>
      <c r="M33" s="475">
        <f>M30+M32</f>
        <v>2173473.516</v>
      </c>
      <c r="N33" s="313"/>
      <c r="O33" s="313"/>
      <c r="P33" s="476">
        <f>P30+P32</f>
        <v>9501835.283</v>
      </c>
      <c r="Q33" s="477"/>
      <c r="R33" s="477"/>
      <c r="S33" s="374">
        <f>S30+S32</f>
        <v>-23817576.61</v>
      </c>
      <c r="T33" s="477"/>
      <c r="U33" s="477"/>
      <c r="V33" s="478">
        <f>V30+V32</f>
        <v>23968681.97</v>
      </c>
      <c r="W33" s="477"/>
      <c r="X33" s="477"/>
      <c r="Y33" s="479">
        <f>Y30+Y32</f>
        <v>-11564478.55</v>
      </c>
      <c r="Z33" s="480"/>
      <c r="AA33" s="480"/>
      <c r="AB33" s="479">
        <f>AB30+AB32</f>
        <v>16105857.93</v>
      </c>
      <c r="AC33" s="480"/>
      <c r="AD33" s="480"/>
      <c r="AE33" s="479">
        <f>AE30+AE32-3865857</f>
        <v>18476718.46</v>
      </c>
      <c r="AF33" s="480"/>
      <c r="AG33" s="480"/>
      <c r="AH33" s="479">
        <f>AH30+AH32</f>
        <v>22254345.64</v>
      </c>
      <c r="AI33" s="480"/>
      <c r="AJ33" s="480"/>
      <c r="AK33" s="479">
        <f>AK30+AK32</f>
        <v>21791978.86</v>
      </c>
      <c r="AL33" s="480"/>
      <c r="AM33" s="480"/>
      <c r="AN33" s="479">
        <f>AN30+AN32</f>
        <v>31282665.75</v>
      </c>
      <c r="AO33" s="480"/>
      <c r="AP33" s="480"/>
      <c r="AQ33" s="479">
        <f>AQ30+AQ32</f>
        <v>11724874.33</v>
      </c>
      <c r="AR33" s="480"/>
      <c r="AS33" s="480"/>
      <c r="AT33" s="481">
        <f>AT30+AT32</f>
        <v>9295349.527</v>
      </c>
      <c r="AU33" s="480"/>
      <c r="AV33" s="480"/>
      <c r="AW33" s="479">
        <f>AW30+AW32</f>
        <v>-11043596.86</v>
      </c>
      <c r="AX33" s="480"/>
      <c r="AY33" s="480"/>
      <c r="AZ33" s="479">
        <f>AZ30+AZ32</f>
        <v>7241012.847</v>
      </c>
      <c r="BA33" s="480"/>
      <c r="BB33" s="480"/>
      <c r="BC33" s="479">
        <f>BC30+BC32</f>
        <v>223852.35</v>
      </c>
      <c r="BD33" s="480"/>
      <c r="BE33" s="480"/>
      <c r="BF33" s="472"/>
      <c r="BG33" s="472"/>
      <c r="BH33" s="472"/>
      <c r="BI33" s="472"/>
      <c r="BJ33" s="472"/>
      <c r="BK33" s="472"/>
      <c r="BL33" s="472"/>
      <c r="BM33" s="472"/>
      <c r="BN33" s="472"/>
      <c r="BO33" s="472"/>
      <c r="BP33" s="472"/>
      <c r="BQ33" s="472"/>
      <c r="BR33" s="472"/>
    </row>
    <row r="34">
      <c r="D34" s="319"/>
      <c r="E34" s="482"/>
      <c r="F34" s="482"/>
      <c r="G34" s="483"/>
      <c r="H34" s="482"/>
      <c r="I34" s="482"/>
      <c r="J34" s="379">
        <f>J33-3000000</f>
        <v>286190.5011</v>
      </c>
      <c r="K34" s="482"/>
      <c r="L34" s="482"/>
      <c r="M34" s="483"/>
      <c r="N34" s="482"/>
      <c r="O34" s="482"/>
      <c r="P34" s="484">
        <f>P33-3000000</f>
        <v>6501835.283</v>
      </c>
      <c r="Q34" s="485"/>
      <c r="R34" s="485"/>
      <c r="S34" s="486"/>
      <c r="T34" s="486"/>
      <c r="U34" s="486"/>
      <c r="V34" s="487">
        <f>V33-4000000</f>
        <v>19968681.97</v>
      </c>
      <c r="W34" s="488"/>
      <c r="X34" s="488"/>
      <c r="AB34" s="489">
        <f>AB33-3000000</f>
        <v>13105857.93</v>
      </c>
      <c r="AE34" s="489">
        <f>AE33-2900000</f>
        <v>15576718.46</v>
      </c>
      <c r="AF34" s="1" t="s">
        <v>310</v>
      </c>
      <c r="AJ34" s="79"/>
    </row>
    <row r="35">
      <c r="AJ35" s="79"/>
    </row>
    <row r="36">
      <c r="AJ36" s="79"/>
    </row>
    <row r="37">
      <c r="C37" s="490"/>
      <c r="D37" s="491"/>
      <c r="E37" s="491"/>
      <c r="F37" s="491"/>
      <c r="G37" s="491"/>
      <c r="H37" s="491"/>
      <c r="I37" s="491"/>
      <c r="J37" s="491"/>
      <c r="K37" s="491"/>
      <c r="L37" s="491"/>
      <c r="M37" s="491"/>
      <c r="N37" s="491"/>
      <c r="O37" s="491"/>
      <c r="P37" s="492"/>
      <c r="Q37" s="491"/>
      <c r="R37" s="491"/>
      <c r="S37" s="491"/>
      <c r="T37" s="491"/>
      <c r="U37" s="491"/>
      <c r="V37" s="491"/>
      <c r="W37" s="491"/>
      <c r="X37" s="491"/>
      <c r="Y37" s="491"/>
      <c r="Z37" s="491"/>
      <c r="AA37" s="491"/>
      <c r="AB37" s="491"/>
      <c r="AC37" s="493" t="s">
        <v>311</v>
      </c>
      <c r="AD37" s="494" t="s">
        <v>312</v>
      </c>
      <c r="AE37" s="495" t="s">
        <v>313</v>
      </c>
      <c r="AF37" s="496"/>
      <c r="AG37" s="491"/>
      <c r="AI37" s="497"/>
      <c r="AJ37" s="497"/>
    </row>
    <row r="38">
      <c r="C38" s="271"/>
      <c r="D38" s="492"/>
      <c r="E38" s="492"/>
      <c r="F38" s="492"/>
      <c r="G38" s="492"/>
      <c r="H38" s="492"/>
      <c r="I38" s="492"/>
      <c r="J38" s="492"/>
      <c r="K38" s="492"/>
      <c r="L38" s="492"/>
      <c r="M38" s="492"/>
      <c r="N38" s="492"/>
      <c r="O38" s="492"/>
      <c r="P38" s="492"/>
      <c r="Q38" s="492"/>
      <c r="R38" s="492"/>
      <c r="S38" s="492"/>
      <c r="T38" s="492"/>
      <c r="U38" s="492"/>
      <c r="V38" s="492"/>
      <c r="W38" s="492"/>
      <c r="X38" s="492"/>
      <c r="Y38" s="492"/>
      <c r="Z38" s="492"/>
      <c r="AA38" s="492"/>
      <c r="AB38" s="492"/>
      <c r="AC38" s="498">
        <f>27202467+31267831</f>
        <v>58470298</v>
      </c>
      <c r="AD38" s="499">
        <f>15900000+9956186</f>
        <v>25856186</v>
      </c>
      <c r="AE38" s="500">
        <f>62767490-3292820</f>
        <v>59474670</v>
      </c>
      <c r="AF38" s="496"/>
      <c r="AG38" s="501"/>
      <c r="AI38" s="502"/>
      <c r="AJ38" s="503"/>
      <c r="AK38" s="504"/>
    </row>
    <row r="39">
      <c r="AD39" s="505" t="s">
        <v>314</v>
      </c>
      <c r="AH39" s="506"/>
      <c r="AI39" s="507"/>
      <c r="AJ39" s="79"/>
    </row>
    <row r="40">
      <c r="AD40" s="508">
        <f>15900000-2900000-3000000-4000000-3000000-3000000</f>
        <v>0</v>
      </c>
      <c r="AJ40" s="79"/>
    </row>
    <row r="41">
      <c r="AD41" s="509"/>
      <c r="AI41" s="56"/>
      <c r="AJ41" s="79"/>
    </row>
    <row r="42">
      <c r="AI42" s="510"/>
      <c r="AJ42" s="79"/>
    </row>
    <row r="43">
      <c r="AJ43" s="79"/>
    </row>
    <row r="44">
      <c r="AJ44" s="79"/>
    </row>
    <row r="45">
      <c r="AJ45" s="79"/>
    </row>
    <row r="46">
      <c r="AJ46" s="79"/>
    </row>
    <row r="47">
      <c r="AJ47" s="79"/>
    </row>
    <row r="48">
      <c r="AJ48" s="79"/>
    </row>
    <row r="49">
      <c r="AJ49" s="79"/>
    </row>
    <row r="50">
      <c r="AJ50" s="79"/>
    </row>
    <row r="51">
      <c r="AJ51" s="79"/>
    </row>
    <row r="52">
      <c r="AJ52" s="79"/>
    </row>
    <row r="53">
      <c r="AJ53" s="79"/>
    </row>
    <row r="54">
      <c r="AJ54" s="79"/>
    </row>
    <row r="55">
      <c r="AJ55" s="79"/>
    </row>
    <row r="56">
      <c r="AJ56" s="79"/>
    </row>
    <row r="57">
      <c r="AJ57" s="79"/>
    </row>
    <row r="58">
      <c r="AJ58" s="79"/>
    </row>
    <row r="59">
      <c r="AJ59" s="79"/>
    </row>
    <row r="60">
      <c r="AJ60" s="79"/>
    </row>
    <row r="61">
      <c r="AJ61" s="79"/>
    </row>
    <row r="62">
      <c r="AJ62" s="79"/>
    </row>
    <row r="63">
      <c r="AJ63" s="79"/>
    </row>
    <row r="64">
      <c r="AJ64" s="79"/>
    </row>
    <row r="65">
      <c r="AJ65" s="79"/>
    </row>
    <row r="66">
      <c r="AJ66" s="79"/>
    </row>
    <row r="67">
      <c r="AJ67" s="79"/>
    </row>
    <row r="68">
      <c r="AJ68" s="79"/>
    </row>
    <row r="69">
      <c r="AJ69" s="79"/>
    </row>
    <row r="70">
      <c r="AJ70" s="79"/>
    </row>
    <row r="71">
      <c r="AJ71" s="79"/>
    </row>
    <row r="72">
      <c r="AJ72" s="79"/>
    </row>
    <row r="73">
      <c r="AJ73" s="79"/>
    </row>
    <row r="74">
      <c r="AJ74" s="79"/>
    </row>
    <row r="75">
      <c r="AJ75" s="79"/>
    </row>
    <row r="76">
      <c r="AJ76" s="79"/>
    </row>
    <row r="77">
      <c r="AJ77" s="79"/>
    </row>
    <row r="78">
      <c r="AJ78" s="79"/>
    </row>
    <row r="79">
      <c r="AJ79" s="79"/>
    </row>
    <row r="80">
      <c r="AJ80" s="79"/>
    </row>
    <row r="81">
      <c r="AJ81" s="79"/>
    </row>
    <row r="82">
      <c r="AJ82" s="79"/>
    </row>
    <row r="83">
      <c r="AJ83" s="79"/>
    </row>
    <row r="84">
      <c r="AJ84" s="79"/>
    </row>
    <row r="85">
      <c r="AJ85" s="79"/>
    </row>
    <row r="86">
      <c r="AJ86" s="79"/>
    </row>
    <row r="87">
      <c r="AJ87" s="79"/>
    </row>
    <row r="88">
      <c r="AJ88" s="79"/>
    </row>
    <row r="89">
      <c r="AJ89" s="79"/>
    </row>
    <row r="90">
      <c r="AJ90" s="79"/>
    </row>
    <row r="91">
      <c r="AJ91" s="79"/>
    </row>
    <row r="92">
      <c r="AJ92" s="79"/>
    </row>
    <row r="93">
      <c r="AJ93" s="79"/>
    </row>
    <row r="94">
      <c r="AJ94" s="79"/>
    </row>
    <row r="95">
      <c r="AJ95" s="79"/>
    </row>
    <row r="96">
      <c r="AJ96" s="79"/>
    </row>
    <row r="97">
      <c r="AJ97" s="79"/>
    </row>
    <row r="98">
      <c r="AJ98" s="79"/>
    </row>
    <row r="99">
      <c r="AJ99" s="79"/>
    </row>
    <row r="100">
      <c r="AJ100" s="79"/>
    </row>
    <row r="101">
      <c r="AJ101" s="79"/>
    </row>
    <row r="102">
      <c r="AJ102" s="79"/>
    </row>
    <row r="103">
      <c r="AJ103" s="79"/>
    </row>
    <row r="104">
      <c r="AJ104" s="79"/>
    </row>
    <row r="105">
      <c r="AJ105" s="79"/>
    </row>
    <row r="106">
      <c r="AJ106" s="79"/>
    </row>
    <row r="107">
      <c r="AJ107" s="79"/>
    </row>
    <row r="108">
      <c r="AJ108" s="79"/>
    </row>
    <row r="109">
      <c r="AJ109" s="79"/>
    </row>
    <row r="110">
      <c r="AJ110" s="79"/>
    </row>
    <row r="111">
      <c r="AJ111" s="79"/>
    </row>
    <row r="112">
      <c r="AJ112" s="79"/>
    </row>
    <row r="113">
      <c r="AJ113" s="79"/>
    </row>
    <row r="114">
      <c r="AJ114" s="79"/>
    </row>
    <row r="115">
      <c r="AJ115" s="79"/>
    </row>
    <row r="116">
      <c r="AJ116" s="79"/>
    </row>
    <row r="117">
      <c r="AJ117" s="79"/>
    </row>
    <row r="118">
      <c r="AJ118" s="79"/>
    </row>
    <row r="119">
      <c r="AJ119" s="79"/>
    </row>
    <row r="120">
      <c r="AJ120" s="79"/>
    </row>
    <row r="121">
      <c r="AJ121" s="79"/>
    </row>
    <row r="122">
      <c r="AJ122" s="79"/>
    </row>
    <row r="123">
      <c r="AJ123" s="79"/>
    </row>
    <row r="124">
      <c r="AJ124" s="79"/>
    </row>
    <row r="125">
      <c r="AJ125" s="79"/>
    </row>
    <row r="126">
      <c r="AJ126" s="79"/>
    </row>
    <row r="127">
      <c r="AJ127" s="79"/>
    </row>
    <row r="128">
      <c r="AJ128" s="79"/>
    </row>
    <row r="129">
      <c r="AJ129" s="79"/>
    </row>
    <row r="130">
      <c r="AJ130" s="79"/>
    </row>
    <row r="131">
      <c r="AJ131" s="79"/>
    </row>
    <row r="132">
      <c r="AJ132" s="79"/>
    </row>
    <row r="133">
      <c r="AJ133" s="79"/>
    </row>
    <row r="134">
      <c r="AJ134" s="79"/>
    </row>
    <row r="135">
      <c r="AJ135" s="79"/>
    </row>
    <row r="136">
      <c r="AJ136" s="79"/>
    </row>
    <row r="137">
      <c r="AJ137" s="79"/>
    </row>
    <row r="138">
      <c r="AJ138" s="79"/>
    </row>
    <row r="139">
      <c r="AJ139" s="79"/>
    </row>
    <row r="140">
      <c r="AJ140" s="79"/>
    </row>
    <row r="141">
      <c r="AJ141" s="79"/>
    </row>
    <row r="142">
      <c r="AJ142" s="79"/>
    </row>
    <row r="143">
      <c r="AJ143" s="79"/>
    </row>
    <row r="144">
      <c r="AJ144" s="79"/>
    </row>
    <row r="145">
      <c r="AJ145" s="79"/>
    </row>
    <row r="146">
      <c r="AJ146" s="79"/>
    </row>
    <row r="147">
      <c r="AJ147" s="79"/>
    </row>
    <row r="148">
      <c r="AJ148" s="79"/>
    </row>
    <row r="149">
      <c r="AJ149" s="79"/>
    </row>
    <row r="150">
      <c r="AJ150" s="79"/>
    </row>
    <row r="151">
      <c r="AJ151" s="79"/>
    </row>
    <row r="152">
      <c r="AJ152" s="79"/>
    </row>
    <row r="153">
      <c r="AJ153" s="79"/>
    </row>
    <row r="154">
      <c r="AJ154" s="79"/>
    </row>
    <row r="155">
      <c r="AJ155" s="79"/>
    </row>
    <row r="156">
      <c r="AJ156" s="79"/>
    </row>
    <row r="157">
      <c r="AJ157" s="79"/>
    </row>
    <row r="158">
      <c r="AJ158" s="79"/>
    </row>
    <row r="159">
      <c r="AJ159" s="79"/>
    </row>
    <row r="160">
      <c r="AJ160" s="79"/>
    </row>
    <row r="161">
      <c r="AJ161" s="79"/>
    </row>
    <row r="162">
      <c r="AJ162" s="79"/>
    </row>
    <row r="163">
      <c r="AJ163" s="79"/>
    </row>
    <row r="164">
      <c r="AJ164" s="79"/>
    </row>
    <row r="165">
      <c r="AJ165" s="79"/>
    </row>
    <row r="166">
      <c r="AJ166" s="79"/>
    </row>
    <row r="167">
      <c r="AJ167" s="79"/>
    </row>
    <row r="168">
      <c r="AJ168" s="79"/>
    </row>
    <row r="169">
      <c r="AJ169" s="79"/>
    </row>
    <row r="170">
      <c r="AJ170" s="79"/>
    </row>
    <row r="171">
      <c r="AJ171" s="79"/>
    </row>
    <row r="172">
      <c r="AJ172" s="79"/>
    </row>
    <row r="173">
      <c r="AJ173" s="79"/>
    </row>
    <row r="174">
      <c r="AJ174" s="79"/>
    </row>
    <row r="175">
      <c r="AJ175" s="79"/>
    </row>
    <row r="176">
      <c r="AJ176" s="79"/>
    </row>
    <row r="177">
      <c r="AJ177" s="79"/>
    </row>
    <row r="178">
      <c r="AJ178" s="79"/>
    </row>
    <row r="179">
      <c r="AJ179" s="79"/>
    </row>
    <row r="180">
      <c r="AJ180" s="79"/>
    </row>
    <row r="181">
      <c r="AJ181" s="79"/>
    </row>
    <row r="182">
      <c r="AJ182" s="79"/>
    </row>
    <row r="183">
      <c r="AJ183" s="79"/>
    </row>
    <row r="184">
      <c r="AJ184" s="79"/>
    </row>
    <row r="185">
      <c r="AJ185" s="79"/>
    </row>
    <row r="186">
      <c r="AJ186" s="79"/>
    </row>
    <row r="187">
      <c r="AJ187" s="79"/>
    </row>
    <row r="188">
      <c r="AJ188" s="79"/>
    </row>
    <row r="189">
      <c r="AJ189" s="79"/>
    </row>
    <row r="190">
      <c r="AJ190" s="79"/>
    </row>
    <row r="191">
      <c r="AJ191" s="79"/>
    </row>
    <row r="192">
      <c r="AJ192" s="79"/>
    </row>
    <row r="193">
      <c r="AJ193" s="79"/>
    </row>
    <row r="194">
      <c r="AJ194" s="79"/>
    </row>
    <row r="195">
      <c r="AJ195" s="79"/>
    </row>
    <row r="196">
      <c r="AJ196" s="79"/>
    </row>
    <row r="197">
      <c r="AJ197" s="79"/>
    </row>
    <row r="198">
      <c r="AJ198" s="79"/>
    </row>
    <row r="199">
      <c r="AJ199" s="79"/>
    </row>
    <row r="200">
      <c r="AJ200" s="79"/>
    </row>
    <row r="201">
      <c r="AJ201" s="79"/>
    </row>
    <row r="202">
      <c r="AJ202" s="79"/>
    </row>
    <row r="203">
      <c r="AJ203" s="79"/>
    </row>
    <row r="204">
      <c r="AJ204" s="79"/>
    </row>
    <row r="205">
      <c r="AJ205" s="79"/>
    </row>
    <row r="206">
      <c r="AJ206" s="79"/>
    </row>
    <row r="207">
      <c r="AJ207" s="79"/>
    </row>
    <row r="208">
      <c r="AJ208" s="79"/>
    </row>
    <row r="209">
      <c r="AJ209" s="79"/>
    </row>
    <row r="210">
      <c r="AJ210" s="79"/>
    </row>
    <row r="211">
      <c r="AJ211" s="79"/>
    </row>
    <row r="212">
      <c r="AJ212" s="79"/>
    </row>
    <row r="213">
      <c r="AJ213" s="79"/>
    </row>
    <row r="214">
      <c r="AJ214" s="79"/>
    </row>
    <row r="215">
      <c r="AJ215" s="79"/>
    </row>
    <row r="216">
      <c r="AJ216" s="79"/>
    </row>
    <row r="217">
      <c r="AJ217" s="79"/>
    </row>
    <row r="218">
      <c r="AJ218" s="79"/>
    </row>
    <row r="219">
      <c r="AJ219" s="79"/>
    </row>
    <row r="220">
      <c r="AJ220" s="79"/>
    </row>
    <row r="221">
      <c r="AJ221" s="79"/>
    </row>
    <row r="222">
      <c r="AJ222" s="79"/>
    </row>
    <row r="223">
      <c r="AJ223" s="79"/>
    </row>
    <row r="224">
      <c r="AJ224" s="79"/>
    </row>
    <row r="225">
      <c r="AJ225" s="79"/>
    </row>
    <row r="226">
      <c r="AJ226" s="79"/>
    </row>
    <row r="227">
      <c r="AJ227" s="79"/>
    </row>
    <row r="228">
      <c r="AJ228" s="79"/>
    </row>
    <row r="229">
      <c r="AJ229" s="79"/>
    </row>
    <row r="230">
      <c r="AJ230" s="79"/>
    </row>
    <row r="231">
      <c r="AJ231" s="79"/>
    </row>
    <row r="232">
      <c r="AJ232" s="79"/>
    </row>
    <row r="233">
      <c r="AJ233" s="79"/>
    </row>
    <row r="234">
      <c r="AJ234" s="79"/>
    </row>
    <row r="235">
      <c r="AJ235" s="79"/>
    </row>
    <row r="236">
      <c r="AJ236" s="79"/>
    </row>
    <row r="237">
      <c r="AJ237" s="79"/>
    </row>
    <row r="238">
      <c r="AJ238" s="79"/>
    </row>
    <row r="239">
      <c r="AJ239" s="79"/>
    </row>
    <row r="240">
      <c r="AJ240" s="79"/>
    </row>
    <row r="241">
      <c r="AJ241" s="79"/>
    </row>
    <row r="242">
      <c r="AJ242" s="79"/>
    </row>
    <row r="243">
      <c r="AJ243" s="79"/>
    </row>
    <row r="244">
      <c r="AJ244" s="79"/>
    </row>
    <row r="245">
      <c r="AJ245" s="79"/>
    </row>
    <row r="246">
      <c r="AJ246" s="79"/>
    </row>
    <row r="247">
      <c r="AJ247" s="79"/>
    </row>
    <row r="248">
      <c r="AJ248" s="79"/>
    </row>
    <row r="249">
      <c r="AJ249" s="79"/>
    </row>
    <row r="250">
      <c r="AJ250" s="79"/>
    </row>
    <row r="251">
      <c r="AJ251" s="79"/>
    </row>
    <row r="252">
      <c r="AJ252" s="79"/>
    </row>
    <row r="253">
      <c r="AJ253" s="79"/>
    </row>
    <row r="254">
      <c r="AJ254" s="79"/>
    </row>
    <row r="255">
      <c r="AJ255" s="79"/>
    </row>
    <row r="256">
      <c r="AJ256" s="79"/>
    </row>
    <row r="257">
      <c r="AJ257" s="79"/>
    </row>
    <row r="258">
      <c r="AJ258" s="79"/>
    </row>
    <row r="259">
      <c r="AJ259" s="79"/>
    </row>
    <row r="260">
      <c r="AJ260" s="79"/>
    </row>
    <row r="261">
      <c r="AJ261" s="79"/>
    </row>
    <row r="262">
      <c r="AJ262" s="79"/>
    </row>
    <row r="263">
      <c r="AJ263" s="79"/>
    </row>
    <row r="264">
      <c r="AJ264" s="79"/>
    </row>
    <row r="265">
      <c r="AJ265" s="79"/>
    </row>
    <row r="266">
      <c r="AJ266" s="79"/>
    </row>
    <row r="267">
      <c r="AJ267" s="79"/>
    </row>
    <row r="268">
      <c r="AJ268" s="79"/>
    </row>
    <row r="269">
      <c r="AJ269" s="79"/>
    </row>
    <row r="270">
      <c r="AJ270" s="79"/>
    </row>
    <row r="271">
      <c r="AJ271" s="79"/>
    </row>
    <row r="272">
      <c r="AJ272" s="79"/>
    </row>
    <row r="273">
      <c r="AJ273" s="79"/>
    </row>
    <row r="274">
      <c r="AJ274" s="79"/>
    </row>
    <row r="275">
      <c r="AJ275" s="79"/>
    </row>
    <row r="276">
      <c r="AJ276" s="79"/>
    </row>
    <row r="277">
      <c r="AJ277" s="79"/>
    </row>
    <row r="278">
      <c r="AJ278" s="79"/>
    </row>
    <row r="279">
      <c r="AJ279" s="79"/>
    </row>
    <row r="280">
      <c r="AJ280" s="79"/>
    </row>
    <row r="281">
      <c r="AJ281" s="79"/>
    </row>
    <row r="282">
      <c r="AJ282" s="79"/>
    </row>
    <row r="283">
      <c r="AJ283" s="79"/>
    </row>
    <row r="284">
      <c r="AJ284" s="79"/>
    </row>
    <row r="285">
      <c r="AJ285" s="79"/>
    </row>
    <row r="286">
      <c r="AJ286" s="79"/>
    </row>
    <row r="287">
      <c r="AJ287" s="79"/>
    </row>
    <row r="288">
      <c r="AJ288" s="79"/>
    </row>
    <row r="289">
      <c r="AJ289" s="79"/>
    </row>
    <row r="290">
      <c r="AJ290" s="79"/>
    </row>
    <row r="291">
      <c r="AJ291" s="79"/>
    </row>
    <row r="292">
      <c r="AJ292" s="79"/>
    </row>
    <row r="293">
      <c r="AJ293" s="79"/>
    </row>
    <row r="294">
      <c r="AJ294" s="79"/>
    </row>
    <row r="295">
      <c r="AJ295" s="79"/>
    </row>
    <row r="296">
      <c r="AJ296" s="79"/>
    </row>
    <row r="297">
      <c r="AJ297" s="79"/>
    </row>
    <row r="298">
      <c r="AJ298" s="79"/>
    </row>
    <row r="299">
      <c r="AJ299" s="79"/>
    </row>
    <row r="300">
      <c r="AJ300" s="79"/>
    </row>
    <row r="301">
      <c r="AJ301" s="79"/>
    </row>
    <row r="302">
      <c r="AJ302" s="79"/>
    </row>
    <row r="303">
      <c r="AJ303" s="79"/>
    </row>
    <row r="304">
      <c r="AJ304" s="79"/>
    </row>
    <row r="305">
      <c r="AJ305" s="79"/>
    </row>
    <row r="306">
      <c r="AJ306" s="79"/>
    </row>
    <row r="307">
      <c r="AJ307" s="79"/>
    </row>
    <row r="308">
      <c r="AJ308" s="79"/>
    </row>
    <row r="309">
      <c r="AJ309" s="79"/>
    </row>
    <row r="310">
      <c r="AJ310" s="79"/>
    </row>
    <row r="311">
      <c r="AJ311" s="79"/>
    </row>
    <row r="312">
      <c r="AJ312" s="79"/>
    </row>
    <row r="313">
      <c r="AJ313" s="79"/>
    </row>
    <row r="314">
      <c r="AJ314" s="79"/>
    </row>
    <row r="315">
      <c r="AJ315" s="79"/>
    </row>
    <row r="316">
      <c r="AJ316" s="79"/>
    </row>
    <row r="317">
      <c r="AJ317" s="79"/>
    </row>
    <row r="318">
      <c r="AJ318" s="79"/>
    </row>
    <row r="319">
      <c r="AJ319" s="79"/>
    </row>
    <row r="320">
      <c r="AJ320" s="79"/>
    </row>
    <row r="321">
      <c r="AJ321" s="79"/>
    </row>
    <row r="322">
      <c r="AJ322" s="79"/>
    </row>
    <row r="323">
      <c r="AJ323" s="79"/>
    </row>
    <row r="324">
      <c r="AJ324" s="79"/>
    </row>
    <row r="325">
      <c r="AJ325" s="79"/>
    </row>
    <row r="326">
      <c r="AJ326" s="79"/>
    </row>
    <row r="327">
      <c r="AJ327" s="79"/>
    </row>
    <row r="328">
      <c r="AJ328" s="79"/>
    </row>
    <row r="329">
      <c r="AJ329" s="79"/>
    </row>
    <row r="330">
      <c r="AJ330" s="79"/>
    </row>
    <row r="331">
      <c r="AJ331" s="79"/>
    </row>
    <row r="332">
      <c r="AJ332" s="79"/>
    </row>
    <row r="333">
      <c r="AJ333" s="79"/>
    </row>
    <row r="334">
      <c r="AJ334" s="79"/>
    </row>
    <row r="335">
      <c r="AJ335" s="79"/>
    </row>
    <row r="336">
      <c r="AJ336" s="79"/>
    </row>
    <row r="337">
      <c r="AJ337" s="79"/>
    </row>
    <row r="338">
      <c r="AJ338" s="79"/>
    </row>
    <row r="339">
      <c r="AJ339" s="79"/>
    </row>
    <row r="340">
      <c r="AJ340" s="79"/>
    </row>
    <row r="341">
      <c r="AJ341" s="79"/>
    </row>
    <row r="342">
      <c r="AJ342" s="79"/>
    </row>
    <row r="343">
      <c r="AJ343" s="79"/>
    </row>
    <row r="344">
      <c r="AJ344" s="79"/>
    </row>
    <row r="345">
      <c r="AJ345" s="79"/>
    </row>
    <row r="346">
      <c r="AJ346" s="79"/>
    </row>
    <row r="347">
      <c r="AJ347" s="79"/>
    </row>
    <row r="348">
      <c r="AJ348" s="79"/>
    </row>
    <row r="349">
      <c r="AJ349" s="79"/>
    </row>
    <row r="350">
      <c r="AJ350" s="79"/>
    </row>
    <row r="351">
      <c r="AJ351" s="79"/>
    </row>
    <row r="352">
      <c r="AJ352" s="79"/>
    </row>
    <row r="353">
      <c r="AJ353" s="79"/>
    </row>
    <row r="354">
      <c r="AJ354" s="79"/>
    </row>
    <row r="355">
      <c r="AJ355" s="79"/>
    </row>
    <row r="356">
      <c r="AJ356" s="79"/>
    </row>
    <row r="357">
      <c r="AJ357" s="79"/>
    </row>
    <row r="358">
      <c r="AJ358" s="79"/>
    </row>
    <row r="359">
      <c r="AJ359" s="79"/>
    </row>
    <row r="360">
      <c r="AJ360" s="79"/>
    </row>
    <row r="361">
      <c r="AJ361" s="79"/>
    </row>
    <row r="362">
      <c r="AJ362" s="79"/>
    </row>
    <row r="363">
      <c r="AJ363" s="79"/>
    </row>
    <row r="364">
      <c r="AJ364" s="79"/>
    </row>
    <row r="365">
      <c r="AJ365" s="79"/>
    </row>
    <row r="366">
      <c r="AJ366" s="79"/>
    </row>
    <row r="367">
      <c r="AJ367" s="79"/>
    </row>
    <row r="368">
      <c r="AJ368" s="79"/>
    </row>
    <row r="369">
      <c r="AJ369" s="79"/>
    </row>
    <row r="370">
      <c r="AJ370" s="79"/>
    </row>
    <row r="371">
      <c r="AJ371" s="79"/>
    </row>
    <row r="372">
      <c r="AJ372" s="79"/>
    </row>
    <row r="373">
      <c r="AJ373" s="79"/>
    </row>
    <row r="374">
      <c r="AJ374" s="79"/>
    </row>
    <row r="375">
      <c r="AJ375" s="79"/>
    </row>
    <row r="376">
      <c r="AJ376" s="79"/>
    </row>
    <row r="377">
      <c r="AJ377" s="79"/>
    </row>
    <row r="378">
      <c r="AJ378" s="79"/>
    </row>
    <row r="379">
      <c r="AJ379" s="79"/>
    </row>
    <row r="380">
      <c r="AJ380" s="79"/>
    </row>
    <row r="381">
      <c r="AJ381" s="79"/>
    </row>
    <row r="382">
      <c r="AJ382" s="79"/>
    </row>
    <row r="383">
      <c r="AJ383" s="79"/>
    </row>
    <row r="384">
      <c r="AJ384" s="79"/>
    </row>
    <row r="385">
      <c r="AJ385" s="79"/>
    </row>
    <row r="386">
      <c r="AJ386" s="79"/>
    </row>
    <row r="387">
      <c r="AJ387" s="79"/>
    </row>
    <row r="388">
      <c r="AJ388" s="79"/>
    </row>
    <row r="389">
      <c r="AJ389" s="79"/>
    </row>
    <row r="390">
      <c r="AJ390" s="79"/>
    </row>
    <row r="391">
      <c r="AJ391" s="79"/>
    </row>
    <row r="392">
      <c r="AJ392" s="79"/>
    </row>
    <row r="393">
      <c r="AJ393" s="79"/>
    </row>
    <row r="394">
      <c r="AJ394" s="79"/>
    </row>
    <row r="395">
      <c r="AJ395" s="79"/>
    </row>
    <row r="396">
      <c r="AJ396" s="79"/>
    </row>
    <row r="397">
      <c r="AJ397" s="79"/>
    </row>
    <row r="398">
      <c r="AJ398" s="79"/>
    </row>
    <row r="399">
      <c r="AJ399" s="79"/>
    </row>
    <row r="400">
      <c r="AJ400" s="79"/>
    </row>
    <row r="401">
      <c r="AJ401" s="79"/>
    </row>
    <row r="402">
      <c r="AJ402" s="79"/>
    </row>
    <row r="403">
      <c r="AJ403" s="79"/>
    </row>
    <row r="404">
      <c r="AJ404" s="79"/>
    </row>
    <row r="405">
      <c r="AJ405" s="79"/>
    </row>
    <row r="406">
      <c r="AJ406" s="79"/>
    </row>
    <row r="407">
      <c r="AJ407" s="79"/>
    </row>
    <row r="408">
      <c r="AJ408" s="79"/>
    </row>
    <row r="409">
      <c r="AJ409" s="79"/>
    </row>
    <row r="410">
      <c r="AJ410" s="79"/>
    </row>
    <row r="411">
      <c r="AJ411" s="79"/>
    </row>
    <row r="412">
      <c r="AJ412" s="79"/>
    </row>
    <row r="413">
      <c r="AJ413" s="79"/>
    </row>
    <row r="414">
      <c r="AJ414" s="79"/>
    </row>
    <row r="415">
      <c r="AJ415" s="79"/>
    </row>
    <row r="416">
      <c r="AJ416" s="79"/>
    </row>
    <row r="417">
      <c r="AJ417" s="79"/>
    </row>
    <row r="418">
      <c r="AJ418" s="79"/>
    </row>
    <row r="419">
      <c r="AJ419" s="79"/>
    </row>
    <row r="420">
      <c r="AJ420" s="79"/>
    </row>
    <row r="421">
      <c r="AJ421" s="79"/>
    </row>
    <row r="422">
      <c r="AJ422" s="79"/>
    </row>
    <row r="423">
      <c r="AJ423" s="79"/>
    </row>
    <row r="424">
      <c r="AJ424" s="79"/>
    </row>
    <row r="425">
      <c r="AJ425" s="79"/>
    </row>
    <row r="426">
      <c r="AJ426" s="79"/>
    </row>
    <row r="427">
      <c r="AJ427" s="79"/>
    </row>
    <row r="428">
      <c r="AJ428" s="79"/>
    </row>
    <row r="429">
      <c r="AJ429" s="79"/>
    </row>
    <row r="430">
      <c r="AJ430" s="79"/>
    </row>
    <row r="431">
      <c r="AJ431" s="79"/>
    </row>
    <row r="432">
      <c r="AJ432" s="79"/>
    </row>
    <row r="433">
      <c r="AJ433" s="79"/>
    </row>
    <row r="434">
      <c r="AJ434" s="79"/>
    </row>
    <row r="435">
      <c r="AJ435" s="79"/>
    </row>
    <row r="436">
      <c r="AJ436" s="79"/>
    </row>
    <row r="437">
      <c r="AJ437" s="79"/>
    </row>
    <row r="438">
      <c r="AJ438" s="79"/>
    </row>
    <row r="439">
      <c r="AJ439" s="79"/>
    </row>
    <row r="440">
      <c r="AJ440" s="79"/>
    </row>
    <row r="441">
      <c r="AJ441" s="79"/>
    </row>
    <row r="442">
      <c r="AJ442" s="79"/>
    </row>
    <row r="443">
      <c r="AJ443" s="79"/>
    </row>
    <row r="444">
      <c r="AJ444" s="79"/>
    </row>
    <row r="445">
      <c r="AJ445" s="79"/>
    </row>
    <row r="446">
      <c r="AJ446" s="79"/>
    </row>
    <row r="447">
      <c r="AJ447" s="79"/>
    </row>
    <row r="448">
      <c r="AJ448" s="79"/>
    </row>
    <row r="449">
      <c r="AJ449" s="79"/>
    </row>
    <row r="450">
      <c r="AJ450" s="79"/>
    </row>
    <row r="451">
      <c r="AJ451" s="79"/>
    </row>
    <row r="452">
      <c r="AJ452" s="79"/>
    </row>
    <row r="453">
      <c r="AJ453" s="79"/>
    </row>
    <row r="454">
      <c r="AJ454" s="79"/>
    </row>
    <row r="455">
      <c r="AJ455" s="79"/>
    </row>
    <row r="456">
      <c r="AJ456" s="79"/>
    </row>
    <row r="457">
      <c r="AJ457" s="79"/>
    </row>
    <row r="458">
      <c r="AJ458" s="79"/>
    </row>
    <row r="459">
      <c r="AJ459" s="79"/>
    </row>
    <row r="460">
      <c r="AJ460" s="79"/>
    </row>
    <row r="461">
      <c r="AJ461" s="79"/>
    </row>
    <row r="462">
      <c r="AJ462" s="79"/>
    </row>
    <row r="463">
      <c r="AJ463" s="79"/>
    </row>
    <row r="464">
      <c r="AJ464" s="79"/>
    </row>
    <row r="465">
      <c r="AJ465" s="79"/>
    </row>
    <row r="466">
      <c r="AJ466" s="79"/>
    </row>
    <row r="467">
      <c r="AJ467" s="79"/>
    </row>
    <row r="468">
      <c r="AJ468" s="79"/>
    </row>
    <row r="469">
      <c r="AJ469" s="79"/>
    </row>
    <row r="470">
      <c r="AJ470" s="79"/>
    </row>
    <row r="471">
      <c r="AJ471" s="79"/>
    </row>
    <row r="472">
      <c r="AJ472" s="79"/>
    </row>
    <row r="473">
      <c r="AJ473" s="79"/>
    </row>
    <row r="474">
      <c r="AJ474" s="79"/>
    </row>
    <row r="475">
      <c r="AJ475" s="79"/>
    </row>
    <row r="476">
      <c r="AJ476" s="79"/>
    </row>
    <row r="477">
      <c r="AJ477" s="79"/>
    </row>
    <row r="478">
      <c r="AJ478" s="79"/>
    </row>
    <row r="479">
      <c r="AJ479" s="79"/>
    </row>
    <row r="480">
      <c r="AJ480" s="79"/>
    </row>
    <row r="481">
      <c r="AJ481" s="79"/>
    </row>
    <row r="482">
      <c r="AJ482" s="79"/>
    </row>
    <row r="483">
      <c r="AJ483" s="79"/>
    </row>
    <row r="484">
      <c r="AJ484" s="79"/>
    </row>
    <row r="485">
      <c r="AJ485" s="79"/>
    </row>
    <row r="486">
      <c r="AJ486" s="79"/>
    </row>
    <row r="487">
      <c r="AJ487" s="79"/>
    </row>
    <row r="488">
      <c r="AJ488" s="79"/>
    </row>
    <row r="489">
      <c r="AJ489" s="79"/>
    </row>
    <row r="490">
      <c r="AJ490" s="79"/>
    </row>
    <row r="491">
      <c r="AJ491" s="79"/>
    </row>
    <row r="492">
      <c r="AJ492" s="79"/>
    </row>
    <row r="493">
      <c r="AJ493" s="79"/>
    </row>
    <row r="494">
      <c r="AJ494" s="79"/>
    </row>
    <row r="495">
      <c r="AJ495" s="79"/>
    </row>
    <row r="496">
      <c r="AJ496" s="79"/>
    </row>
    <row r="497">
      <c r="AJ497" s="79"/>
    </row>
    <row r="498">
      <c r="AJ498" s="79"/>
    </row>
    <row r="499">
      <c r="AJ499" s="79"/>
    </row>
    <row r="500">
      <c r="AJ500" s="79"/>
    </row>
    <row r="501">
      <c r="AJ501" s="79"/>
    </row>
    <row r="502">
      <c r="AJ502" s="79"/>
    </row>
    <row r="503">
      <c r="AJ503" s="79"/>
    </row>
    <row r="504">
      <c r="AJ504" s="79"/>
    </row>
    <row r="505">
      <c r="AJ505" s="79"/>
    </row>
    <row r="506">
      <c r="AJ506" s="79"/>
    </row>
    <row r="507">
      <c r="AJ507" s="79"/>
    </row>
    <row r="508">
      <c r="AJ508" s="79"/>
    </row>
    <row r="509">
      <c r="AJ509" s="79"/>
    </row>
    <row r="510">
      <c r="AJ510" s="79"/>
    </row>
    <row r="511">
      <c r="AJ511" s="79"/>
    </row>
    <row r="512">
      <c r="AJ512" s="79"/>
    </row>
    <row r="513">
      <c r="AJ513" s="79"/>
    </row>
    <row r="514">
      <c r="AJ514" s="79"/>
    </row>
    <row r="515">
      <c r="AJ515" s="79"/>
    </row>
    <row r="516">
      <c r="AJ516" s="79"/>
    </row>
    <row r="517">
      <c r="AJ517" s="79"/>
    </row>
    <row r="518">
      <c r="AJ518" s="79"/>
    </row>
    <row r="519">
      <c r="AJ519" s="79"/>
    </row>
    <row r="520">
      <c r="AJ520" s="79"/>
    </row>
    <row r="521">
      <c r="AJ521" s="79"/>
    </row>
    <row r="522">
      <c r="AJ522" s="79"/>
    </row>
    <row r="523">
      <c r="AJ523" s="79"/>
    </row>
    <row r="524">
      <c r="AJ524" s="79"/>
    </row>
    <row r="525">
      <c r="AJ525" s="79"/>
    </row>
    <row r="526">
      <c r="AJ526" s="79"/>
    </row>
    <row r="527">
      <c r="AJ527" s="79"/>
    </row>
    <row r="528">
      <c r="AJ528" s="79"/>
    </row>
    <row r="529">
      <c r="AJ529" s="79"/>
    </row>
    <row r="530">
      <c r="AJ530" s="79"/>
    </row>
    <row r="531">
      <c r="AJ531" s="79"/>
    </row>
    <row r="532">
      <c r="AJ532" s="79"/>
    </row>
    <row r="533">
      <c r="AJ533" s="79"/>
    </row>
    <row r="534">
      <c r="AJ534" s="79"/>
    </row>
    <row r="535">
      <c r="AJ535" s="79"/>
    </row>
    <row r="536">
      <c r="AJ536" s="79"/>
    </row>
    <row r="537">
      <c r="AJ537" s="79"/>
    </row>
    <row r="538">
      <c r="AJ538" s="79"/>
    </row>
    <row r="539">
      <c r="AJ539" s="79"/>
    </row>
    <row r="540">
      <c r="AJ540" s="79"/>
    </row>
    <row r="541">
      <c r="AJ541" s="79"/>
    </row>
    <row r="542">
      <c r="AJ542" s="79"/>
    </row>
    <row r="543">
      <c r="AJ543" s="79"/>
    </row>
    <row r="544">
      <c r="AJ544" s="79"/>
    </row>
    <row r="545">
      <c r="AJ545" s="79"/>
    </row>
    <row r="546">
      <c r="AJ546" s="79"/>
    </row>
    <row r="547">
      <c r="AJ547" s="79"/>
    </row>
    <row r="548">
      <c r="AJ548" s="79"/>
    </row>
    <row r="549">
      <c r="AJ549" s="79"/>
    </row>
    <row r="550">
      <c r="AJ550" s="79"/>
    </row>
    <row r="551">
      <c r="AJ551" s="79"/>
    </row>
    <row r="552">
      <c r="AJ552" s="79"/>
    </row>
    <row r="553">
      <c r="AJ553" s="79"/>
    </row>
    <row r="554">
      <c r="AJ554" s="79"/>
    </row>
    <row r="555">
      <c r="AJ555" s="79"/>
    </row>
    <row r="556">
      <c r="AJ556" s="79"/>
    </row>
    <row r="557">
      <c r="AJ557" s="79"/>
    </row>
    <row r="558">
      <c r="AJ558" s="79"/>
    </row>
    <row r="559">
      <c r="AJ559" s="79"/>
    </row>
    <row r="560">
      <c r="AJ560" s="79"/>
    </row>
    <row r="561">
      <c r="AJ561" s="79"/>
    </row>
    <row r="562">
      <c r="AJ562" s="79"/>
    </row>
    <row r="563">
      <c r="AJ563" s="79"/>
    </row>
    <row r="564">
      <c r="AJ564" s="79"/>
    </row>
    <row r="565">
      <c r="AJ565" s="79"/>
    </row>
    <row r="566">
      <c r="AJ566" s="79"/>
    </row>
    <row r="567">
      <c r="AJ567" s="79"/>
    </row>
    <row r="568">
      <c r="AJ568" s="79"/>
    </row>
    <row r="569">
      <c r="AJ569" s="79"/>
    </row>
    <row r="570">
      <c r="AJ570" s="79"/>
    </row>
    <row r="571">
      <c r="AJ571" s="79"/>
    </row>
    <row r="572">
      <c r="AJ572" s="79"/>
    </row>
    <row r="573">
      <c r="AJ573" s="79"/>
    </row>
    <row r="574">
      <c r="AJ574" s="79"/>
    </row>
    <row r="575">
      <c r="AJ575" s="79"/>
    </row>
    <row r="576">
      <c r="AJ576" s="79"/>
    </row>
    <row r="577">
      <c r="AJ577" s="79"/>
    </row>
    <row r="578">
      <c r="AJ578" s="79"/>
    </row>
    <row r="579">
      <c r="AJ579" s="79"/>
    </row>
    <row r="580">
      <c r="AJ580" s="79"/>
    </row>
    <row r="581">
      <c r="AJ581" s="79"/>
    </row>
    <row r="582">
      <c r="AJ582" s="79"/>
    </row>
    <row r="583">
      <c r="AJ583" s="79"/>
    </row>
    <row r="584">
      <c r="AJ584" s="79"/>
    </row>
    <row r="585">
      <c r="AJ585" s="79"/>
    </row>
    <row r="586">
      <c r="AJ586" s="79"/>
    </row>
    <row r="587">
      <c r="AJ587" s="79"/>
    </row>
    <row r="588">
      <c r="AJ588" s="79"/>
    </row>
    <row r="589">
      <c r="AJ589" s="79"/>
    </row>
    <row r="590">
      <c r="AJ590" s="79"/>
    </row>
    <row r="591">
      <c r="AJ591" s="79"/>
    </row>
    <row r="592">
      <c r="AJ592" s="79"/>
    </row>
    <row r="593">
      <c r="AJ593" s="79"/>
    </row>
    <row r="594">
      <c r="AJ594" s="79"/>
    </row>
    <row r="595">
      <c r="AJ595" s="79"/>
    </row>
    <row r="596">
      <c r="AJ596" s="79"/>
    </row>
    <row r="597">
      <c r="AJ597" s="79"/>
    </row>
    <row r="598">
      <c r="AJ598" s="79"/>
    </row>
    <row r="599">
      <c r="AJ599" s="79"/>
    </row>
    <row r="600">
      <c r="AJ600" s="79"/>
    </row>
    <row r="601">
      <c r="AJ601" s="79"/>
    </row>
    <row r="602">
      <c r="AJ602" s="79"/>
    </row>
    <row r="603">
      <c r="AJ603" s="79"/>
    </row>
    <row r="604">
      <c r="AJ604" s="79"/>
    </row>
    <row r="605">
      <c r="AJ605" s="79"/>
    </row>
    <row r="606">
      <c r="AJ606" s="79"/>
    </row>
    <row r="607">
      <c r="AJ607" s="79"/>
    </row>
    <row r="608">
      <c r="AJ608" s="79"/>
    </row>
    <row r="609">
      <c r="AJ609" s="79"/>
    </row>
    <row r="610">
      <c r="AJ610" s="79"/>
    </row>
    <row r="611">
      <c r="AJ611" s="79"/>
    </row>
    <row r="612">
      <c r="AJ612" s="79"/>
    </row>
    <row r="613">
      <c r="AJ613" s="79"/>
    </row>
    <row r="614">
      <c r="AJ614" s="79"/>
    </row>
    <row r="615">
      <c r="AJ615" s="79"/>
    </row>
    <row r="616">
      <c r="AJ616" s="79"/>
    </row>
    <row r="617">
      <c r="AJ617" s="79"/>
    </row>
    <row r="618">
      <c r="AJ618" s="79"/>
    </row>
    <row r="619">
      <c r="AJ619" s="79"/>
    </row>
    <row r="620">
      <c r="AJ620" s="79"/>
    </row>
    <row r="621">
      <c r="AJ621" s="79"/>
    </row>
    <row r="622">
      <c r="AJ622" s="79"/>
    </row>
    <row r="623">
      <c r="AJ623" s="79"/>
    </row>
    <row r="624">
      <c r="AJ624" s="79"/>
    </row>
    <row r="625">
      <c r="AJ625" s="79"/>
    </row>
    <row r="626">
      <c r="AJ626" s="79"/>
    </row>
    <row r="627">
      <c r="AJ627" s="79"/>
    </row>
    <row r="628">
      <c r="AJ628" s="79"/>
    </row>
    <row r="629">
      <c r="AJ629" s="79"/>
    </row>
    <row r="630">
      <c r="AJ630" s="79"/>
    </row>
    <row r="631">
      <c r="AJ631" s="79"/>
    </row>
    <row r="632">
      <c r="AJ632" s="79"/>
    </row>
    <row r="633">
      <c r="AJ633" s="79"/>
    </row>
    <row r="634">
      <c r="AJ634" s="79"/>
    </row>
    <row r="635">
      <c r="AJ635" s="79"/>
    </row>
    <row r="636">
      <c r="AJ636" s="79"/>
    </row>
    <row r="637">
      <c r="AJ637" s="79"/>
    </row>
    <row r="638">
      <c r="AJ638" s="79"/>
    </row>
    <row r="639">
      <c r="AJ639" s="79"/>
    </row>
    <row r="640">
      <c r="AJ640" s="79"/>
    </row>
    <row r="641">
      <c r="AJ641" s="79"/>
    </row>
    <row r="642">
      <c r="AJ642" s="79"/>
    </row>
    <row r="643">
      <c r="AJ643" s="79"/>
    </row>
    <row r="644">
      <c r="AJ644" s="79"/>
    </row>
    <row r="645">
      <c r="AJ645" s="79"/>
    </row>
    <row r="646">
      <c r="AJ646" s="79"/>
    </row>
    <row r="647">
      <c r="AJ647" s="79"/>
    </row>
    <row r="648">
      <c r="AJ648" s="79"/>
    </row>
    <row r="649">
      <c r="AJ649" s="79"/>
    </row>
    <row r="650">
      <c r="AJ650" s="79"/>
    </row>
    <row r="651">
      <c r="AJ651" s="79"/>
    </row>
    <row r="652">
      <c r="AJ652" s="79"/>
    </row>
    <row r="653">
      <c r="AJ653" s="79"/>
    </row>
    <row r="654">
      <c r="AJ654" s="79"/>
    </row>
    <row r="655">
      <c r="AJ655" s="79"/>
    </row>
    <row r="656">
      <c r="AJ656" s="79"/>
    </row>
    <row r="657">
      <c r="AJ657" s="79"/>
    </row>
    <row r="658">
      <c r="AJ658" s="79"/>
    </row>
    <row r="659">
      <c r="AJ659" s="79"/>
    </row>
    <row r="660">
      <c r="AJ660" s="79"/>
    </row>
    <row r="661">
      <c r="AJ661" s="79"/>
    </row>
    <row r="662">
      <c r="AJ662" s="79"/>
    </row>
    <row r="663">
      <c r="AJ663" s="79"/>
    </row>
    <row r="664">
      <c r="AJ664" s="79"/>
    </row>
    <row r="665">
      <c r="AJ665" s="79"/>
    </row>
    <row r="666">
      <c r="AJ666" s="79"/>
    </row>
    <row r="667">
      <c r="AJ667" s="79"/>
    </row>
    <row r="668">
      <c r="AJ668" s="79"/>
    </row>
    <row r="669">
      <c r="AJ669" s="79"/>
    </row>
    <row r="670">
      <c r="AJ670" s="79"/>
    </row>
    <row r="671">
      <c r="AJ671" s="79"/>
    </row>
    <row r="672">
      <c r="AJ672" s="79"/>
    </row>
    <row r="673">
      <c r="AJ673" s="79"/>
    </row>
    <row r="674">
      <c r="AJ674" s="79"/>
    </row>
    <row r="675">
      <c r="AJ675" s="79"/>
    </row>
    <row r="676">
      <c r="AJ676" s="79"/>
    </row>
    <row r="677">
      <c r="AJ677" s="79"/>
    </row>
    <row r="678">
      <c r="AJ678" s="79"/>
    </row>
    <row r="679">
      <c r="AJ679" s="79"/>
    </row>
    <row r="680">
      <c r="AJ680" s="79"/>
    </row>
    <row r="681">
      <c r="AJ681" s="79"/>
    </row>
    <row r="682">
      <c r="AJ682" s="79"/>
    </row>
    <row r="683">
      <c r="AJ683" s="79"/>
    </row>
    <row r="684">
      <c r="AJ684" s="79"/>
    </row>
    <row r="685">
      <c r="AJ685" s="79"/>
    </row>
    <row r="686">
      <c r="AJ686" s="79"/>
    </row>
    <row r="687">
      <c r="AJ687" s="79"/>
    </row>
    <row r="688">
      <c r="AJ688" s="79"/>
    </row>
    <row r="689">
      <c r="AJ689" s="79"/>
    </row>
    <row r="690">
      <c r="AJ690" s="79"/>
    </row>
    <row r="691">
      <c r="AJ691" s="79"/>
    </row>
    <row r="692">
      <c r="AJ692" s="79"/>
    </row>
    <row r="693">
      <c r="AJ693" s="79"/>
    </row>
    <row r="694">
      <c r="AJ694" s="79"/>
    </row>
    <row r="695">
      <c r="AJ695" s="79"/>
    </row>
    <row r="696">
      <c r="AJ696" s="79"/>
    </row>
    <row r="697">
      <c r="AJ697" s="79"/>
    </row>
    <row r="698">
      <c r="AJ698" s="79"/>
    </row>
    <row r="699">
      <c r="AJ699" s="79"/>
    </row>
    <row r="700">
      <c r="AJ700" s="79"/>
    </row>
    <row r="701">
      <c r="AJ701" s="79"/>
    </row>
    <row r="702">
      <c r="AJ702" s="79"/>
    </row>
    <row r="703">
      <c r="AJ703" s="79"/>
    </row>
    <row r="704">
      <c r="AJ704" s="79"/>
    </row>
    <row r="705">
      <c r="AJ705" s="79"/>
    </row>
    <row r="706">
      <c r="AJ706" s="79"/>
    </row>
    <row r="707">
      <c r="AJ707" s="79"/>
    </row>
    <row r="708">
      <c r="AJ708" s="79"/>
    </row>
    <row r="709">
      <c r="AJ709" s="79"/>
    </row>
    <row r="710">
      <c r="AJ710" s="79"/>
    </row>
    <row r="711">
      <c r="AJ711" s="79"/>
    </row>
    <row r="712">
      <c r="AJ712" s="79"/>
    </row>
    <row r="713">
      <c r="AJ713" s="79"/>
    </row>
    <row r="714">
      <c r="AJ714" s="79"/>
    </row>
    <row r="715">
      <c r="AJ715" s="79"/>
    </row>
    <row r="716">
      <c r="AJ716" s="79"/>
    </row>
    <row r="717">
      <c r="AJ717" s="79"/>
    </row>
    <row r="718">
      <c r="AJ718" s="79"/>
    </row>
    <row r="719">
      <c r="AJ719" s="79"/>
    </row>
    <row r="720">
      <c r="AJ720" s="79"/>
    </row>
    <row r="721">
      <c r="AJ721" s="79"/>
    </row>
    <row r="722">
      <c r="AJ722" s="79"/>
    </row>
    <row r="723">
      <c r="AJ723" s="79"/>
    </row>
    <row r="724">
      <c r="AJ724" s="79"/>
    </row>
    <row r="725">
      <c r="AJ725" s="79"/>
    </row>
    <row r="726">
      <c r="AJ726" s="79"/>
    </row>
    <row r="727">
      <c r="AJ727" s="79"/>
    </row>
    <row r="728">
      <c r="AJ728" s="79"/>
    </row>
    <row r="729">
      <c r="AJ729" s="79"/>
    </row>
    <row r="730">
      <c r="AJ730" s="79"/>
    </row>
    <row r="731">
      <c r="AJ731" s="79"/>
    </row>
    <row r="732">
      <c r="AJ732" s="79"/>
    </row>
    <row r="733">
      <c r="AJ733" s="79"/>
    </row>
    <row r="734">
      <c r="AJ734" s="79"/>
    </row>
    <row r="735">
      <c r="AJ735" s="79"/>
    </row>
    <row r="736">
      <c r="AJ736" s="79"/>
    </row>
    <row r="737">
      <c r="AJ737" s="79"/>
    </row>
    <row r="738">
      <c r="AJ738" s="79"/>
    </row>
    <row r="739">
      <c r="AJ739" s="79"/>
    </row>
    <row r="740">
      <c r="AJ740" s="79"/>
    </row>
    <row r="741">
      <c r="AJ741" s="79"/>
    </row>
    <row r="742">
      <c r="AJ742" s="79"/>
    </row>
    <row r="743">
      <c r="AJ743" s="79"/>
    </row>
    <row r="744">
      <c r="AJ744" s="79"/>
    </row>
    <row r="745">
      <c r="AJ745" s="79"/>
    </row>
    <row r="746">
      <c r="AJ746" s="79"/>
    </row>
    <row r="747">
      <c r="AJ747" s="79"/>
    </row>
    <row r="748">
      <c r="AJ748" s="79"/>
    </row>
    <row r="749">
      <c r="AJ749" s="79"/>
    </row>
    <row r="750">
      <c r="AJ750" s="79"/>
    </row>
    <row r="751">
      <c r="AJ751" s="79"/>
    </row>
    <row r="752">
      <c r="AJ752" s="79"/>
    </row>
    <row r="753">
      <c r="AJ753" s="79"/>
    </row>
    <row r="754">
      <c r="AJ754" s="79"/>
    </row>
    <row r="755">
      <c r="AJ755" s="79"/>
    </row>
    <row r="756">
      <c r="AJ756" s="79"/>
    </row>
    <row r="757">
      <c r="AJ757" s="79"/>
    </row>
    <row r="758">
      <c r="AJ758" s="79"/>
    </row>
    <row r="759">
      <c r="AJ759" s="79"/>
    </row>
    <row r="760">
      <c r="AJ760" s="79"/>
    </row>
    <row r="761">
      <c r="AJ761" s="79"/>
    </row>
    <row r="762">
      <c r="AJ762" s="79"/>
    </row>
    <row r="763">
      <c r="AJ763" s="79"/>
    </row>
    <row r="764">
      <c r="AJ764" s="79"/>
    </row>
    <row r="765">
      <c r="AJ765" s="79"/>
    </row>
    <row r="766">
      <c r="AJ766" s="79"/>
    </row>
    <row r="767">
      <c r="AJ767" s="79"/>
    </row>
    <row r="768">
      <c r="AJ768" s="79"/>
    </row>
    <row r="769">
      <c r="AJ769" s="79"/>
    </row>
    <row r="770">
      <c r="AJ770" s="79"/>
    </row>
    <row r="771">
      <c r="AJ771" s="79"/>
    </row>
    <row r="772">
      <c r="AJ772" s="79"/>
    </row>
    <row r="773">
      <c r="AJ773" s="79"/>
    </row>
    <row r="774">
      <c r="AJ774" s="79"/>
    </row>
    <row r="775">
      <c r="AJ775" s="79"/>
    </row>
    <row r="776">
      <c r="AJ776" s="79"/>
    </row>
    <row r="777">
      <c r="AJ777" s="79"/>
    </row>
    <row r="778">
      <c r="AJ778" s="79"/>
    </row>
    <row r="779">
      <c r="AJ779" s="79"/>
    </row>
    <row r="780">
      <c r="AJ780" s="79"/>
    </row>
    <row r="781">
      <c r="AJ781" s="79"/>
    </row>
    <row r="782">
      <c r="AJ782" s="79"/>
    </row>
    <row r="783">
      <c r="AJ783" s="79"/>
    </row>
    <row r="784">
      <c r="AJ784" s="79"/>
    </row>
    <row r="785">
      <c r="AJ785" s="79"/>
    </row>
    <row r="786">
      <c r="AJ786" s="79"/>
    </row>
    <row r="787">
      <c r="AJ787" s="79"/>
    </row>
    <row r="788">
      <c r="AJ788" s="79"/>
    </row>
    <row r="789">
      <c r="AJ789" s="79"/>
    </row>
    <row r="790">
      <c r="AJ790" s="79"/>
    </row>
    <row r="791">
      <c r="AJ791" s="79"/>
    </row>
    <row r="792">
      <c r="AJ792" s="79"/>
    </row>
    <row r="793">
      <c r="AJ793" s="79"/>
    </row>
    <row r="794">
      <c r="AJ794" s="79"/>
    </row>
    <row r="795">
      <c r="AJ795" s="79"/>
    </row>
    <row r="796">
      <c r="AJ796" s="79"/>
    </row>
    <row r="797">
      <c r="AJ797" s="79"/>
    </row>
    <row r="798">
      <c r="AJ798" s="79"/>
    </row>
    <row r="799">
      <c r="AJ799" s="79"/>
    </row>
    <row r="800">
      <c r="AJ800" s="79"/>
    </row>
    <row r="801">
      <c r="AJ801" s="79"/>
    </row>
    <row r="802">
      <c r="AJ802" s="79"/>
    </row>
    <row r="803">
      <c r="AJ803" s="79"/>
    </row>
    <row r="804">
      <c r="AJ804" s="79"/>
    </row>
    <row r="805">
      <c r="AJ805" s="79"/>
    </row>
    <row r="806">
      <c r="AJ806" s="79"/>
    </row>
    <row r="807">
      <c r="AJ807" s="79"/>
    </row>
    <row r="808">
      <c r="AJ808" s="79"/>
    </row>
    <row r="809">
      <c r="AJ809" s="79"/>
    </row>
    <row r="810">
      <c r="AJ810" s="79"/>
    </row>
    <row r="811">
      <c r="AJ811" s="79"/>
    </row>
    <row r="812">
      <c r="AJ812" s="79"/>
    </row>
    <row r="813">
      <c r="AJ813" s="79"/>
    </row>
    <row r="814">
      <c r="AJ814" s="79"/>
    </row>
    <row r="815">
      <c r="AJ815" s="79"/>
    </row>
    <row r="816">
      <c r="AJ816" s="79"/>
    </row>
    <row r="817">
      <c r="AJ817" s="79"/>
    </row>
    <row r="818">
      <c r="AJ818" s="79"/>
    </row>
    <row r="819">
      <c r="AJ819" s="79"/>
    </row>
    <row r="820">
      <c r="AJ820" s="79"/>
    </row>
    <row r="821">
      <c r="AJ821" s="79"/>
    </row>
    <row r="822">
      <c r="AJ822" s="79"/>
    </row>
    <row r="823">
      <c r="AJ823" s="79"/>
    </row>
    <row r="824">
      <c r="AJ824" s="79"/>
    </row>
    <row r="825">
      <c r="AJ825" s="79"/>
    </row>
    <row r="826">
      <c r="AJ826" s="79"/>
    </row>
    <row r="827">
      <c r="AJ827" s="79"/>
    </row>
    <row r="828">
      <c r="AJ828" s="79"/>
    </row>
    <row r="829">
      <c r="AJ829" s="79"/>
    </row>
    <row r="830">
      <c r="AJ830" s="79"/>
    </row>
    <row r="831">
      <c r="AJ831" s="79"/>
    </row>
    <row r="832">
      <c r="AJ832" s="79"/>
    </row>
    <row r="833">
      <c r="AJ833" s="79"/>
    </row>
    <row r="834">
      <c r="AJ834" s="79"/>
    </row>
    <row r="835">
      <c r="AJ835" s="79"/>
    </row>
    <row r="836">
      <c r="AJ836" s="79"/>
    </row>
    <row r="837">
      <c r="AJ837" s="79"/>
    </row>
    <row r="838">
      <c r="AJ838" s="79"/>
    </row>
    <row r="839">
      <c r="AJ839" s="79"/>
    </row>
    <row r="840">
      <c r="AJ840" s="79"/>
    </row>
    <row r="841">
      <c r="AJ841" s="79"/>
    </row>
    <row r="842">
      <c r="AJ842" s="79"/>
    </row>
    <row r="843">
      <c r="AJ843" s="79"/>
    </row>
    <row r="844">
      <c r="AJ844" s="79"/>
    </row>
    <row r="845">
      <c r="AJ845" s="79"/>
    </row>
    <row r="846">
      <c r="AJ846" s="79"/>
    </row>
    <row r="847">
      <c r="AJ847" s="79"/>
    </row>
    <row r="848">
      <c r="AJ848" s="79"/>
    </row>
    <row r="849">
      <c r="AJ849" s="79"/>
    </row>
    <row r="850">
      <c r="AJ850" s="79"/>
    </row>
    <row r="851">
      <c r="AJ851" s="79"/>
    </row>
    <row r="852">
      <c r="AJ852" s="79"/>
    </row>
    <row r="853">
      <c r="AJ853" s="79"/>
    </row>
    <row r="854">
      <c r="AJ854" s="79"/>
    </row>
    <row r="855">
      <c r="AJ855" s="79"/>
    </row>
    <row r="856">
      <c r="AJ856" s="79"/>
    </row>
    <row r="857">
      <c r="AJ857" s="79"/>
    </row>
    <row r="858">
      <c r="AJ858" s="79"/>
    </row>
    <row r="859">
      <c r="AJ859" s="79"/>
    </row>
    <row r="860">
      <c r="AJ860" s="79"/>
    </row>
    <row r="861">
      <c r="AJ861" s="79"/>
    </row>
    <row r="862">
      <c r="AJ862" s="79"/>
    </row>
    <row r="863">
      <c r="AJ863" s="79"/>
    </row>
    <row r="864">
      <c r="AJ864" s="79"/>
    </row>
    <row r="865">
      <c r="AJ865" s="79"/>
    </row>
    <row r="866">
      <c r="AJ866" s="79"/>
    </row>
    <row r="867">
      <c r="AJ867" s="79"/>
    </row>
    <row r="868">
      <c r="AJ868" s="79"/>
    </row>
    <row r="869">
      <c r="AJ869" s="79"/>
    </row>
    <row r="870">
      <c r="AJ870" s="79"/>
    </row>
    <row r="871">
      <c r="AJ871" s="79"/>
    </row>
    <row r="872">
      <c r="AJ872" s="79"/>
    </row>
    <row r="873">
      <c r="AJ873" s="79"/>
    </row>
    <row r="874">
      <c r="AJ874" s="79"/>
    </row>
    <row r="875">
      <c r="AJ875" s="79"/>
    </row>
    <row r="876">
      <c r="AJ876" s="79"/>
    </row>
    <row r="877">
      <c r="AJ877" s="79"/>
    </row>
    <row r="878">
      <c r="AJ878" s="79"/>
    </row>
    <row r="879">
      <c r="AJ879" s="79"/>
    </row>
    <row r="880">
      <c r="AJ880" s="79"/>
    </row>
    <row r="881">
      <c r="AJ881" s="79"/>
    </row>
    <row r="882">
      <c r="AJ882" s="79"/>
    </row>
    <row r="883">
      <c r="AJ883" s="79"/>
    </row>
    <row r="884">
      <c r="AJ884" s="79"/>
    </row>
    <row r="885">
      <c r="AJ885" s="79"/>
    </row>
    <row r="886">
      <c r="AJ886" s="79"/>
    </row>
    <row r="887">
      <c r="AJ887" s="79"/>
    </row>
    <row r="888">
      <c r="AJ888" s="79"/>
    </row>
    <row r="889">
      <c r="AJ889" s="79"/>
    </row>
    <row r="890">
      <c r="AJ890" s="79"/>
    </row>
    <row r="891">
      <c r="AJ891" s="79"/>
    </row>
    <row r="892">
      <c r="AJ892" s="79"/>
    </row>
    <row r="893">
      <c r="AJ893" s="79"/>
    </row>
    <row r="894">
      <c r="AJ894" s="79"/>
    </row>
    <row r="895">
      <c r="AJ895" s="79"/>
    </row>
    <row r="896">
      <c r="AJ896" s="79"/>
    </row>
    <row r="897">
      <c r="AJ897" s="79"/>
    </row>
    <row r="898">
      <c r="AJ898" s="79"/>
    </row>
    <row r="899">
      <c r="AJ899" s="79"/>
    </row>
    <row r="900">
      <c r="AJ900" s="79"/>
    </row>
    <row r="901">
      <c r="AJ901" s="79"/>
    </row>
    <row r="902">
      <c r="AJ902" s="79"/>
    </row>
    <row r="903">
      <c r="AJ903" s="79"/>
    </row>
    <row r="904">
      <c r="AJ904" s="79"/>
    </row>
    <row r="905">
      <c r="AJ905" s="79"/>
    </row>
    <row r="906">
      <c r="AJ906" s="79"/>
    </row>
    <row r="907">
      <c r="AJ907" s="79"/>
    </row>
    <row r="908">
      <c r="AJ908" s="79"/>
    </row>
    <row r="909">
      <c r="AJ909" s="79"/>
    </row>
    <row r="910">
      <c r="AJ910" s="79"/>
    </row>
    <row r="911">
      <c r="AJ911" s="79"/>
    </row>
    <row r="912">
      <c r="AJ912" s="79"/>
    </row>
    <row r="913">
      <c r="AJ913" s="79"/>
    </row>
    <row r="914">
      <c r="AJ914" s="79"/>
    </row>
    <row r="915">
      <c r="AJ915" s="79"/>
    </row>
    <row r="916">
      <c r="AJ916" s="79"/>
    </row>
    <row r="917">
      <c r="AJ917" s="79"/>
    </row>
    <row r="918">
      <c r="AJ918" s="79"/>
    </row>
    <row r="919">
      <c r="AJ919" s="79"/>
    </row>
    <row r="920">
      <c r="AJ920" s="79"/>
    </row>
    <row r="921">
      <c r="AJ921" s="79"/>
    </row>
    <row r="922">
      <c r="AJ922" s="79"/>
    </row>
    <row r="923">
      <c r="AJ923" s="79"/>
    </row>
    <row r="924">
      <c r="AJ924" s="79"/>
    </row>
    <row r="925">
      <c r="AJ925" s="79"/>
    </row>
    <row r="926">
      <c r="AJ926" s="79"/>
    </row>
    <row r="927">
      <c r="AJ927" s="79"/>
    </row>
    <row r="928">
      <c r="AJ928" s="79"/>
    </row>
    <row r="929">
      <c r="AJ929" s="79"/>
    </row>
    <row r="930">
      <c r="AJ930" s="79"/>
    </row>
    <row r="931">
      <c r="AJ931" s="79"/>
    </row>
    <row r="932">
      <c r="AJ932" s="79"/>
    </row>
    <row r="933">
      <c r="AJ933" s="79"/>
    </row>
    <row r="934">
      <c r="AJ934" s="79"/>
    </row>
    <row r="935">
      <c r="AJ935" s="79"/>
    </row>
    <row r="936">
      <c r="AJ936" s="79"/>
    </row>
    <row r="937">
      <c r="AJ937" s="79"/>
    </row>
    <row r="938">
      <c r="AJ938" s="79"/>
    </row>
    <row r="939">
      <c r="AJ939" s="79"/>
    </row>
    <row r="940">
      <c r="AJ940" s="79"/>
    </row>
    <row r="941">
      <c r="AJ941" s="79"/>
    </row>
    <row r="942">
      <c r="AJ942" s="79"/>
    </row>
    <row r="943">
      <c r="AJ943" s="79"/>
    </row>
    <row r="944">
      <c r="AJ944" s="79"/>
    </row>
    <row r="945">
      <c r="AJ945" s="79"/>
    </row>
    <row r="946">
      <c r="AJ946" s="79"/>
    </row>
    <row r="947">
      <c r="AJ947" s="79"/>
    </row>
    <row r="948">
      <c r="AJ948" s="79"/>
    </row>
    <row r="949">
      <c r="AJ949" s="79"/>
    </row>
    <row r="950">
      <c r="AJ950" s="79"/>
    </row>
    <row r="951">
      <c r="AJ951" s="79"/>
    </row>
    <row r="952">
      <c r="AJ952" s="79"/>
    </row>
    <row r="953">
      <c r="AJ953" s="79"/>
    </row>
    <row r="954">
      <c r="AJ954" s="79"/>
    </row>
    <row r="955">
      <c r="AJ955" s="79"/>
    </row>
    <row r="956">
      <c r="AJ956" s="79"/>
    </row>
    <row r="957">
      <c r="AJ957" s="79"/>
    </row>
    <row r="958">
      <c r="AJ958" s="79"/>
    </row>
    <row r="959">
      <c r="AJ959" s="79"/>
    </row>
    <row r="960">
      <c r="AJ960" s="79"/>
    </row>
    <row r="961">
      <c r="AJ961" s="79"/>
    </row>
    <row r="962">
      <c r="AJ962" s="79"/>
    </row>
    <row r="963">
      <c r="AJ963" s="79"/>
    </row>
    <row r="964">
      <c r="AJ964" s="79"/>
    </row>
    <row r="965">
      <c r="AJ965" s="79"/>
    </row>
    <row r="966">
      <c r="AJ966" s="79"/>
    </row>
    <row r="967">
      <c r="AJ967" s="79"/>
    </row>
    <row r="968">
      <c r="AJ968" s="79"/>
    </row>
    <row r="969">
      <c r="AJ969" s="79"/>
    </row>
    <row r="970">
      <c r="AJ970" s="79"/>
    </row>
    <row r="971">
      <c r="AJ971" s="79"/>
    </row>
    <row r="972">
      <c r="AJ972" s="79"/>
    </row>
    <row r="973">
      <c r="AJ973" s="79"/>
    </row>
    <row r="974">
      <c r="AJ974" s="79"/>
    </row>
    <row r="975">
      <c r="AJ975" s="79"/>
    </row>
    <row r="976">
      <c r="AJ976" s="79"/>
    </row>
    <row r="977">
      <c r="AJ977" s="79"/>
    </row>
    <row r="978">
      <c r="AJ978" s="79"/>
    </row>
    <row r="979">
      <c r="AJ979" s="79"/>
    </row>
    <row r="980">
      <c r="AJ980" s="79"/>
    </row>
    <row r="981">
      <c r="AJ981" s="79"/>
    </row>
    <row r="982">
      <c r="AJ982" s="79"/>
    </row>
    <row r="983">
      <c r="AJ983" s="79"/>
    </row>
    <row r="984">
      <c r="AJ984" s="79"/>
    </row>
    <row r="985">
      <c r="AJ985" s="79"/>
    </row>
    <row r="986">
      <c r="AJ986" s="79"/>
    </row>
    <row r="987">
      <c r="AJ987" s="79"/>
    </row>
    <row r="988">
      <c r="AJ988" s="79"/>
    </row>
    <row r="989">
      <c r="AJ989" s="79"/>
    </row>
    <row r="990">
      <c r="AJ990" s="79"/>
    </row>
    <row r="991">
      <c r="AJ991" s="79"/>
    </row>
    <row r="992">
      <c r="AJ992" s="79"/>
    </row>
    <row r="993">
      <c r="AJ993" s="79"/>
    </row>
    <row r="994">
      <c r="AJ994" s="79"/>
    </row>
    <row r="995">
      <c r="AJ995" s="79"/>
    </row>
    <row r="996">
      <c r="AJ996" s="79"/>
    </row>
    <row r="997">
      <c r="AJ997" s="79"/>
    </row>
    <row r="998">
      <c r="AJ998" s="79"/>
    </row>
    <row r="999">
      <c r="AJ999" s="79"/>
    </row>
    <row r="1000">
      <c r="AJ1000" s="79"/>
    </row>
    <row r="1001">
      <c r="AJ1001" s="79"/>
    </row>
    <row r="1002">
      <c r="AJ1002" s="79"/>
    </row>
    <row r="1003">
      <c r="AJ1003" s="79"/>
    </row>
  </sheetData>
  <mergeCells count="22">
    <mergeCell ref="D4:F4"/>
    <mergeCell ref="G4:I4"/>
    <mergeCell ref="J4:L4"/>
    <mergeCell ref="M4:O4"/>
    <mergeCell ref="P4:R4"/>
    <mergeCell ref="S4:U4"/>
    <mergeCell ref="V4:X4"/>
    <mergeCell ref="AT4:AV4"/>
    <mergeCell ref="AW4:AY4"/>
    <mergeCell ref="AZ4:BB4"/>
    <mergeCell ref="BC4:BE4"/>
    <mergeCell ref="AE37:AF37"/>
    <mergeCell ref="AG37:AH37"/>
    <mergeCell ref="AE38:AF38"/>
    <mergeCell ref="AG38:AH38"/>
    <mergeCell ref="Y4:AA4"/>
    <mergeCell ref="AB4:AD4"/>
    <mergeCell ref="AE4:AG4"/>
    <mergeCell ref="AH4:AJ4"/>
    <mergeCell ref="AK4:AM4"/>
    <mergeCell ref="AN4:AP4"/>
    <mergeCell ref="AQ4:AS4"/>
  </mergeCells>
  <conditionalFormatting sqref="AG1 AJ1 AM1 AP1 AS1 AV1 AY1 BB1 BE1:BE1003 AA3 AD3 AG3:AG6 AJ3:AJ6 AM3:AM32 AP3:AP6 AS3:AS6 AV3:AV6 AY3:AY6 BB3:BB6 F5:F6 I5:I6 L5:L6 O5:O6 R5:R6 U5:U6 X5:X6 AA5:AA6 AD5:AD6 F8 I8 L8 O8 R8 U8 X8 AA8 AD8 AG8 AJ8 AP8 AS8 AV8 AY8 BB8 F10:F12 I10:I12 L10:L12 O10:O12 R10:R12 U10:U12 X10:X12 AA10:AA12 AD10:AD12 AG10:AG12 AJ10:AJ12 AP10:AP12 AS10:AS12 AV10:AV12 AY10:AY12 BB10:BB12 F14 I14 L14 O14 R14 U14 X14 AA14 AD14 AG14 AJ14 AP14 AS14 AV14 AY14 BB14 F16 I16 L16 O16 R16 U16 X16 AA16 AD16 AG16 AJ16 AP16 AS16 AV16 AY16 BB16 F18 I18 L18 O18 R18 U18 X18 AA18 AD18 AG18 AJ18 AP18 AS18 AV18 AY18 BB18 AG20 AJ20 AP20 AS20 AV20 AY20 BB20 F22 I22 L22 O22 R22 U22 X22 AA22 AD22 AG22 AJ22 AP22 AS22 AV22 AY22 BB22 F24:F26 I24:I26 L24:L26 O24:O26 R24:R32 U24:U32 X24:X32 AA24:AA32 AD24:AD32 AG24:AG32 AJ24:AJ25 AP24:AP32 AS24:AS32 AV24:AV32 AY24:AY26 BB24:BB26 AJ27:AJ32 AY28 BB28 AY30 BB30 AY32 BB32 AG34:AG1003 AJ34:AJ1003 AM34:AM1003 AP34:AP1003 AS34:AS1003 AV34:AV1003 AY34:AY1003 BB34:BB1003">
    <cfRule type="cellIs" dxfId="7" priority="1" operator="lessThan">
      <formula>"100%"</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row>
    <row r="2">
      <c r="A2" s="514"/>
      <c r="B2" s="512" t="s">
        <v>257</v>
      </c>
      <c r="C2" s="512">
        <v>15000.0</v>
      </c>
      <c r="D2" s="511"/>
      <c r="E2" s="511"/>
      <c r="F2" s="511"/>
      <c r="G2" s="6"/>
      <c r="H2" s="6"/>
    </row>
    <row r="3">
      <c r="A3" s="514"/>
      <c r="B3" s="512" t="s">
        <v>260</v>
      </c>
      <c r="C3" s="512"/>
      <c r="D3" s="515"/>
      <c r="E3" s="511"/>
      <c r="F3" s="511"/>
      <c r="G3" s="6"/>
      <c r="H3" s="6"/>
    </row>
    <row r="4">
      <c r="A4" s="514"/>
      <c r="B4" s="512" t="s">
        <v>261</v>
      </c>
      <c r="C4" s="512"/>
      <c r="D4" s="515"/>
      <c r="E4" s="515"/>
      <c r="F4" s="511"/>
      <c r="G4" s="6"/>
      <c r="H4" s="6"/>
    </row>
    <row r="5">
      <c r="A5" s="514"/>
      <c r="B5" s="512" t="s">
        <v>266</v>
      </c>
      <c r="C5" s="512"/>
      <c r="D5" s="515"/>
      <c r="E5" s="515"/>
      <c r="F5" s="515"/>
      <c r="G5" s="6"/>
      <c r="H5" s="6"/>
    </row>
    <row r="6">
      <c r="A6" s="516"/>
      <c r="B6" s="512" t="s">
        <v>267</v>
      </c>
      <c r="C6" s="517">
        <v>22.0</v>
      </c>
      <c r="D6" s="515"/>
      <c r="E6" s="515"/>
      <c r="F6" s="515"/>
      <c r="G6" s="517"/>
      <c r="H6" s="518"/>
    </row>
    <row r="7">
      <c r="A7" s="516"/>
      <c r="B7" s="512" t="s">
        <v>319</v>
      </c>
      <c r="C7" s="517">
        <v>16.0</v>
      </c>
      <c r="D7" s="515"/>
      <c r="E7" s="515"/>
      <c r="F7" s="515"/>
      <c r="G7" s="6"/>
      <c r="H7" s="6"/>
    </row>
    <row r="8">
      <c r="A8" s="519"/>
      <c r="B8" s="512" t="s">
        <v>320</v>
      </c>
      <c r="C8" s="520">
        <f>C7/C6</f>
        <v>0.7272727273</v>
      </c>
      <c r="D8" s="515"/>
      <c r="E8" s="515"/>
      <c r="F8" s="515"/>
      <c r="G8" s="6"/>
      <c r="H8" s="6"/>
    </row>
    <row r="9">
      <c r="A9" s="516"/>
      <c r="B9" s="512" t="s">
        <v>269</v>
      </c>
      <c r="C9" s="517">
        <v>12.0</v>
      </c>
      <c r="D9" s="515"/>
      <c r="E9" s="515"/>
      <c r="F9" s="515"/>
      <c r="G9" s="6"/>
      <c r="H9" s="6"/>
    </row>
    <row r="10">
      <c r="A10" s="519"/>
      <c r="B10" s="512" t="s">
        <v>321</v>
      </c>
      <c r="C10" s="520">
        <f>C9/C6</f>
        <v>0.5454545455</v>
      </c>
      <c r="D10" s="515"/>
      <c r="E10" s="515"/>
      <c r="F10" s="515"/>
      <c r="G10" s="6"/>
      <c r="H10" s="6"/>
    </row>
    <row r="11">
      <c r="A11" s="516"/>
      <c r="B11" s="512" t="s">
        <v>322</v>
      </c>
      <c r="C11" s="517">
        <v>1.0</v>
      </c>
      <c r="D11" s="515"/>
      <c r="E11" s="515"/>
      <c r="F11" s="515"/>
      <c r="G11" s="6"/>
      <c r="H11" s="6"/>
    </row>
    <row r="12">
      <c r="A12" s="519"/>
      <c r="B12" s="512" t="s">
        <v>323</v>
      </c>
      <c r="C12" s="520">
        <f>C11/C6</f>
        <v>0.04545454545</v>
      </c>
      <c r="D12" s="515"/>
      <c r="E12" s="515"/>
      <c r="F12" s="515"/>
      <c r="G12" s="6"/>
      <c r="H12" s="6"/>
    </row>
    <row r="13">
      <c r="A13" s="516"/>
      <c r="B13" s="512" t="s">
        <v>324</v>
      </c>
      <c r="C13" s="517">
        <v>13.0</v>
      </c>
      <c r="D13" s="515"/>
      <c r="E13" s="515"/>
      <c r="F13" s="515"/>
      <c r="G13" s="6"/>
      <c r="H13" s="6"/>
    </row>
    <row r="14">
      <c r="A14" s="519"/>
      <c r="B14" s="512" t="s">
        <v>325</v>
      </c>
      <c r="C14" s="520">
        <f>C13/C6</f>
        <v>0.5909090909</v>
      </c>
      <c r="D14" s="515"/>
      <c r="E14" s="515"/>
      <c r="F14" s="515"/>
      <c r="G14" s="6"/>
      <c r="H14" s="6"/>
    </row>
    <row r="15">
      <c r="A15" s="516"/>
      <c r="B15" s="512" t="s">
        <v>273</v>
      </c>
      <c r="C15" s="517">
        <v>0.0</v>
      </c>
      <c r="D15" s="511"/>
      <c r="E15" s="511"/>
      <c r="F15" s="515"/>
      <c r="G15" s="6"/>
      <c r="H15" s="6"/>
    </row>
    <row r="16">
      <c r="A16" s="514"/>
      <c r="B16" s="512" t="s">
        <v>282</v>
      </c>
      <c r="C16" s="517"/>
      <c r="D16" s="511"/>
      <c r="E16" s="511"/>
      <c r="F16" s="511"/>
      <c r="G16" s="6"/>
      <c r="H16" s="6"/>
    </row>
    <row r="17">
      <c r="A17" s="514"/>
      <c r="B17" s="512" t="s">
        <v>283</v>
      </c>
      <c r="C17" s="517">
        <v>199.0</v>
      </c>
      <c r="D17" s="511"/>
      <c r="E17" s="511"/>
      <c r="F17" s="511"/>
      <c r="G17" s="6"/>
      <c r="H17" s="6"/>
    </row>
    <row r="18">
      <c r="A18" s="521"/>
      <c r="B18" s="512" t="s">
        <v>291</v>
      </c>
      <c r="C18" s="522">
        <v>1.84038060952E9</v>
      </c>
      <c r="D18" s="523"/>
      <c r="E18" s="523"/>
      <c r="F18" s="523"/>
      <c r="G18" s="6"/>
      <c r="H18" s="6"/>
    </row>
    <row r="19">
      <c r="A19" s="521"/>
      <c r="B19" s="512" t="s">
        <v>292</v>
      </c>
      <c r="C19" s="522">
        <v>1.78663574806E9</v>
      </c>
      <c r="D19" s="523"/>
      <c r="E19" s="523"/>
      <c r="F19" s="523"/>
      <c r="G19" s="6"/>
      <c r="H19" s="6"/>
    </row>
    <row r="20">
      <c r="A20" s="519"/>
      <c r="B20" s="512" t="s">
        <v>293</v>
      </c>
      <c r="C20" s="524">
        <f>C19/C18</f>
        <v>0.9707968769</v>
      </c>
      <c r="D20" s="511"/>
      <c r="E20" s="511"/>
      <c r="F20" s="511"/>
      <c r="G20" s="6"/>
      <c r="H20" s="6"/>
    </row>
    <row r="21">
      <c r="A21" s="521"/>
      <c r="B21" s="512" t="s">
        <v>326</v>
      </c>
      <c r="C21" s="522">
        <f>C18-C19</f>
        <v>53744861.46</v>
      </c>
      <c r="D21" s="511"/>
      <c r="E21" s="511"/>
      <c r="F21" s="511"/>
      <c r="G21" s="6"/>
      <c r="H21" s="6"/>
    </row>
    <row r="22">
      <c r="A22" s="521"/>
      <c r="B22" s="512" t="s">
        <v>295</v>
      </c>
      <c r="C22" s="522">
        <f>C21/C17</f>
        <v>270074.6807</v>
      </c>
      <c r="D22" s="511"/>
      <c r="E22" s="511"/>
      <c r="F22" s="511"/>
      <c r="G22" s="6"/>
      <c r="H22" s="6"/>
    </row>
    <row r="23">
      <c r="A23" s="521"/>
      <c r="B23" s="512" t="s">
        <v>296</v>
      </c>
      <c r="C23" s="525">
        <v>6.3533656E7</v>
      </c>
      <c r="D23" s="511"/>
      <c r="E23" s="511"/>
      <c r="F23" s="511"/>
      <c r="G23" s="6"/>
      <c r="H23" s="6"/>
    </row>
    <row r="24">
      <c r="A24" s="526"/>
      <c r="B24" s="512" t="s">
        <v>297</v>
      </c>
      <c r="C24" s="525">
        <v>5.4687474E7</v>
      </c>
      <c r="D24" s="511"/>
      <c r="E24" s="511"/>
      <c r="F24" s="511"/>
      <c r="G24" s="6"/>
      <c r="H24" s="6"/>
    </row>
    <row r="25">
      <c r="A25" s="519"/>
      <c r="B25" s="512" t="s">
        <v>327</v>
      </c>
      <c r="C25" s="524">
        <f>C24/C23</f>
        <v>0.8607638446</v>
      </c>
      <c r="D25" s="513" t="s">
        <v>328</v>
      </c>
      <c r="E25" s="524"/>
      <c r="F25" s="511"/>
      <c r="G25" s="6"/>
      <c r="H25" s="6"/>
    </row>
    <row r="26">
      <c r="A26" s="521"/>
      <c r="B26" s="512" t="s">
        <v>299</v>
      </c>
      <c r="C26" s="525">
        <v>1.8449798E7</v>
      </c>
      <c r="D26" s="512" t="s">
        <v>329</v>
      </c>
      <c r="E26" s="511" t="str">
        <f>IFERROR(__xludf.DUMMYFUNCTION("IMPORTRANGE(""1vYc4iTJ16E7R6SUnGhwdB4aOJULuweZOJUwnvK3B2Ug"", ""キャッシュバック・ボーナス!S8"")"),"#REF!")</f>
        <v>#REF!</v>
      </c>
      <c r="F26" s="511"/>
      <c r="G26" s="6"/>
      <c r="H26" s="6"/>
    </row>
    <row r="27">
      <c r="A27" s="527"/>
      <c r="B27" s="512" t="s">
        <v>330</v>
      </c>
      <c r="C27" s="525">
        <f>D44-C26</f>
        <v>36237676</v>
      </c>
      <c r="D27" s="512" t="s">
        <v>331</v>
      </c>
      <c r="E27" s="504" t="str">
        <f>E26/C21</f>
        <v>#REF!</v>
      </c>
      <c r="F27" s="511"/>
      <c r="G27" s="6"/>
      <c r="H27" s="6"/>
    </row>
    <row r="28">
      <c r="B28" s="512" t="s">
        <v>301</v>
      </c>
      <c r="C28" s="522">
        <f>IFERROR(C27/C17, 0)</f>
        <v>182098.8744</v>
      </c>
      <c r="D28" s="512" t="s">
        <v>332</v>
      </c>
      <c r="E28" s="515" t="str">
        <f>E26/C27</f>
        <v>#REF!</v>
      </c>
      <c r="F28" s="511"/>
      <c r="G28" s="6"/>
      <c r="H28" s="6"/>
    </row>
    <row r="29">
      <c r="B29" s="512" t="s">
        <v>302</v>
      </c>
      <c r="C29" s="522">
        <f>1415034.66</f>
        <v>1415034.66</v>
      </c>
      <c r="D29" s="512" t="s">
        <v>333</v>
      </c>
      <c r="E29" s="515" t="str">
        <f>E26/C18</f>
        <v>#REF!</v>
      </c>
      <c r="F29" s="511"/>
      <c r="G29" s="528"/>
      <c r="H29" s="529"/>
    </row>
    <row r="30">
      <c r="B30" s="512" t="s">
        <v>303</v>
      </c>
      <c r="C30" s="525">
        <f>C27-C29</f>
        <v>34822641.34</v>
      </c>
      <c r="D30" s="511"/>
      <c r="E30" s="511"/>
      <c r="F30" s="511"/>
      <c r="G30" s="6"/>
      <c r="H30" s="6"/>
    </row>
    <row r="31">
      <c r="B31" s="530" t="s">
        <v>304</v>
      </c>
      <c r="C31" s="530" t="str">
        <f>IFERROR(__xludf.DUMMYFUNCTION("IMPORTRANGE(""1Ou2QKF8-XqWX9WFzapZrSLXeIe1ELfRnTVdIY-5MEn8"", ""October 2025 summary !B8"")"),"#REF!")</f>
        <v>#REF!</v>
      </c>
      <c r="D31" s="531"/>
      <c r="E31" s="531"/>
      <c r="F31" s="531"/>
      <c r="G31" s="6"/>
      <c r="H31" s="6"/>
    </row>
    <row r="32">
      <c r="B32" s="532" t="s">
        <v>305</v>
      </c>
      <c r="C32" s="533" t="str">
        <f>IFERROR(__xludf.DUMMYFUNCTION("IMPORTRANGE(""1Ou2QKF8-XqWX9WFzapZrSLXeIe1ELfRnTVdIY-5MEn8"", ""October 2025 summary !B15"")"),"#REF!")</f>
        <v>#REF!</v>
      </c>
      <c r="D32" s="533"/>
      <c r="E32" s="533"/>
      <c r="F32" s="533"/>
      <c r="G32" s="6"/>
      <c r="H32" s="6"/>
    </row>
    <row r="33">
      <c r="B33" s="532" t="s">
        <v>334</v>
      </c>
      <c r="C33" s="534"/>
      <c r="E33" s="533"/>
      <c r="F33" s="533"/>
      <c r="G33" s="6"/>
      <c r="H33" s="6"/>
    </row>
    <row r="34">
      <c r="B34" s="535" t="s">
        <v>335</v>
      </c>
      <c r="C34" s="534"/>
      <c r="D34" s="533"/>
      <c r="E34" s="533"/>
      <c r="F34" s="533"/>
      <c r="G34" s="6"/>
      <c r="H34" s="6"/>
    </row>
    <row r="35">
      <c r="B35" s="536" t="s">
        <v>135</v>
      </c>
      <c r="C35" s="522">
        <f>IFERROR(__xludf.DUMMYFUNCTION("IMPORTRANGE(""1SNrQs1oiYtSIRoAQ6-0wGW92vkxfJIr34Fp44cxHgRg"", ""1月20日!F15"")"),1755733.0)</f>
        <v>1755733</v>
      </c>
      <c r="D35" s="537"/>
      <c r="E35" s="537"/>
      <c r="F35" s="537"/>
      <c r="G35" s="6"/>
      <c r="H35" s="6"/>
    </row>
    <row r="36">
      <c r="B36" s="538" t="s">
        <v>129</v>
      </c>
      <c r="C36" s="522">
        <f>IFERROR(__xludf.DUMMYFUNCTION("IMPORTRANGE(""1t2YDL0W_FSrPAtUBku2Z8HGiTZPLv8M1UVfIaROZ8Vc"", ""2026/1月!O3"")+1000000"),6560991.0)</f>
        <v>6560991</v>
      </c>
      <c r="D36" s="511"/>
      <c r="E36" s="511"/>
      <c r="F36" s="511"/>
      <c r="G36" s="6"/>
      <c r="H36" s="6"/>
    </row>
    <row r="37">
      <c r="B37" s="538" t="s">
        <v>127</v>
      </c>
      <c r="C37" s="522">
        <f>IFERROR(__xludf.DUMMYFUNCTION("IMPORTRANGE(""19eD15JPI2SoHKLgnXs8hXbY1ZpP5huYLpI6fo8Mr8bk"", ""経費!CG2"")"),2787500.2)</f>
        <v>2787500.2</v>
      </c>
      <c r="E37" s="511"/>
      <c r="F37" s="511"/>
      <c r="G37" s="6"/>
      <c r="H37" s="6"/>
    </row>
    <row r="38">
      <c r="B38" s="538" t="s">
        <v>336</v>
      </c>
      <c r="C38" s="522">
        <f>IFERROR(__xludf.DUMMYFUNCTION("IMPORTRANGE(""14XIjmVcs8qf6tS7n0A5FnYSYOV-msbbCaARCRnN4wc0"", ""2026/1月!H3"")"),1293438.0)</f>
        <v>1293438</v>
      </c>
      <c r="D38" s="511"/>
      <c r="E38" s="511"/>
      <c r="F38" s="511"/>
      <c r="G38" s="6"/>
      <c r="H38" s="6"/>
    </row>
    <row r="39">
      <c r="B39" s="538" t="s">
        <v>337</v>
      </c>
      <c r="C39" s="522" t="str">
        <f>IFERROR(__xludf.DUMMYFUNCTION("IMPORTRANGE(""1T1trhXRLFLmvsw6NF2ctVVuwIVOBYo9gekGltVhcgf4"", ""Monthly pay!V17"")"),"")</f>
        <v/>
      </c>
      <c r="D39" s="511"/>
      <c r="E39" s="511"/>
      <c r="F39" s="511"/>
      <c r="G39" s="6"/>
      <c r="H39" s="6"/>
    </row>
    <row r="40">
      <c r="B40" s="512" t="s">
        <v>307</v>
      </c>
      <c r="C40" s="522">
        <f>SUM(C33:C39)</f>
        <v>12397662.2</v>
      </c>
      <c r="D40" s="511"/>
      <c r="E40" s="511"/>
      <c r="F40" s="511"/>
      <c r="G40" s="6"/>
      <c r="H40" s="6"/>
    </row>
    <row r="41">
      <c r="B41" s="532" t="s">
        <v>311</v>
      </c>
      <c r="C41" s="534"/>
      <c r="D41" s="511"/>
      <c r="E41" s="533"/>
      <c r="F41" s="533"/>
      <c r="G41" s="6"/>
      <c r="H41" s="6"/>
    </row>
    <row r="42">
      <c r="B42" s="532" t="s">
        <v>338</v>
      </c>
      <c r="C42" s="533" t="str">
        <f>C30-C31-C32-C40-C41</f>
        <v>#REF!</v>
      </c>
      <c r="D42" s="533"/>
      <c r="E42" s="533"/>
      <c r="F42" s="533"/>
      <c r="G42" s="6"/>
      <c r="H42" s="6"/>
    </row>
    <row r="43">
      <c r="B43" s="532" t="s">
        <v>339</v>
      </c>
      <c r="C43" s="539">
        <f>IFERROR(__xludf.DUMMYFUNCTION("IMPORTRANGE(""14XIjmVcs8qf6tS7n0A5FnYSYOV-msbbCaARCRnN4wc0"", ""2026/1月!H5"")"),0.0)</f>
        <v>0</v>
      </c>
      <c r="D43" s="532" t="s">
        <v>340</v>
      </c>
      <c r="E43" s="533"/>
      <c r="F43" s="533"/>
      <c r="G43" s="6"/>
      <c r="H43" s="6"/>
    </row>
    <row r="44">
      <c r="B44" s="532" t="s">
        <v>341</v>
      </c>
      <c r="C44" s="539">
        <f>IFERROR(__xludf.DUMMYFUNCTION("IMPORTRANGE(""14XIjmVcs8qf6tS7n0A5FnYSYOV-msbbCaARCRnN4wc0"", ""2026/1月!H13"")"),0.0)</f>
        <v>0</v>
      </c>
      <c r="D44" s="540">
        <f>C24-C43-C44</f>
        <v>54687474</v>
      </c>
      <c r="E44" s="533"/>
      <c r="F44" s="533"/>
      <c r="G44" s="6"/>
      <c r="H44" s="6"/>
    </row>
  </sheetData>
  <hyperlinks>
    <hyperlink r:id="rId1" ref="B35"/>
    <hyperlink r:id="rId2" ref="B36"/>
    <hyperlink r:id="rId3" location="gid=441054899" ref="B37"/>
    <hyperlink r:id="rId4" location="gid=0" ref="B38"/>
    <hyperlink r:id="rId5" location="gid=2089831337" ref="B39"/>
  </hyperlinks>
  <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row>
    <row r="2">
      <c r="A2" s="514"/>
      <c r="B2" s="512" t="s">
        <v>257</v>
      </c>
      <c r="C2" s="512"/>
      <c r="D2" s="511"/>
      <c r="E2" s="511"/>
      <c r="F2" s="511"/>
      <c r="G2" s="6"/>
      <c r="H2" s="6"/>
    </row>
    <row r="3">
      <c r="A3" s="514"/>
      <c r="B3" s="512" t="s">
        <v>260</v>
      </c>
      <c r="C3" s="512"/>
      <c r="D3" s="515"/>
      <c r="E3" s="511"/>
      <c r="F3" s="511"/>
      <c r="G3" s="6"/>
      <c r="H3" s="6"/>
    </row>
    <row r="4">
      <c r="A4" s="514"/>
      <c r="B4" s="512" t="s">
        <v>261</v>
      </c>
      <c r="C4" s="512"/>
      <c r="D4" s="515"/>
      <c r="E4" s="515"/>
      <c r="F4" s="511"/>
      <c r="G4" s="6"/>
      <c r="H4" s="6"/>
    </row>
    <row r="5">
      <c r="A5" s="514"/>
      <c r="B5" s="512" t="s">
        <v>266</v>
      </c>
      <c r="C5" s="512"/>
      <c r="D5" s="515"/>
      <c r="E5" s="515"/>
      <c r="F5" s="515"/>
      <c r="G5" s="6"/>
      <c r="H5" s="6"/>
    </row>
    <row r="6">
      <c r="A6" s="516"/>
      <c r="B6" s="512" t="s">
        <v>267</v>
      </c>
      <c r="C6" s="517">
        <v>27.0</v>
      </c>
      <c r="D6" s="515"/>
      <c r="E6" s="515"/>
      <c r="F6" s="515"/>
      <c r="G6" s="517"/>
      <c r="H6" s="518"/>
    </row>
    <row r="7">
      <c r="A7" s="516"/>
      <c r="B7" s="512" t="s">
        <v>319</v>
      </c>
      <c r="C7" s="517">
        <v>8.0</v>
      </c>
      <c r="D7" s="515"/>
      <c r="E7" s="515"/>
      <c r="F7" s="515"/>
      <c r="G7" s="6"/>
      <c r="H7" s="6"/>
    </row>
    <row r="8">
      <c r="A8" s="519"/>
      <c r="B8" s="512" t="s">
        <v>320</v>
      </c>
      <c r="C8" s="520"/>
      <c r="D8" s="515"/>
      <c r="E8" s="515"/>
      <c r="F8" s="515"/>
      <c r="G8" s="6"/>
      <c r="H8" s="6"/>
    </row>
    <row r="9">
      <c r="A9" s="516"/>
      <c r="B9" s="512" t="s">
        <v>269</v>
      </c>
      <c r="C9" s="517">
        <v>1.0</v>
      </c>
      <c r="D9" s="515"/>
      <c r="E9" s="515"/>
      <c r="F9" s="515"/>
      <c r="G9" s="6"/>
      <c r="H9" s="6"/>
    </row>
    <row r="10">
      <c r="A10" s="519"/>
      <c r="B10" s="512" t="s">
        <v>321</v>
      </c>
      <c r="C10" s="520"/>
      <c r="D10" s="515"/>
      <c r="E10" s="515"/>
      <c r="F10" s="515"/>
      <c r="G10" s="6"/>
      <c r="H10" s="6"/>
    </row>
    <row r="11">
      <c r="A11" s="516"/>
      <c r="B11" s="512" t="s">
        <v>322</v>
      </c>
      <c r="C11" s="517">
        <v>0.0</v>
      </c>
      <c r="D11" s="515"/>
      <c r="E11" s="515"/>
      <c r="F11" s="515"/>
      <c r="G11" s="6"/>
      <c r="H11" s="6"/>
    </row>
    <row r="12">
      <c r="A12" s="519"/>
      <c r="B12" s="512" t="s">
        <v>323</v>
      </c>
      <c r="C12" s="520"/>
      <c r="D12" s="515"/>
      <c r="E12" s="515"/>
      <c r="F12" s="515"/>
      <c r="G12" s="6"/>
      <c r="H12" s="6"/>
    </row>
    <row r="13">
      <c r="A13" s="516"/>
      <c r="B13" s="512" t="s">
        <v>324</v>
      </c>
      <c r="C13" s="517">
        <v>1.0</v>
      </c>
      <c r="D13" s="515"/>
      <c r="E13" s="515"/>
      <c r="F13" s="515"/>
      <c r="G13" s="6"/>
      <c r="H13" s="6"/>
    </row>
    <row r="14">
      <c r="A14" s="519"/>
      <c r="B14" s="512" t="s">
        <v>325</v>
      </c>
      <c r="C14" s="520"/>
      <c r="D14" s="515"/>
      <c r="E14" s="515"/>
      <c r="F14" s="515"/>
      <c r="G14" s="6"/>
      <c r="H14" s="6"/>
    </row>
    <row r="15">
      <c r="A15" s="516"/>
      <c r="B15" s="512" t="s">
        <v>273</v>
      </c>
      <c r="C15" s="517">
        <v>0.0</v>
      </c>
      <c r="D15" s="511"/>
      <c r="E15" s="511"/>
      <c r="F15" s="515"/>
      <c r="G15" s="6"/>
      <c r="H15" s="6"/>
    </row>
    <row r="16">
      <c r="A16" s="514"/>
      <c r="B16" s="512" t="s">
        <v>282</v>
      </c>
      <c r="C16" s="517"/>
      <c r="D16" s="511"/>
      <c r="E16" s="511"/>
      <c r="F16" s="511"/>
      <c r="G16" s="6"/>
      <c r="H16" s="6"/>
    </row>
    <row r="17">
      <c r="A17" s="514"/>
      <c r="B17" s="512" t="s">
        <v>283</v>
      </c>
      <c r="C17" s="517">
        <v>292.0</v>
      </c>
      <c r="D17" s="511"/>
      <c r="E17" s="511"/>
      <c r="F17" s="511"/>
      <c r="G17" s="6"/>
      <c r="H17" s="6"/>
    </row>
    <row r="18">
      <c r="A18" s="521"/>
      <c r="B18" s="512" t="s">
        <v>291</v>
      </c>
      <c r="C18" s="522">
        <v>1.51424447237E9</v>
      </c>
      <c r="D18" s="523"/>
      <c r="E18" s="523"/>
      <c r="F18" s="523"/>
      <c r="G18" s="6"/>
      <c r="H18" s="6"/>
    </row>
    <row r="19">
      <c r="A19" s="521"/>
      <c r="B19" s="512" t="s">
        <v>292</v>
      </c>
      <c r="C19" s="522">
        <v>1.46066596655E9</v>
      </c>
      <c r="D19" s="523"/>
      <c r="E19" s="523"/>
      <c r="F19" s="523"/>
      <c r="G19" s="6"/>
      <c r="H19" s="6"/>
    </row>
    <row r="20">
      <c r="A20" s="519"/>
      <c r="B20" s="512" t="s">
        <v>293</v>
      </c>
      <c r="C20" s="524">
        <v>0.9646170041907816</v>
      </c>
      <c r="D20" s="511"/>
      <c r="E20" s="511"/>
      <c r="F20" s="511"/>
      <c r="G20" s="6"/>
      <c r="H20" s="6"/>
    </row>
    <row r="21">
      <c r="A21" s="521"/>
      <c r="B21" s="512" t="s">
        <v>326</v>
      </c>
      <c r="C21" s="522">
        <v>5.357850581999993E7</v>
      </c>
      <c r="D21" s="511"/>
      <c r="E21" s="511"/>
      <c r="F21" s="511"/>
      <c r="G21" s="6"/>
      <c r="H21" s="6"/>
    </row>
    <row r="22">
      <c r="A22" s="521"/>
      <c r="B22" s="512" t="s">
        <v>295</v>
      </c>
      <c r="C22" s="522">
        <v>184753.46834482736</v>
      </c>
      <c r="D22" s="511"/>
      <c r="E22" s="511"/>
      <c r="F22" s="511"/>
      <c r="G22" s="541">
        <f>1723439*1.3%</f>
        <v>22404.707</v>
      </c>
      <c r="H22" s="541">
        <f>2468559*58.33%</f>
        <v>1439910.465</v>
      </c>
    </row>
    <row r="23">
      <c r="A23" s="521"/>
      <c r="B23" s="512" t="s">
        <v>296</v>
      </c>
      <c r="C23" s="525">
        <v>7.3458827E7</v>
      </c>
      <c r="D23" s="511"/>
      <c r="E23" s="511"/>
      <c r="F23" s="511"/>
      <c r="G23" s="541">
        <v>134503.45</v>
      </c>
      <c r="H23" s="541">
        <v>5534943.09</v>
      </c>
    </row>
    <row r="24">
      <c r="A24" s="526"/>
      <c r="B24" s="512" t="s">
        <v>297</v>
      </c>
      <c r="C24" s="525">
        <v>6.1567404E7</v>
      </c>
      <c r="D24" s="511"/>
      <c r="E24" s="511"/>
      <c r="F24" s="511"/>
      <c r="G24" s="6"/>
      <c r="H24" s="6"/>
    </row>
    <row r="25">
      <c r="A25" s="519"/>
      <c r="B25" s="512" t="s">
        <v>327</v>
      </c>
      <c r="C25" s="524">
        <v>0.8381212512418691</v>
      </c>
      <c r="D25" s="513" t="s">
        <v>328</v>
      </c>
      <c r="E25" s="524"/>
      <c r="F25" s="511"/>
      <c r="G25" s="6"/>
      <c r="H25" s="6"/>
    </row>
    <row r="26">
      <c r="A26" s="521"/>
      <c r="B26" s="512" t="s">
        <v>299</v>
      </c>
      <c r="C26" s="525">
        <v>2.0555338E7</v>
      </c>
      <c r="D26" s="512" t="s">
        <v>329</v>
      </c>
      <c r="E26" s="511" t="str">
        <f>IFERROR(__xludf.DUMMYFUNCTION("IMPORTRANGE(""1vYc4iTJ16E7R6SUnGhwdB4aOJULuweZOJUwnvK3B2Ug"", ""キャッシュバック・ボーナス!R8"")"),"#REF!")</f>
        <v>#REF!</v>
      </c>
      <c r="F26" s="511"/>
      <c r="G26" s="6"/>
      <c r="H26" s="6"/>
    </row>
    <row r="27">
      <c r="A27" s="527"/>
      <c r="B27" s="512" t="s">
        <v>330</v>
      </c>
      <c r="C27" s="525">
        <v>3.8616975E7</v>
      </c>
      <c r="D27" s="512" t="s">
        <v>331</v>
      </c>
      <c r="E27" s="504" t="str">
        <f>E26/C21</f>
        <v>#REF!</v>
      </c>
      <c r="F27" s="511"/>
      <c r="G27" s="6"/>
      <c r="H27" s="6"/>
    </row>
    <row r="28">
      <c r="B28" s="512" t="s">
        <v>301</v>
      </c>
      <c r="C28" s="522">
        <v>133161.9827586207</v>
      </c>
      <c r="D28" s="512" t="s">
        <v>332</v>
      </c>
      <c r="E28" s="515" t="str">
        <f>E26/C27</f>
        <v>#REF!</v>
      </c>
      <c r="F28" s="511"/>
      <c r="G28" s="6"/>
      <c r="H28" s="6"/>
    </row>
    <row r="29">
      <c r="B29" s="512" t="s">
        <v>302</v>
      </c>
      <c r="C29" s="522">
        <f>211533+1918616.37+5244298.63</f>
        <v>7374448</v>
      </c>
      <c r="D29" s="512" t="s">
        <v>333</v>
      </c>
      <c r="E29" s="515" t="str">
        <f>E26/C18</f>
        <v>#REF!</v>
      </c>
      <c r="F29" s="511"/>
      <c r="G29" s="528"/>
      <c r="H29" s="529"/>
    </row>
    <row r="30">
      <c r="B30" s="512" t="s">
        <v>303</v>
      </c>
      <c r="C30" s="525">
        <f>C27-C29</f>
        <v>31242527</v>
      </c>
      <c r="D30" s="511"/>
      <c r="E30" s="511"/>
      <c r="F30" s="511"/>
      <c r="G30" s="6"/>
      <c r="H30" s="6"/>
    </row>
    <row r="31">
      <c r="B31" s="530" t="s">
        <v>304</v>
      </c>
      <c r="C31" s="542">
        <v>6248505.0</v>
      </c>
      <c r="D31" s="531"/>
      <c r="E31" s="531"/>
      <c r="F31" s="531"/>
      <c r="G31" s="6"/>
      <c r="H31" s="6"/>
    </row>
    <row r="32">
      <c r="B32" s="532" t="s">
        <v>305</v>
      </c>
      <c r="C32" s="542">
        <v>7029569.0</v>
      </c>
      <c r="D32" s="533"/>
      <c r="E32" s="533"/>
      <c r="F32" s="533"/>
      <c r="G32" s="6"/>
      <c r="H32" s="6"/>
    </row>
    <row r="33">
      <c r="B33" s="532" t="s">
        <v>334</v>
      </c>
      <c r="C33" s="534">
        <v>2.495621912E7</v>
      </c>
      <c r="D33" s="533"/>
      <c r="E33" s="533"/>
      <c r="F33" s="533"/>
      <c r="G33" s="6"/>
      <c r="H33" s="6"/>
    </row>
    <row r="34">
      <c r="B34" s="535" t="s">
        <v>342</v>
      </c>
      <c r="C34" s="534">
        <f>9938745+5534943</f>
        <v>15473688</v>
      </c>
      <c r="D34" s="533"/>
      <c r="E34" s="533"/>
      <c r="F34" s="533"/>
      <c r="G34" s="6"/>
      <c r="H34" s="6"/>
    </row>
    <row r="35">
      <c r="B35" s="536" t="s">
        <v>135</v>
      </c>
      <c r="C35" s="543">
        <f>IFERROR(__xludf.DUMMYFUNCTION("IMPORTRANGE(""1-7D4xn7jPVWxK4Hv_jQ4ruRle9vkJvezFGDqi1GFnd4"", ""MONTHLY !H39"")"),8554792.14)</f>
        <v>8554792.14</v>
      </c>
      <c r="D35" s="537"/>
      <c r="E35" s="537"/>
      <c r="F35" s="537"/>
      <c r="G35" s="6"/>
      <c r="H35" s="6"/>
    </row>
    <row r="36">
      <c r="B36" s="538" t="s">
        <v>129</v>
      </c>
      <c r="C36" s="522">
        <f>IFERROR(__xludf.DUMMYFUNCTION("IMPORTRANGE(""1t2YDL0W_FSrPAtUBku2Z8HGiTZPLv8M1UVfIaROZ8Vc"", ""2025/12月!O3"")"),213423.0)</f>
        <v>213423</v>
      </c>
      <c r="D36" s="511"/>
      <c r="E36" s="511"/>
      <c r="F36" s="511"/>
      <c r="G36" s="6"/>
      <c r="H36" s="6"/>
    </row>
    <row r="37">
      <c r="B37" s="538" t="s">
        <v>127</v>
      </c>
      <c r="C37" s="522">
        <f>IFERROR(__xludf.DUMMYFUNCTION("IMPORTRANGE(""19eD15JPI2SoHKLgnXs8hXbY1ZpP5huYLpI6fo8Mr8bk"", ""経費!CB2"")"),1.01677413376E7)</f>
        <v>10167741.34</v>
      </c>
      <c r="E37" s="511"/>
      <c r="F37" s="511"/>
      <c r="G37" s="6"/>
      <c r="H37" s="6"/>
    </row>
    <row r="38">
      <c r="B38" s="538" t="s">
        <v>336</v>
      </c>
      <c r="C38" s="522">
        <f>IFERROR(__xludf.DUMMYFUNCTION("IMPORTRANGE(""14XIjmVcs8qf6tS7n0A5FnYSYOV-msbbCaARCRnN4wc0"", ""2025/12月!H3"")"),2468559.0)</f>
        <v>2468559</v>
      </c>
      <c r="D38" s="511"/>
      <c r="E38" s="511"/>
      <c r="F38" s="511"/>
      <c r="G38" s="6"/>
      <c r="H38" s="6"/>
    </row>
    <row r="39">
      <c r="B39" s="538" t="s">
        <v>337</v>
      </c>
      <c r="C39" s="522">
        <f>IFERROR(__xludf.DUMMYFUNCTION("IMPORTRANGE(""1T1trhXRLFLmvsw6NF2ctVVuwIVOBYo9gekGltVhcgf4"", ""Monthly pay!U17"")"),725563.8642000001)</f>
        <v>725563.8642</v>
      </c>
      <c r="D39" s="511"/>
      <c r="E39" s="511"/>
      <c r="F39" s="511"/>
      <c r="G39" s="6"/>
      <c r="H39" s="6"/>
    </row>
    <row r="40">
      <c r="B40" s="512" t="s">
        <v>307</v>
      </c>
      <c r="C40" s="522">
        <f>SUM(C33:C39)</f>
        <v>62559986.46</v>
      </c>
      <c r="D40" s="511"/>
      <c r="E40" s="511"/>
      <c r="F40" s="511"/>
      <c r="G40" s="6"/>
      <c r="H40" s="6"/>
    </row>
    <row r="41">
      <c r="B41" s="532" t="s">
        <v>311</v>
      </c>
      <c r="C41" s="534"/>
      <c r="D41" s="511"/>
      <c r="E41" s="533"/>
      <c r="F41" s="533"/>
      <c r="G41" s="6"/>
      <c r="H41" s="6"/>
    </row>
    <row r="42">
      <c r="B42" s="532" t="s">
        <v>338</v>
      </c>
      <c r="C42" s="540">
        <f>C30-C31-C32-C40-C41</f>
        <v>-44595533.46</v>
      </c>
      <c r="D42" s="533"/>
      <c r="E42" s="533"/>
      <c r="F42" s="533"/>
      <c r="G42" s="6"/>
      <c r="H42" s="6"/>
    </row>
    <row r="43">
      <c r="B43" s="532" t="s">
        <v>339</v>
      </c>
      <c r="C43" s="539">
        <f>IFERROR(__xludf.DUMMYFUNCTION("IMPORTRANGE(""14XIjmVcs8qf6tS7n0A5FnYSYOV-msbbCaARCRnN4wc0"", ""2025/11月!H5"")"),44488.0)</f>
        <v>44488</v>
      </c>
      <c r="D43" s="532" t="s">
        <v>340</v>
      </c>
      <c r="E43" s="533"/>
      <c r="F43" s="533"/>
      <c r="G43" s="6"/>
      <c r="H43" s="6"/>
    </row>
    <row r="44">
      <c r="B44" s="532" t="s">
        <v>341</v>
      </c>
      <c r="C44" s="539">
        <f>IFERROR(__xludf.DUMMYFUNCTION("IMPORTRANGE(""14XIjmVcs8qf6tS7n0A5FnYSYOV-msbbCaARCRnN4wc0"", ""2025/12月!H13"")"),2350603.0)</f>
        <v>2350603</v>
      </c>
      <c r="D44" s="540">
        <f>C24-C43-C44</f>
        <v>59172313</v>
      </c>
      <c r="E44" s="533"/>
      <c r="F44" s="533"/>
      <c r="G44" s="6"/>
      <c r="H44" s="6"/>
    </row>
  </sheetData>
  <hyperlinks>
    <hyperlink r:id="rId4" location="gid=0" ref="B35"/>
    <hyperlink r:id="rId5" ref="B36"/>
    <hyperlink r:id="rId6" location="gid=441054899" ref="B37"/>
    <hyperlink r:id="rId7" location="gid=0" ref="B38"/>
    <hyperlink r:id="rId8" location="gid=2089831337" ref="B39"/>
  </hyperlinks>
  <drawing r:id="rId9"/>
  <legacyDrawing r:id="rId10"/>
  <tableParts count="1">
    <tablePart r:id="rId1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row>
    <row r="2">
      <c r="A2" s="514"/>
      <c r="B2" s="512" t="s">
        <v>257</v>
      </c>
      <c r="C2" s="512">
        <v>14867.0</v>
      </c>
      <c r="D2" s="511"/>
      <c r="E2" s="511"/>
      <c r="F2" s="511"/>
      <c r="G2" s="6"/>
      <c r="H2" s="6"/>
    </row>
    <row r="3">
      <c r="A3" s="514"/>
      <c r="B3" s="512" t="s">
        <v>260</v>
      </c>
      <c r="C3" s="512">
        <v>10398.0</v>
      </c>
      <c r="D3" s="515"/>
      <c r="E3" s="511"/>
      <c r="F3" s="511"/>
      <c r="G3" s="6"/>
      <c r="H3" s="6"/>
    </row>
    <row r="4">
      <c r="A4" s="514"/>
      <c r="B4" s="512" t="s">
        <v>261</v>
      </c>
      <c r="C4" s="512">
        <v>1209.0</v>
      </c>
      <c r="D4" s="515"/>
      <c r="E4" s="515"/>
      <c r="F4" s="511"/>
      <c r="G4" s="6"/>
      <c r="H4" s="6"/>
    </row>
    <row r="5">
      <c r="A5" s="514"/>
      <c r="B5" s="512" t="s">
        <v>266</v>
      </c>
      <c r="C5" s="512">
        <v>38.0</v>
      </c>
      <c r="D5" s="515"/>
      <c r="E5" s="515"/>
      <c r="F5" s="515"/>
      <c r="G5" s="6"/>
      <c r="H5" s="6"/>
    </row>
    <row r="6">
      <c r="A6" s="516"/>
      <c r="B6" s="512" t="s">
        <v>267</v>
      </c>
      <c r="C6" s="517">
        <v>77.0</v>
      </c>
      <c r="D6" s="515"/>
      <c r="E6" s="515"/>
      <c r="F6" s="515"/>
      <c r="G6" s="517"/>
      <c r="H6" s="518"/>
    </row>
    <row r="7">
      <c r="A7" s="516"/>
      <c r="B7" s="512" t="s">
        <v>319</v>
      </c>
      <c r="C7" s="517">
        <v>61.0</v>
      </c>
      <c r="D7" s="515"/>
      <c r="E7" s="515"/>
      <c r="F7" s="515"/>
      <c r="G7" s="6"/>
      <c r="H7" s="6"/>
    </row>
    <row r="8">
      <c r="A8" s="519"/>
      <c r="B8" s="512" t="s">
        <v>320</v>
      </c>
      <c r="C8" s="520">
        <v>0.7922077922077922</v>
      </c>
      <c r="D8" s="515"/>
      <c r="E8" s="515"/>
      <c r="F8" s="515"/>
      <c r="G8" s="6"/>
      <c r="H8" s="6"/>
    </row>
    <row r="9">
      <c r="A9" s="516"/>
      <c r="B9" s="512" t="s">
        <v>269</v>
      </c>
      <c r="C9" s="517">
        <v>29.0</v>
      </c>
      <c r="D9" s="515"/>
      <c r="E9" s="515"/>
      <c r="F9" s="515"/>
      <c r="G9" s="6"/>
      <c r="H9" s="6"/>
    </row>
    <row r="10">
      <c r="A10" s="519"/>
      <c r="B10" s="512" t="s">
        <v>321</v>
      </c>
      <c r="C10" s="520">
        <v>0.37662337662337664</v>
      </c>
      <c r="D10" s="515"/>
      <c r="E10" s="515"/>
      <c r="F10" s="515"/>
      <c r="G10" s="6"/>
      <c r="H10" s="6"/>
    </row>
    <row r="11">
      <c r="A11" s="516"/>
      <c r="B11" s="512" t="s">
        <v>322</v>
      </c>
      <c r="C11" s="517">
        <v>33.0</v>
      </c>
      <c r="D11" s="515"/>
      <c r="E11" s="515"/>
      <c r="F11" s="515"/>
      <c r="G11" s="6"/>
      <c r="H11" s="6"/>
    </row>
    <row r="12">
      <c r="A12" s="519"/>
      <c r="B12" s="512" t="s">
        <v>323</v>
      </c>
      <c r="C12" s="520">
        <v>0.42857142857142855</v>
      </c>
      <c r="D12" s="515"/>
      <c r="E12" s="515"/>
      <c r="F12" s="515"/>
      <c r="G12" s="6"/>
      <c r="H12" s="6"/>
    </row>
    <row r="13">
      <c r="A13" s="516"/>
      <c r="B13" s="512" t="s">
        <v>324</v>
      </c>
      <c r="C13" s="517">
        <v>62.0</v>
      </c>
      <c r="D13" s="515"/>
      <c r="E13" s="515"/>
      <c r="F13" s="515"/>
      <c r="G13" s="6"/>
      <c r="H13" s="6"/>
    </row>
    <row r="14">
      <c r="A14" s="519"/>
      <c r="B14" s="512" t="s">
        <v>325</v>
      </c>
      <c r="C14" s="520">
        <v>0.8051948051948052</v>
      </c>
      <c r="D14" s="515"/>
      <c r="E14" s="515"/>
      <c r="F14" s="515"/>
      <c r="G14" s="6"/>
      <c r="H14" s="6"/>
    </row>
    <row r="15">
      <c r="A15" s="516"/>
      <c r="B15" s="512" t="s">
        <v>273</v>
      </c>
      <c r="C15" s="517">
        <v>82.0</v>
      </c>
      <c r="D15" s="511"/>
      <c r="E15" s="511"/>
      <c r="F15" s="515"/>
      <c r="G15" s="6"/>
      <c r="H15" s="6"/>
    </row>
    <row r="16">
      <c r="A16" s="514"/>
      <c r="B16" s="512" t="s">
        <v>282</v>
      </c>
      <c r="C16" s="517">
        <v>150.0</v>
      </c>
      <c r="D16" s="511"/>
      <c r="E16" s="511"/>
      <c r="F16" s="511"/>
      <c r="G16" s="6"/>
      <c r="H16" s="6"/>
    </row>
    <row r="17">
      <c r="A17" s="514"/>
      <c r="B17" s="512" t="s">
        <v>283</v>
      </c>
      <c r="C17" s="517">
        <v>227.0</v>
      </c>
      <c r="D17" s="511"/>
      <c r="E17" s="511"/>
      <c r="F17" s="511"/>
      <c r="G17" s="6"/>
      <c r="H17" s="6"/>
    </row>
    <row r="18">
      <c r="A18" s="521"/>
      <c r="B18" s="512" t="s">
        <v>291</v>
      </c>
      <c r="C18" s="522">
        <v>1.56820634994E9</v>
      </c>
      <c r="D18" s="523"/>
      <c r="E18" s="523"/>
      <c r="F18" s="523"/>
      <c r="G18" s="6"/>
      <c r="H18" s="6"/>
    </row>
    <row r="19">
      <c r="A19" s="521"/>
      <c r="B19" s="512" t="s">
        <v>292</v>
      </c>
      <c r="C19" s="522">
        <v>1.50330535085E9</v>
      </c>
      <c r="D19" s="523"/>
      <c r="E19" s="523"/>
      <c r="F19" s="523"/>
      <c r="G19" s="6"/>
      <c r="H19" s="6"/>
    </row>
    <row r="20">
      <c r="A20" s="519"/>
      <c r="B20" s="512" t="s">
        <v>293</v>
      </c>
      <c r="C20" s="524">
        <v>0.9586145030642917</v>
      </c>
      <c r="D20" s="511"/>
      <c r="E20" s="511"/>
      <c r="F20" s="511"/>
      <c r="G20" s="6"/>
      <c r="H20" s="6"/>
    </row>
    <row r="21">
      <c r="A21" s="521"/>
      <c r="B21" s="512" t="s">
        <v>326</v>
      </c>
      <c r="C21" s="522">
        <v>6.490099909000015E7</v>
      </c>
      <c r="D21" s="511"/>
      <c r="E21" s="511"/>
      <c r="F21" s="511"/>
      <c r="G21" s="544"/>
      <c r="H21" s="6"/>
    </row>
    <row r="22">
      <c r="A22" s="521"/>
      <c r="B22" s="512" t="s">
        <v>295</v>
      </c>
      <c r="C22" s="522">
        <v>285907.48497797427</v>
      </c>
      <c r="D22" s="511"/>
      <c r="E22" s="511"/>
      <c r="F22" s="511"/>
      <c r="G22" s="6"/>
      <c r="H22" s="6"/>
    </row>
    <row r="23">
      <c r="A23" s="521"/>
      <c r="B23" s="512" t="s">
        <v>296</v>
      </c>
      <c r="C23" s="525">
        <v>7.7447062E7</v>
      </c>
      <c r="D23" s="511"/>
      <c r="E23" s="511"/>
      <c r="F23" s="511"/>
      <c r="G23" s="6"/>
      <c r="H23" s="6"/>
    </row>
    <row r="24">
      <c r="A24" s="526"/>
      <c r="B24" s="512" t="s">
        <v>297</v>
      </c>
      <c r="C24" s="525">
        <v>6.4213601E7</v>
      </c>
      <c r="D24" s="511"/>
      <c r="E24" s="511"/>
      <c r="F24" s="511"/>
      <c r="G24" s="6"/>
      <c r="H24" s="6"/>
    </row>
    <row r="25">
      <c r="A25" s="519"/>
      <c r="B25" s="512" t="s">
        <v>327</v>
      </c>
      <c r="C25" s="524">
        <v>0.829128947460912</v>
      </c>
      <c r="D25" s="513" t="s">
        <v>328</v>
      </c>
      <c r="E25" s="524">
        <v>0.7476</v>
      </c>
      <c r="F25" s="511"/>
      <c r="G25" s="6"/>
      <c r="H25" s="6"/>
    </row>
    <row r="26">
      <c r="A26" s="521"/>
      <c r="B26" s="512" t="s">
        <v>299</v>
      </c>
      <c r="C26" s="525">
        <v>1.9725328E7</v>
      </c>
      <c r="D26" s="512" t="s">
        <v>329</v>
      </c>
      <c r="E26" s="511" t="str">
        <f>IFERROR(__xludf.DUMMYFUNCTION("IMPORTRANGE(""1vYc4iTJ16E7R6SUnGhwdB4aOJULuweZOJUwnvK3B2Ug"", ""キャッシュバック・ボーナス!Q8"")"),"#REF!")</f>
        <v>#REF!</v>
      </c>
      <c r="F26" s="511"/>
      <c r="G26" s="6"/>
      <c r="H26" s="6"/>
    </row>
    <row r="27">
      <c r="A27" s="527"/>
      <c r="B27" s="512" t="s">
        <v>330</v>
      </c>
      <c r="C27" s="525">
        <f>D44-C26</f>
        <v>43448785</v>
      </c>
      <c r="D27" s="512" t="s">
        <v>331</v>
      </c>
      <c r="E27" s="504" t="str">
        <f>E26/C21</f>
        <v>#REF!</v>
      </c>
      <c r="F27" s="511"/>
      <c r="G27" s="6"/>
      <c r="H27" s="6"/>
    </row>
    <row r="28">
      <c r="B28" s="512" t="s">
        <v>301</v>
      </c>
      <c r="C28" s="522">
        <f>IFERROR(C27/C17, 0)</f>
        <v>191404.3392</v>
      </c>
      <c r="D28" s="512" t="s">
        <v>332</v>
      </c>
      <c r="E28" s="515" t="str">
        <f>E26/C27</f>
        <v>#REF!</v>
      </c>
      <c r="F28" s="511"/>
      <c r="G28" s="6"/>
      <c r="H28" s="6"/>
    </row>
    <row r="29">
      <c r="A29" s="545"/>
      <c r="B29" s="512" t="s">
        <v>302</v>
      </c>
      <c r="C29" s="522">
        <f>134503+648097.35+127970+7008956+1918616.3736</f>
        <v>9838142.724</v>
      </c>
      <c r="D29" s="512" t="s">
        <v>333</v>
      </c>
      <c r="E29" s="515" t="str">
        <f>E26/C18</f>
        <v>#REF!</v>
      </c>
      <c r="F29" s="511"/>
      <c r="G29" s="528"/>
      <c r="H29" s="529"/>
    </row>
    <row r="30">
      <c r="B30" s="512" t="s">
        <v>303</v>
      </c>
      <c r="C30" s="525">
        <f>C27-C29</f>
        <v>33610642.28</v>
      </c>
      <c r="D30" s="511"/>
      <c r="E30" s="511"/>
      <c r="F30" s="511"/>
      <c r="G30" s="6"/>
      <c r="H30" s="6"/>
    </row>
    <row r="31">
      <c r="B31" s="530" t="s">
        <v>304</v>
      </c>
      <c r="C31" s="546">
        <f>IFERROR(__xludf.DUMMYFUNCTION("IMPORTRANGE(""1Ou2QKF8-XqWX9WFzapZrSLXeIe1ELfRnTVdIY-5MEn8"", ""November2025 Summary!B8"")"),6722128.4)</f>
        <v>6722128.4</v>
      </c>
      <c r="D31" s="531"/>
      <c r="E31" s="531"/>
      <c r="F31" s="531"/>
      <c r="G31" s="6"/>
      <c r="H31" s="6"/>
    </row>
    <row r="32">
      <c r="B32" s="532" t="s">
        <v>305</v>
      </c>
      <c r="C32" s="546">
        <f>IFERROR(__xludf.DUMMYFUNCTION("IMPORTRANGE(""1Ou2QKF8-XqWX9WFzapZrSLXeIe1ELfRnTVdIY-5MEn8"", ""November2025 Summary!B15"")"),7562394.45)</f>
        <v>7562394.45</v>
      </c>
      <c r="D32" s="533"/>
      <c r="E32" s="533"/>
      <c r="F32" s="533"/>
      <c r="G32" s="6"/>
      <c r="H32" s="6"/>
    </row>
    <row r="33">
      <c r="B33" s="532" t="s">
        <v>343</v>
      </c>
      <c r="C33" s="533"/>
      <c r="D33" s="533"/>
      <c r="E33" s="533"/>
      <c r="F33" s="533"/>
      <c r="G33" s="6"/>
      <c r="H33" s="6"/>
    </row>
    <row r="34">
      <c r="B34" s="547" t="s">
        <v>131</v>
      </c>
      <c r="C34" s="534" t="str">
        <f>IFERROR(__xludf.DUMMYFUNCTION("IMPORTRANGE(""1DTUC32YJHSyBa8CTkg1se2r2AQ3xxkB4dVQorqRF3gM"", ""広告費!I8"")"),"")</f>
        <v/>
      </c>
      <c r="D34" s="533"/>
      <c r="E34" s="533"/>
      <c r="F34" s="533"/>
      <c r="G34" s="6"/>
      <c r="H34" s="6"/>
    </row>
    <row r="35">
      <c r="B35" s="536" t="s">
        <v>135</v>
      </c>
      <c r="C35" s="543">
        <f>IFERROR(__xludf.DUMMYFUNCTION("IMPORTRANGE(""1-7D4xn7jPVWxK4Hv_jQ4ruRle9vkJvezFGDqi1GFnd4"", ""MONTHLY !H36"")"),7068636.86)</f>
        <v>7068636.86</v>
      </c>
      <c r="D35" s="537"/>
      <c r="E35" s="537"/>
      <c r="F35" s="537"/>
      <c r="G35" s="6"/>
      <c r="H35" s="6"/>
    </row>
    <row r="36">
      <c r="B36" s="538" t="s">
        <v>129</v>
      </c>
      <c r="C36" s="522">
        <f>IFERROR(__xludf.DUMMYFUNCTION("IMPORTRANGE(""1t2YDL0W_FSrPAtUBku2Z8HGiTZPLv8M1UVfIaROZ8Vc"", ""2025/11月!O3"")"),201803.99245714286)</f>
        <v>201803.9925</v>
      </c>
      <c r="D36" s="511"/>
      <c r="E36" s="511"/>
      <c r="F36" s="511"/>
      <c r="G36" s="6"/>
      <c r="H36" s="6"/>
    </row>
    <row r="37">
      <c r="B37" s="538" t="s">
        <v>127</v>
      </c>
      <c r="C37" s="522">
        <f>IFERROR(__xludf.DUMMYFUNCTION("IMPORTRANGE(""19eD15JPI2SoHKLgnXs8hXbY1ZpP5huYLpI6fo8Mr8bk"", ""経費!BW2"")"),4349824.943984)</f>
        <v>4349824.944</v>
      </c>
      <c r="D37" s="511"/>
      <c r="E37" s="511"/>
      <c r="F37" s="511"/>
      <c r="G37" s="6"/>
      <c r="H37" s="6"/>
    </row>
    <row r="38">
      <c r="B38" s="538" t="s">
        <v>336</v>
      </c>
      <c r="C38" s="522">
        <f>IFERROR(__xludf.DUMMYFUNCTION("IMPORTRANGE(""14XIjmVcs8qf6tS7n0A5FnYSYOV-msbbCaARCRnN4wc0"", ""2025/11月!H3"")"),1723439.0)</f>
        <v>1723439</v>
      </c>
      <c r="D38" s="511"/>
      <c r="E38" s="511"/>
      <c r="F38" s="511"/>
      <c r="G38" s="6"/>
      <c r="H38" s="6"/>
    </row>
    <row r="39">
      <c r="B39" s="538" t="s">
        <v>337</v>
      </c>
      <c r="C39" s="522">
        <f>IFERROR(__xludf.DUMMYFUNCTION("IMPORTRANGE(""1T1trhXRLFLmvsw6NF2ctVVuwIVOBYo9gekGltVhcgf4"", ""Monthly pay!T17"")"),1953465.655568)</f>
        <v>1953465.656</v>
      </c>
      <c r="D39" s="511"/>
      <c r="E39" s="511"/>
      <c r="F39" s="511"/>
      <c r="G39" s="6"/>
      <c r="H39" s="6"/>
    </row>
    <row r="40">
      <c r="B40" s="512" t="s">
        <v>307</v>
      </c>
      <c r="C40" s="522">
        <f>SUM(C34:C39)</f>
        <v>15297170.45</v>
      </c>
      <c r="D40" s="511"/>
      <c r="E40" s="511"/>
      <c r="F40" s="511"/>
      <c r="G40" s="6"/>
      <c r="H40" s="6"/>
    </row>
    <row r="41">
      <c r="B41" s="532" t="s">
        <v>311</v>
      </c>
      <c r="C41" s="534">
        <f>IFERROR(__xludf.DUMMYFUNCTION("IMPORTRANGE(""1Ou2QKF8-XqWX9WFzapZrSLXeIe1ELfRnTVdIY-5MEn8"", ""November2025 Summary!B16"")"),9242926.55)</f>
        <v>9242926.55</v>
      </c>
      <c r="D41" s="532"/>
      <c r="E41" s="533"/>
      <c r="F41" s="533"/>
      <c r="G41" s="6"/>
      <c r="H41" s="6"/>
    </row>
    <row r="42">
      <c r="B42" s="532" t="s">
        <v>338</v>
      </c>
      <c r="C42" s="540">
        <f>C30-C31-C32-C40-C41</f>
        <v>-5213977.576</v>
      </c>
      <c r="D42" s="533"/>
      <c r="E42" s="533"/>
      <c r="F42" s="533"/>
      <c r="G42" s="6"/>
      <c r="H42" s="6"/>
    </row>
    <row r="43">
      <c r="B43" s="532" t="s">
        <v>339</v>
      </c>
      <c r="C43" s="539">
        <f>IFERROR(__xludf.DUMMYFUNCTION("IMPORTRANGE(""14XIjmVcs8qf6tS7n0A5FnYSYOV-msbbCaARCRnN4wc0"", ""2025/11月!H5"")"),44488.0)</f>
        <v>44488</v>
      </c>
      <c r="D43" s="532" t="s">
        <v>340</v>
      </c>
      <c r="E43" s="533"/>
      <c r="F43" s="533"/>
      <c r="G43" s="6"/>
      <c r="H43" s="6"/>
    </row>
    <row r="44">
      <c r="B44" s="532" t="s">
        <v>341</v>
      </c>
      <c r="C44" s="539">
        <f>IFERROR(__xludf.DUMMYFUNCTION("IMPORTRANGE(""14XIjmVcs8qf6tS7n0A5FnYSYOV-msbbCaARCRnN4wc0"", ""2025/11月!H13"")"),995000.0)</f>
        <v>995000</v>
      </c>
      <c r="D44" s="540">
        <f>C24-C43-C44</f>
        <v>63174113</v>
      </c>
      <c r="E44" s="533"/>
      <c r="F44" s="533"/>
      <c r="G44" s="6"/>
      <c r="H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c r="I1" s="9"/>
    </row>
    <row r="2">
      <c r="A2" s="514"/>
      <c r="B2" s="512" t="s">
        <v>257</v>
      </c>
      <c r="C2" s="512">
        <f>IFERROR(__xludf.DUMMYFUNCTION("IMPORTRANGE(""11QmPanSRxykbUTB_EqX7W510tAZnhZpBpW7QiSnxobM"", ""必達管理2025年10月D!T3"")"),14542.0)</f>
        <v>14542</v>
      </c>
      <c r="D2" s="511"/>
      <c r="E2" s="511"/>
      <c r="F2" s="511"/>
      <c r="G2" s="6"/>
      <c r="H2" s="6"/>
      <c r="I2" s="6"/>
    </row>
    <row r="3">
      <c r="A3" s="514"/>
      <c r="B3" s="512" t="s">
        <v>260</v>
      </c>
      <c r="C3" s="512">
        <f>IFERROR(__xludf.DUMMYFUNCTION("IMPORTRANGE(""11QmPanSRxykbUTB_EqX7W510tAZnhZpBpW7QiSnxobM"", ""必達管理2025年10月D!Q7"")"),10579.0)</f>
        <v>10579</v>
      </c>
      <c r="D3" s="515"/>
      <c r="E3" s="511"/>
      <c r="F3" s="511"/>
      <c r="G3" s="6"/>
      <c r="H3" s="6"/>
      <c r="I3" s="6"/>
    </row>
    <row r="4">
      <c r="A4" s="514"/>
      <c r="B4" s="512" t="s">
        <v>261</v>
      </c>
      <c r="C4" s="512">
        <f>IFERROR(__xludf.DUMMYFUNCTION("IMPORTRANGE(""11QmPanSRxykbUTB_EqX7W510tAZnhZpBpW7QiSnxobM"", ""必達管理2025年10月D!R7"")"),1716.0)</f>
        <v>1716</v>
      </c>
      <c r="D4" s="515"/>
      <c r="E4" s="515"/>
      <c r="F4" s="511"/>
      <c r="G4" s="6"/>
      <c r="H4" s="6"/>
      <c r="I4" s="6"/>
    </row>
    <row r="5">
      <c r="A5" s="514"/>
      <c r="B5" s="512" t="s">
        <v>266</v>
      </c>
      <c r="C5" s="512">
        <f>IFERROR(__xludf.DUMMYFUNCTION("IMPORTRANGE(""11QmPanSRxykbUTB_EqX7W510tAZnhZpBpW7QiSnxobM"", ""必達管理2025年10月D!S7"")"),23.0)</f>
        <v>23</v>
      </c>
      <c r="D5" s="515"/>
      <c r="E5" s="515"/>
      <c r="F5" s="515"/>
      <c r="G5" s="6"/>
      <c r="H5" s="6"/>
      <c r="I5" s="6"/>
    </row>
    <row r="6">
      <c r="A6" s="516"/>
      <c r="B6" s="512" t="s">
        <v>267</v>
      </c>
      <c r="C6" s="517">
        <v>141.0</v>
      </c>
      <c r="D6" s="515"/>
      <c r="E6" s="515"/>
      <c r="F6" s="515"/>
      <c r="G6" s="517"/>
      <c r="H6" s="518"/>
      <c r="I6" s="518"/>
    </row>
    <row r="7">
      <c r="A7" s="516"/>
      <c r="B7" s="512" t="s">
        <v>319</v>
      </c>
      <c r="C7" s="517">
        <v>82.0</v>
      </c>
      <c r="D7" s="515"/>
      <c r="E7" s="515"/>
      <c r="F7" s="515"/>
      <c r="G7" s="6"/>
      <c r="H7" s="6"/>
      <c r="I7" s="6"/>
    </row>
    <row r="8">
      <c r="A8" s="519"/>
      <c r="B8" s="512" t="s">
        <v>320</v>
      </c>
      <c r="C8" s="520">
        <f>C7/C6</f>
        <v>0.5815602837</v>
      </c>
      <c r="D8" s="515"/>
      <c r="E8" s="515"/>
      <c r="F8" s="515"/>
      <c r="G8" s="6"/>
      <c r="H8" s="6"/>
      <c r="I8" s="6"/>
    </row>
    <row r="9">
      <c r="A9" s="516"/>
      <c r="B9" s="512" t="s">
        <v>269</v>
      </c>
      <c r="C9" s="517">
        <v>48.0</v>
      </c>
      <c r="D9" s="515"/>
      <c r="E9" s="515"/>
      <c r="F9" s="515"/>
      <c r="G9" s="6"/>
      <c r="H9" s="6"/>
      <c r="I9" s="6"/>
    </row>
    <row r="10">
      <c r="A10" s="519"/>
      <c r="B10" s="512" t="s">
        <v>321</v>
      </c>
      <c r="C10" s="520">
        <f>C9/C6</f>
        <v>0.3404255319</v>
      </c>
      <c r="D10" s="515"/>
      <c r="E10" s="515"/>
      <c r="F10" s="515"/>
      <c r="G10" s="6"/>
      <c r="H10" s="6"/>
      <c r="I10" s="6"/>
    </row>
    <row r="11">
      <c r="A11" s="516"/>
      <c r="B11" s="512" t="s">
        <v>322</v>
      </c>
      <c r="C11" s="517">
        <v>7.0</v>
      </c>
      <c r="D11" s="515"/>
      <c r="E11" s="515"/>
      <c r="F11" s="515"/>
      <c r="G11" s="6"/>
      <c r="H11" s="6"/>
      <c r="I11" s="6"/>
    </row>
    <row r="12">
      <c r="A12" s="519"/>
      <c r="B12" s="512" t="s">
        <v>323</v>
      </c>
      <c r="C12" s="520">
        <f>C11/C6</f>
        <v>0.04964539007</v>
      </c>
      <c r="D12" s="515"/>
      <c r="E12" s="515"/>
      <c r="F12" s="515"/>
      <c r="G12" s="6"/>
      <c r="H12" s="6"/>
      <c r="I12" s="6"/>
    </row>
    <row r="13">
      <c r="A13" s="516"/>
      <c r="B13" s="512" t="s">
        <v>324</v>
      </c>
      <c r="C13" s="517">
        <f>C9+C11</f>
        <v>55</v>
      </c>
      <c r="D13" s="515"/>
      <c r="E13" s="515"/>
      <c r="F13" s="515"/>
      <c r="G13" s="6"/>
      <c r="H13" s="6"/>
      <c r="I13" s="6"/>
    </row>
    <row r="14">
      <c r="A14" s="519"/>
      <c r="B14" s="512" t="s">
        <v>325</v>
      </c>
      <c r="C14" s="520">
        <f>C13/C6</f>
        <v>0.390070922</v>
      </c>
      <c r="D14" s="515"/>
      <c r="E14" s="515"/>
      <c r="F14" s="515"/>
      <c r="G14" s="6"/>
      <c r="H14" s="6"/>
      <c r="I14" s="6"/>
    </row>
    <row r="15">
      <c r="A15" s="516"/>
      <c r="B15" s="512" t="s">
        <v>273</v>
      </c>
      <c r="C15" s="517">
        <v>75.0</v>
      </c>
      <c r="D15" s="511"/>
      <c r="E15" s="511"/>
      <c r="F15" s="515"/>
      <c r="G15" s="6"/>
      <c r="H15" s="6"/>
      <c r="I15" s="6"/>
    </row>
    <row r="16">
      <c r="A16" s="514"/>
      <c r="B16" s="512" t="s">
        <v>282</v>
      </c>
      <c r="C16" s="517">
        <f>C17-C6</f>
        <v>153</v>
      </c>
      <c r="D16" s="511"/>
      <c r="E16" s="511"/>
      <c r="F16" s="511"/>
      <c r="G16" s="6"/>
      <c r="H16" s="6"/>
      <c r="I16" s="6"/>
    </row>
    <row r="17">
      <c r="A17" s="514"/>
      <c r="B17" s="512" t="s">
        <v>283</v>
      </c>
      <c r="C17" s="517">
        <v>294.0</v>
      </c>
      <c r="D17" s="511"/>
      <c r="E17" s="511"/>
      <c r="F17" s="511"/>
      <c r="G17" s="6"/>
      <c r="H17" s="6"/>
      <c r="I17" s="6"/>
    </row>
    <row r="18">
      <c r="A18" s="521"/>
      <c r="B18" s="512" t="s">
        <v>291</v>
      </c>
      <c r="C18" s="522">
        <v>1.5774958177E9</v>
      </c>
      <c r="D18" s="523"/>
      <c r="E18" s="523"/>
      <c r="F18" s="523"/>
      <c r="G18" s="6"/>
      <c r="H18" s="6"/>
      <c r="I18" s="6"/>
    </row>
    <row r="19">
      <c r="A19" s="521"/>
      <c r="B19" s="512" t="s">
        <v>292</v>
      </c>
      <c r="C19" s="522">
        <v>1.50718447751E9</v>
      </c>
      <c r="D19" s="523"/>
      <c r="E19" s="523"/>
      <c r="F19" s="523"/>
      <c r="G19" s="6"/>
      <c r="H19" s="6"/>
      <c r="I19" s="6"/>
    </row>
    <row r="20">
      <c r="A20" s="519"/>
      <c r="B20" s="512" t="s">
        <v>293</v>
      </c>
      <c r="C20" s="524">
        <f>IFERROR(C19/C18, 0)</f>
        <v>0.9554285093</v>
      </c>
      <c r="D20" s="511"/>
      <c r="E20" s="511"/>
      <c r="F20" s="511"/>
      <c r="G20" s="6"/>
      <c r="H20" s="6"/>
      <c r="I20" s="6"/>
    </row>
    <row r="21">
      <c r="A21" s="521"/>
      <c r="B21" s="512" t="s">
        <v>326</v>
      </c>
      <c r="C21" s="522">
        <f>C18-C19</f>
        <v>70311340.19</v>
      </c>
      <c r="D21" s="511"/>
      <c r="E21" s="511"/>
      <c r="F21" s="511"/>
      <c r="G21" s="6"/>
      <c r="H21" s="6"/>
      <c r="I21" s="6"/>
    </row>
    <row r="22">
      <c r="A22" s="521"/>
      <c r="B22" s="512" t="s">
        <v>295</v>
      </c>
      <c r="C22" s="522">
        <f>IFERROR(C21/C17, 0)</f>
        <v>239154.2183</v>
      </c>
      <c r="D22" s="511"/>
      <c r="E22" s="511"/>
      <c r="F22" s="511"/>
      <c r="G22" s="6"/>
      <c r="H22" s="6"/>
      <c r="I22" s="6"/>
    </row>
    <row r="23">
      <c r="A23" s="521"/>
      <c r="B23" s="512" t="s">
        <v>296</v>
      </c>
      <c r="C23" s="525">
        <v>7.1840329E7</v>
      </c>
      <c r="D23" s="511"/>
      <c r="E23" s="511"/>
      <c r="F23" s="511"/>
      <c r="G23" s="6"/>
      <c r="H23" s="6"/>
      <c r="I23" s="6"/>
    </row>
    <row r="24">
      <c r="A24" s="526"/>
      <c r="B24" s="512" t="s">
        <v>297</v>
      </c>
      <c r="C24" s="525">
        <v>5.5956778E7</v>
      </c>
      <c r="D24" s="511"/>
      <c r="E24" s="511"/>
      <c r="F24" s="511"/>
      <c r="G24" s="6"/>
      <c r="H24" s="6"/>
      <c r="I24" s="6"/>
    </row>
    <row r="25">
      <c r="A25" s="519"/>
      <c r="B25" s="512" t="s">
        <v>327</v>
      </c>
      <c r="C25" s="524">
        <f>C24/C23</f>
        <v>0.7789048126</v>
      </c>
      <c r="D25" s="513" t="s">
        <v>328</v>
      </c>
      <c r="E25" s="524">
        <v>0.7476</v>
      </c>
      <c r="F25" s="511"/>
      <c r="G25" s="6"/>
      <c r="H25" s="6"/>
      <c r="I25" s="6"/>
    </row>
    <row r="26">
      <c r="A26" s="521"/>
      <c r="B26" s="512" t="s">
        <v>299</v>
      </c>
      <c r="C26" s="525">
        <v>1.7719827E7</v>
      </c>
      <c r="D26" s="512" t="s">
        <v>329</v>
      </c>
      <c r="E26" s="511" t="str">
        <f>IFERROR(__xludf.DUMMYFUNCTION("IMPORTRANGE(""1vYc4iTJ16E7R6SUnGhwdB4aOJULuweZOJUwnvK3B2Ug"", ""キャッシュバック・ボーナス!P8"")"),"#REF!")</f>
        <v>#REF!</v>
      </c>
      <c r="F26" s="511"/>
      <c r="G26" s="6"/>
      <c r="H26" s="6"/>
      <c r="I26" s="6"/>
    </row>
    <row r="27">
      <c r="A27" s="527"/>
      <c r="B27" s="512" t="s">
        <v>330</v>
      </c>
      <c r="C27" s="525">
        <f>D44-C26</f>
        <v>38174451</v>
      </c>
      <c r="D27" s="512" t="s">
        <v>331</v>
      </c>
      <c r="E27" s="504" t="str">
        <f>E26/C21</f>
        <v>#REF!</v>
      </c>
      <c r="F27" s="511"/>
      <c r="G27" s="6"/>
      <c r="H27" s="6"/>
      <c r="I27" s="6"/>
    </row>
    <row r="28">
      <c r="B28" s="512" t="s">
        <v>301</v>
      </c>
      <c r="C28" s="522">
        <f>IFERROR(C27/C17, 0)</f>
        <v>129845.0714</v>
      </c>
      <c r="D28" s="512" t="s">
        <v>332</v>
      </c>
      <c r="E28" s="515" t="str">
        <f>E26/C27</f>
        <v>#REF!</v>
      </c>
      <c r="F28" s="511"/>
      <c r="G28" s="6"/>
      <c r="H28" s="6"/>
      <c r="I28" s="528"/>
    </row>
    <row r="29">
      <c r="B29" s="512" t="s">
        <v>302</v>
      </c>
      <c r="C29" s="522">
        <f>48834.16+6412028.56+25531.52+777160.32</f>
        <v>7263554.56</v>
      </c>
      <c r="D29" s="512" t="s">
        <v>333</v>
      </c>
      <c r="E29" s="515" t="str">
        <f>E26/C18</f>
        <v>#REF!</v>
      </c>
      <c r="F29" s="511"/>
      <c r="G29" s="528"/>
      <c r="H29" s="529"/>
      <c r="I29" s="548"/>
    </row>
    <row r="30">
      <c r="B30" s="512" t="s">
        <v>303</v>
      </c>
      <c r="C30" s="525">
        <f>C27-C29</f>
        <v>30910896.44</v>
      </c>
      <c r="D30" s="511"/>
      <c r="E30" s="511"/>
      <c r="F30" s="511"/>
      <c r="G30" s="6"/>
      <c r="H30" s="528"/>
      <c r="I30" s="548"/>
    </row>
    <row r="31">
      <c r="B31" s="530" t="s">
        <v>304</v>
      </c>
      <c r="C31" s="546">
        <f>IFERROR(__xludf.DUMMYFUNCTION("IMPORTRANGE(""1Ou2QKF8-XqWX9WFzapZrSLXeIe1ELfRnTVdIY-5MEn8"", ""October2025 Summary!B8"")"),6337611.4)</f>
        <v>6337611.4</v>
      </c>
      <c r="D31" s="531"/>
      <c r="E31" s="531"/>
      <c r="F31" s="531"/>
      <c r="G31" s="6"/>
      <c r="H31" s="528"/>
      <c r="I31" s="548"/>
    </row>
    <row r="32">
      <c r="B32" s="532" t="s">
        <v>305</v>
      </c>
      <c r="C32" s="540">
        <f>IFERROR(__xludf.DUMMYFUNCTION("IMPORTRANGE(""1Ou2QKF8-XqWX9WFzapZrSLXeIe1ELfRnTVdIY-5MEn8"", ""October2025 Summary!B15"")"),7129812.825)</f>
        <v>7129812.825</v>
      </c>
      <c r="D32" s="533"/>
      <c r="E32" s="533"/>
      <c r="F32" s="533"/>
      <c r="G32" s="6"/>
      <c r="H32" s="6"/>
      <c r="I32" s="6"/>
    </row>
    <row r="33">
      <c r="B33" s="532" t="s">
        <v>343</v>
      </c>
      <c r="C33" s="533"/>
      <c r="D33" s="533"/>
      <c r="E33" s="533"/>
      <c r="F33" s="533"/>
      <c r="G33" s="6"/>
      <c r="H33" s="6"/>
      <c r="I33" s="6"/>
    </row>
    <row r="34">
      <c r="B34" s="547" t="s">
        <v>131</v>
      </c>
      <c r="C34" s="534" t="str">
        <f>IFERROR(__xludf.DUMMYFUNCTION("IMPORTRANGE(""1DTUC32YJHSyBa8CTkg1se2r2AQ3xxkB4dVQorqRF3gM"", ""広告費!I8"")"),"")</f>
        <v/>
      </c>
      <c r="D34" s="533"/>
      <c r="E34" s="533"/>
      <c r="F34" s="533"/>
      <c r="G34" s="6"/>
      <c r="H34" s="6"/>
      <c r="I34" s="6"/>
    </row>
    <row r="35">
      <c r="B35" s="536" t="s">
        <v>135</v>
      </c>
      <c r="C35" s="543">
        <f>IFERROR(__xludf.DUMMYFUNCTION("IMPORTRANGE(""1-7D4xn7jPVWxK4Hv_jQ4ruRle9vkJvezFGDqi1GFnd4"", ""MONTHLY !H33"")"),6428256.89)</f>
        <v>6428256.89</v>
      </c>
      <c r="D35" s="537"/>
      <c r="E35" s="537"/>
      <c r="F35" s="537"/>
      <c r="G35" s="6"/>
      <c r="H35" s="6"/>
      <c r="I35" s="6"/>
    </row>
    <row r="36">
      <c r="B36" s="538" t="s">
        <v>129</v>
      </c>
      <c r="C36" s="522">
        <f>IFERROR(__xludf.DUMMYFUNCTION("IMPORTRANGE(""1t2YDL0W_FSrPAtUBku2Z8HGiTZPLv8M1UVfIaROZ8Vc"", ""2025/10月!O3"")"),1288854.0)</f>
        <v>1288854</v>
      </c>
      <c r="D36" s="511"/>
      <c r="E36" s="511"/>
      <c r="F36" s="511"/>
      <c r="G36" s="6"/>
      <c r="H36" s="6"/>
      <c r="I36" s="6"/>
    </row>
    <row r="37">
      <c r="B37" s="538" t="s">
        <v>127</v>
      </c>
      <c r="C37" s="522">
        <f>IFERROR(__xludf.DUMMYFUNCTION("IMPORTRANGE(""19eD15JPI2SoHKLgnXs8hXbY1ZpP5huYLpI6fo8Mr8bk"", ""経費!BR2"")"),2663589.51)</f>
        <v>2663589.51</v>
      </c>
      <c r="D37" s="511"/>
      <c r="E37" s="511"/>
      <c r="F37" s="511"/>
      <c r="G37" s="6"/>
      <c r="H37" s="6"/>
      <c r="I37" s="6"/>
    </row>
    <row r="38">
      <c r="B38" s="538" t="s">
        <v>336</v>
      </c>
      <c r="C38" s="522">
        <f>IFERROR(__xludf.DUMMYFUNCTION("IMPORTRANGE(""14XIjmVcs8qf6tS7n0A5FnYSYOV-msbbCaARCRnN4wc0"", ""2025/10月!H3"")"),2270983.0)</f>
        <v>2270983</v>
      </c>
      <c r="D38" s="511"/>
      <c r="E38" s="511"/>
      <c r="F38" s="511"/>
      <c r="G38" s="6"/>
      <c r="H38" s="6"/>
      <c r="I38" s="6"/>
    </row>
    <row r="39">
      <c r="B39" s="538" t="s">
        <v>337</v>
      </c>
      <c r="C39" s="522">
        <f>IFERROR(__xludf.DUMMYFUNCTION("IMPORTRANGE(""1T1trhXRLFLmvsw6NF2ctVVuwIVOBYo9gekGltVhcgf4"", ""Monthly pay!S17"")"),1505598.313934)</f>
        <v>1505598.314</v>
      </c>
      <c r="D39" s="511"/>
      <c r="E39" s="511"/>
      <c r="F39" s="511"/>
      <c r="G39" s="6"/>
      <c r="H39" s="6"/>
      <c r="I39" s="6"/>
    </row>
    <row r="40">
      <c r="B40" s="512" t="s">
        <v>307</v>
      </c>
      <c r="C40" s="522">
        <f>SUM(C34:C39)</f>
        <v>14157281.71</v>
      </c>
      <c r="D40" s="511"/>
      <c r="E40" s="511"/>
      <c r="F40" s="511"/>
      <c r="G40" s="6"/>
      <c r="H40" s="6"/>
      <c r="I40" s="6"/>
    </row>
    <row r="41">
      <c r="B41" s="532" t="s">
        <v>311</v>
      </c>
      <c r="C41" s="534">
        <f>IFERROR(__xludf.DUMMYFUNCTION("IMPORTRANGE(""1Ou2QKF8-XqWX9WFzapZrSLXeIe1ELfRnTVdIY-5MEn8"", ""October2025 Summary!B16"")"),8714215.675)</f>
        <v>8714215.675</v>
      </c>
      <c r="D41" s="532"/>
      <c r="E41" s="533"/>
      <c r="F41" s="533"/>
      <c r="G41" s="6"/>
      <c r="H41" s="6"/>
      <c r="I41" s="6"/>
    </row>
    <row r="42">
      <c r="B42" s="532" t="s">
        <v>338</v>
      </c>
      <c r="C42" s="540">
        <f>C30-C31-C32-C40-C41</f>
        <v>-5428025.174</v>
      </c>
      <c r="D42" s="533"/>
      <c r="E42" s="533"/>
      <c r="F42" s="533"/>
      <c r="G42" s="6"/>
      <c r="H42" s="6"/>
      <c r="I42" s="6"/>
    </row>
    <row r="43">
      <c r="B43" s="532" t="s">
        <v>339</v>
      </c>
      <c r="C43" s="539">
        <f>IFERROR(__xludf.DUMMYFUNCTION("IMPORTRANGE(""14XIjmVcs8qf6tS7n0A5FnYSYOV-msbbCaARCRnN4wc0"", ""2025/10月!H5"")"),62500.0)</f>
        <v>62500</v>
      </c>
      <c r="D43" s="532" t="s">
        <v>340</v>
      </c>
      <c r="E43" s="533"/>
      <c r="F43" s="533"/>
      <c r="G43" s="6"/>
      <c r="H43" s="6"/>
      <c r="I43" s="6"/>
    </row>
    <row r="44">
      <c r="B44" s="532" t="s">
        <v>341</v>
      </c>
      <c r="C44" s="539">
        <f>IFERROR(__xludf.DUMMYFUNCTION("IMPORTRANGE(""14XIjmVcs8qf6tS7n0A5FnYSYOV-msbbCaARCRnN4wc0"", ""2025/10月!H13"")"),0.0)</f>
        <v>0</v>
      </c>
      <c r="D44" s="540">
        <f>C24-C43-C44</f>
        <v>55894278</v>
      </c>
      <c r="E44" s="533"/>
      <c r="F44" s="533"/>
      <c r="G44" s="6"/>
      <c r="H44" s="6"/>
      <c r="I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row>
    <row r="2">
      <c r="A2" s="514"/>
      <c r="B2" s="512" t="s">
        <v>257</v>
      </c>
      <c r="C2" s="512">
        <f>IFERROR(__xludf.DUMMYFUNCTION("IMPORTRANGE(""11QmPanSRxykbUTB_EqX7W510tAZnhZpBpW7QiSnxobM"", ""必達管理2025年9月!T3"")"),14965.0)</f>
        <v>14965</v>
      </c>
      <c r="D2" s="511"/>
      <c r="E2" s="511"/>
      <c r="F2" s="511"/>
      <c r="G2" s="6"/>
    </row>
    <row r="3">
      <c r="A3" s="514"/>
      <c r="B3" s="512" t="s">
        <v>260</v>
      </c>
      <c r="C3" s="512">
        <f>IFERROR(__xludf.DUMMYFUNCTION("IMPORTRANGE(""11QmPanSRxykbUTB_EqX7W510tAZnhZpBpW7QiSnxobM"", ""必達管理2025年9月!Q7"")"),1035.0)</f>
        <v>1035</v>
      </c>
      <c r="D3" s="515">
        <f>C3/C2</f>
        <v>0.06916137655</v>
      </c>
      <c r="E3" s="511"/>
      <c r="F3" s="511"/>
      <c r="G3" s="6"/>
    </row>
    <row r="4">
      <c r="A4" s="514"/>
      <c r="B4" s="512" t="s">
        <v>261</v>
      </c>
      <c r="C4" s="512">
        <f>IFERROR(__xludf.DUMMYFUNCTION("IMPORTRANGE(""11QmPanSRxykbUTB_EqX7W510tAZnhZpBpW7QiSnxobM"", ""必達管理2025年9月!R7"")"),665.0)</f>
        <v>665</v>
      </c>
      <c r="D4" s="515">
        <f>C4/C2</f>
        <v>0.04443701971</v>
      </c>
      <c r="E4" s="515">
        <f>C4/C3</f>
        <v>0.6425120773</v>
      </c>
      <c r="F4" s="511"/>
      <c r="G4" s="6"/>
    </row>
    <row r="5">
      <c r="A5" s="514"/>
      <c r="B5" s="512" t="s">
        <v>266</v>
      </c>
      <c r="C5" s="512">
        <f>IFERROR(__xludf.DUMMYFUNCTION("IMPORTRANGE(""11QmPanSRxykbUTB_EqX7W510tAZnhZpBpW7QiSnxobM"", ""必達管理2025年9月!S7"")"),13.0)</f>
        <v>13</v>
      </c>
      <c r="D5" s="515">
        <f>C5/C2</f>
        <v>0.0008686936184</v>
      </c>
      <c r="E5" s="515">
        <f>C5/C3</f>
        <v>0.01256038647</v>
      </c>
      <c r="F5" s="515">
        <f>C5/C4</f>
        <v>0.01954887218</v>
      </c>
      <c r="G5" s="6"/>
    </row>
    <row r="6">
      <c r="A6" s="516"/>
      <c r="B6" s="512" t="s">
        <v>267</v>
      </c>
      <c r="C6" s="517" t="str">
        <f>IFERROR(__xludf.DUMMYFUNCTION("IMPORTRANGE(""1vYc4iTJ16E7R6SUnGhwdB4aOJULuweZOJUwnvK3B2Ug"", ""2025年9月!I22"")"),"#REF!")</f>
        <v>#REF!</v>
      </c>
      <c r="D6" s="515" t="str">
        <f>C6/C2</f>
        <v>#REF!</v>
      </c>
      <c r="E6" s="515" t="str">
        <f>C6/C3</f>
        <v>#REF!</v>
      </c>
      <c r="F6" s="515" t="str">
        <f>C6/C4</f>
        <v>#REF!</v>
      </c>
      <c r="G6" s="517"/>
    </row>
    <row r="7">
      <c r="A7" s="516"/>
      <c r="B7" s="512" t="s">
        <v>319</v>
      </c>
      <c r="C7" s="517" t="str">
        <f>IFERROR(__xludf.DUMMYFUNCTION("IMPORTRANGE(""1vYc4iTJ16E7R6SUnGhwdB4aOJULuweZOJUwnvK3B2Ug"", ""顧客リスト!AP425"")"),"#REF!")</f>
        <v>#REF!</v>
      </c>
      <c r="D7" s="515" t="str">
        <f>C7/C2</f>
        <v>#REF!</v>
      </c>
      <c r="E7" s="515" t="str">
        <f>C7/C3</f>
        <v>#REF!</v>
      </c>
      <c r="F7" s="515" t="str">
        <f>C7/C4</f>
        <v>#REF!</v>
      </c>
      <c r="G7" s="6"/>
    </row>
    <row r="8">
      <c r="A8" s="519"/>
      <c r="B8" s="512" t="s">
        <v>320</v>
      </c>
      <c r="C8" s="520" t="str">
        <f>C7/C6</f>
        <v>#REF!</v>
      </c>
      <c r="D8" s="515"/>
      <c r="E8" s="515"/>
      <c r="F8" s="515"/>
      <c r="G8" s="6"/>
    </row>
    <row r="9">
      <c r="A9" s="516"/>
      <c r="B9" s="512" t="s">
        <v>269</v>
      </c>
      <c r="C9" s="517"/>
      <c r="D9" s="515">
        <f>C9/C2</f>
        <v>0</v>
      </c>
      <c r="E9" s="515">
        <f>C9/C3</f>
        <v>0</v>
      </c>
      <c r="F9" s="515">
        <f>C9/C4</f>
        <v>0</v>
      </c>
      <c r="G9" s="6"/>
    </row>
    <row r="10">
      <c r="A10" s="519"/>
      <c r="B10" s="512" t="s">
        <v>321</v>
      </c>
      <c r="C10" s="520" t="str">
        <f>C9/C6</f>
        <v>#REF!</v>
      </c>
      <c r="D10" s="515"/>
      <c r="E10" s="515"/>
      <c r="F10" s="515"/>
      <c r="G10" s="6"/>
    </row>
    <row r="11">
      <c r="A11" s="516"/>
      <c r="B11" s="512" t="s">
        <v>322</v>
      </c>
      <c r="C11" s="549"/>
      <c r="D11" s="515">
        <f>C11/C2</f>
        <v>0</v>
      </c>
      <c r="E11" s="515">
        <f>C11/C3</f>
        <v>0</v>
      </c>
      <c r="F11" s="515">
        <f>C11/C4</f>
        <v>0</v>
      </c>
      <c r="G11" s="6"/>
    </row>
    <row r="12">
      <c r="A12" s="519"/>
      <c r="B12" s="512" t="s">
        <v>323</v>
      </c>
      <c r="C12" s="520" t="str">
        <f>C11/C6</f>
        <v>#REF!</v>
      </c>
      <c r="D12" s="515"/>
      <c r="E12" s="515"/>
      <c r="F12" s="515"/>
      <c r="G12" s="6"/>
    </row>
    <row r="13">
      <c r="A13" s="516"/>
      <c r="B13" s="512" t="s">
        <v>324</v>
      </c>
      <c r="C13" s="549"/>
      <c r="D13" s="515">
        <f>C13/C2</f>
        <v>0</v>
      </c>
      <c r="E13" s="515">
        <f>C13/C3</f>
        <v>0</v>
      </c>
      <c r="F13" s="515">
        <f>C11/C4</f>
        <v>0</v>
      </c>
      <c r="G13" s="6"/>
    </row>
    <row r="14">
      <c r="A14" s="519"/>
      <c r="B14" s="512" t="s">
        <v>325</v>
      </c>
      <c r="C14" s="520" t="str">
        <f>C13/C6</f>
        <v>#REF!</v>
      </c>
      <c r="D14" s="515"/>
      <c r="E14" s="515"/>
      <c r="F14" s="515"/>
      <c r="G14" s="6"/>
    </row>
    <row r="15">
      <c r="A15" s="516"/>
      <c r="B15" s="512" t="s">
        <v>273</v>
      </c>
      <c r="C15" s="517" t="str">
        <f>IFERROR(__xludf.DUMMYFUNCTION("IMPORTRANGE(""1vYc4iTJ16E7R6SUnGhwdB4aOJULuweZOJUwnvK3B2Ug"", ""計算用シート!A2"")"),"#REF!")</f>
        <v>#REF!</v>
      </c>
      <c r="D15" s="511"/>
      <c r="E15" s="511"/>
      <c r="F15" s="515"/>
      <c r="G15" s="6"/>
    </row>
    <row r="16">
      <c r="A16" s="514"/>
      <c r="B16" s="512" t="s">
        <v>282</v>
      </c>
      <c r="C16" s="517" t="str">
        <f>C17-C6</f>
        <v>#REF!</v>
      </c>
      <c r="D16" s="511"/>
      <c r="E16" s="511"/>
      <c r="F16" s="511"/>
      <c r="G16" s="6"/>
    </row>
    <row r="17">
      <c r="A17" s="514"/>
      <c r="B17" s="512" t="s">
        <v>283</v>
      </c>
      <c r="C17" s="517" t="str">
        <f>IFERROR(__xludf.DUMMYFUNCTION("IMPORTRANGE(""1vYc4iTJ16E7R6SUnGhwdB4aOJULuweZOJUwnvK3B2Ug"", ""計算用シート!A1"")"),"#REF!")</f>
        <v>#REF!</v>
      </c>
      <c r="D17" s="511"/>
      <c r="E17" s="511"/>
      <c r="F17" s="511"/>
      <c r="G17" s="6"/>
    </row>
    <row r="18">
      <c r="A18" s="521"/>
      <c r="B18" s="512" t="s">
        <v>291</v>
      </c>
      <c r="C18" s="522">
        <v>5.6770645E7</v>
      </c>
      <c r="D18" s="523"/>
      <c r="E18" s="523"/>
      <c r="F18" s="523"/>
      <c r="G18" s="6"/>
    </row>
    <row r="19">
      <c r="A19" s="521"/>
      <c r="B19" s="512" t="s">
        <v>292</v>
      </c>
      <c r="C19" s="522">
        <v>5.89472836E7</v>
      </c>
      <c r="D19" s="523"/>
      <c r="E19" s="523"/>
      <c r="F19" s="523"/>
      <c r="G19" s="6"/>
    </row>
    <row r="20">
      <c r="A20" s="519"/>
      <c r="B20" s="512" t="s">
        <v>293</v>
      </c>
      <c r="C20" s="524">
        <f>IFERROR(C19/C18, 0)</f>
        <v>1.038340917</v>
      </c>
      <c r="D20" s="511"/>
      <c r="E20" s="511"/>
      <c r="F20" s="511"/>
      <c r="G20" s="6"/>
    </row>
    <row r="21">
      <c r="A21" s="521"/>
      <c r="B21" s="512" t="s">
        <v>326</v>
      </c>
      <c r="C21" s="522">
        <f>C18-C19</f>
        <v>-2176638.6</v>
      </c>
      <c r="D21" s="511"/>
      <c r="E21" s="511"/>
      <c r="F21" s="511"/>
      <c r="G21" s="6"/>
    </row>
    <row r="22">
      <c r="A22" s="521"/>
      <c r="B22" s="512" t="s">
        <v>295</v>
      </c>
      <c r="C22" s="522">
        <f>IFERROR(C21/C17, 0)</f>
        <v>0</v>
      </c>
      <c r="D22" s="511"/>
      <c r="E22" s="511"/>
      <c r="F22" s="511"/>
      <c r="G22" s="6"/>
    </row>
    <row r="23">
      <c r="A23" s="521"/>
      <c r="B23" s="512" t="s">
        <v>296</v>
      </c>
      <c r="C23" s="512" t="str">
        <f>IFERROR(__xludf.DUMMYFUNCTION("IMPORTRANGE(""1vYc4iTJ16E7R6SUnGhwdB4aOJULuweZOJUwnvK3B2Ug"", ""2025年9月!K22"")"),"#REF!")</f>
        <v>#REF!</v>
      </c>
      <c r="D23" s="511"/>
      <c r="E23" s="511"/>
      <c r="F23" s="511"/>
      <c r="G23" s="6"/>
    </row>
    <row r="24">
      <c r="A24" s="526"/>
      <c r="B24" s="512" t="s">
        <v>297</v>
      </c>
      <c r="C24" s="512" t="str">
        <f>IFERROR(__xludf.DUMMYFUNCTION("IMPORTRANGE(""1vYc4iTJ16E7R6SUnGhwdB4aOJULuweZOJUwnvK3B2Ug"", ""2025年9月!J22"")"),"#REF!")</f>
        <v>#REF!</v>
      </c>
      <c r="D24" s="511"/>
      <c r="E24" s="511"/>
      <c r="F24" s="511"/>
      <c r="G24" s="6"/>
    </row>
    <row r="25">
      <c r="A25" s="519"/>
      <c r="B25" s="512" t="s">
        <v>327</v>
      </c>
      <c r="C25" s="524" t="str">
        <f>C24/C23</f>
        <v>#REF!</v>
      </c>
      <c r="D25" s="513" t="s">
        <v>328</v>
      </c>
      <c r="E25" s="511" t="str">
        <f>IFERROR(__xludf.DUMMYFUNCTION("IMPORTRANGE(""1vYc4iTJ16E7R6SUnGhwdB4aOJULuweZOJUwnvK3B2Ug"", ""2025年8月!D22"")"),"#REF!")</f>
        <v>#REF!</v>
      </c>
      <c r="F25" s="511"/>
      <c r="G25" s="6"/>
    </row>
    <row r="26">
      <c r="A26" s="521"/>
      <c r="B26" s="512" t="s">
        <v>299</v>
      </c>
      <c r="C26" s="512" t="str">
        <f>IFERROR(__xludf.DUMMYFUNCTION("IMPORTRANGE(""1vYc4iTJ16E7R6SUnGhwdB4aOJULuweZOJUwnvK3B2Ug"", ""2025年9月!S22"")"),"#REF!")</f>
        <v>#REF!</v>
      </c>
      <c r="D26" s="512" t="s">
        <v>329</v>
      </c>
      <c r="E26" s="511" t="str">
        <f>IFERROR(__xludf.DUMMYFUNCTION("IMPORTRANGE(""1vYc4iTJ16E7R6SUnGhwdB4aOJULuweZOJUwnvK3B2Ug"", ""キャッシュバック・ボーナス!X8"")"),"#REF!")</f>
        <v>#REF!</v>
      </c>
      <c r="F26" s="511"/>
      <c r="G26" s="6"/>
    </row>
    <row r="27">
      <c r="A27" s="527"/>
      <c r="B27" s="512" t="s">
        <v>330</v>
      </c>
      <c r="C27" s="512" t="str">
        <f>D44-C26</f>
        <v>#REF!</v>
      </c>
      <c r="D27" s="512" t="s">
        <v>331</v>
      </c>
      <c r="E27" s="504" t="str">
        <f>E26/C21</f>
        <v>#REF!</v>
      </c>
      <c r="F27" s="511"/>
      <c r="G27" s="6"/>
    </row>
    <row r="28">
      <c r="B28" s="512" t="s">
        <v>301</v>
      </c>
      <c r="C28" s="522">
        <f>IFERROR(C27/C17, 0)</f>
        <v>0</v>
      </c>
      <c r="D28" s="512" t="s">
        <v>332</v>
      </c>
      <c r="E28" s="515" t="str">
        <f>E26/C27</f>
        <v>#REF!</v>
      </c>
      <c r="F28" s="511"/>
      <c r="G28" s="6"/>
    </row>
    <row r="29">
      <c r="B29" s="512" t="s">
        <v>302</v>
      </c>
      <c r="C29" s="512"/>
      <c r="D29" s="512" t="s">
        <v>333</v>
      </c>
      <c r="E29" s="515" t="str">
        <f>E26/C18</f>
        <v>#REF!</v>
      </c>
      <c r="F29" s="511"/>
      <c r="G29" s="6"/>
    </row>
    <row r="30">
      <c r="B30" s="512" t="s">
        <v>303</v>
      </c>
      <c r="C30" s="512" t="str">
        <f>C27-C29</f>
        <v>#REF!</v>
      </c>
      <c r="D30" s="511"/>
      <c r="E30" s="511"/>
      <c r="F30" s="511"/>
      <c r="G30" s="6"/>
    </row>
    <row r="31">
      <c r="B31" s="530" t="s">
        <v>304</v>
      </c>
      <c r="C31" s="530" t="str">
        <f>IFERROR(__xludf.DUMMYFUNCTION("IMPORTRANGE(""1Ou2QKF8-XqWX9WFzapZrSLXeIe1ELfRnTVdIY-5MEn8"", ""September 2025 summary !B8"")"),"#REF!")</f>
        <v>#REF!</v>
      </c>
      <c r="D31" s="531"/>
      <c r="E31" s="531"/>
      <c r="F31" s="531"/>
      <c r="G31" s="6"/>
    </row>
    <row r="32">
      <c r="B32" s="532" t="s">
        <v>305</v>
      </c>
      <c r="C32" s="533" t="str">
        <f>IFERROR(__xludf.DUMMYFUNCTION("IMPORTRANGE(""1Ou2QKF8-XqWX9WFzapZrSLXeIe1ELfRnTVdIY-5MEn8"", ""September 2025 summary !B15"")"),"#REF!")</f>
        <v>#REF!</v>
      </c>
      <c r="D32" s="533"/>
      <c r="E32" s="533"/>
      <c r="F32" s="533"/>
      <c r="G32" s="6"/>
    </row>
    <row r="33">
      <c r="B33" s="532" t="s">
        <v>343</v>
      </c>
      <c r="C33" s="533"/>
      <c r="D33" s="533"/>
      <c r="E33" s="533"/>
      <c r="F33" s="533"/>
      <c r="G33" s="6"/>
    </row>
    <row r="34">
      <c r="B34" s="547" t="s">
        <v>131</v>
      </c>
      <c r="C34" s="534" t="str">
        <f>IFERROR(__xludf.DUMMYFUNCTION("IMPORTRANGE(""1DTUC32YJHSyBa8CTkg1se2r2AQ3xxkB4dVQorqRF3gM"", ""広告費!I8"")"),"")</f>
        <v/>
      </c>
      <c r="D34" s="533"/>
      <c r="E34" s="533"/>
      <c r="F34" s="533"/>
      <c r="G34" s="6"/>
    </row>
    <row r="35">
      <c r="B35" s="536" t="s">
        <v>135</v>
      </c>
      <c r="C35" s="543">
        <f>IFERROR(__xludf.DUMMYFUNCTION("IMPORTRANGE(""1-7D4xn7jPVWxK4Hv_jQ4ruRle9vkJvezFGDqi1GFnd4"", ""MONTHLY !H30"")"),9563363.209999999)</f>
        <v>9563363.21</v>
      </c>
      <c r="D35" s="537"/>
      <c r="E35" s="537"/>
      <c r="F35" s="537"/>
      <c r="G35" s="6"/>
    </row>
    <row r="36">
      <c r="B36" s="538" t="s">
        <v>129</v>
      </c>
      <c r="C36" s="522">
        <f>IFERROR(__xludf.DUMMYFUNCTION("IMPORTRANGE(""1t2YDL0W_FSrPAtUBku2Z8HGiTZPLv8M1UVfIaROZ8Vc"", ""2025/9月!O3"")"),694111.143)</f>
        <v>694111.143</v>
      </c>
      <c r="D36" s="511"/>
      <c r="E36" s="511"/>
      <c r="F36" s="511"/>
      <c r="G36" s="6"/>
    </row>
    <row r="37">
      <c r="B37" s="538" t="s">
        <v>127</v>
      </c>
      <c r="C37" s="522" t="str">
        <f>IFERROR(__xludf.DUMMYFUNCTION("IMPORTRANGE(""19eD15JPI2SoHKLgnXs8hXbY1ZpP5huYLpI6fo8Mr8bk"", ""経費!BV2"")"),"TOTAL")</f>
        <v>TOTAL</v>
      </c>
      <c r="D37" s="511"/>
      <c r="E37" s="511"/>
      <c r="F37" s="511"/>
      <c r="G37" s="6"/>
    </row>
    <row r="38">
      <c r="B38" s="538" t="s">
        <v>336</v>
      </c>
      <c r="C38" s="522">
        <f>IFERROR(__xludf.DUMMYFUNCTION("IMPORTRANGE(""14XIjmVcs8qf6tS7n0A5FnYSYOV-msbbCaARCRnN4wc0"", ""2025/9月!H3"")"),2503018.658)</f>
        <v>2503018.658</v>
      </c>
      <c r="D38" s="511"/>
      <c r="E38" s="511"/>
      <c r="F38" s="511"/>
      <c r="G38" s="6"/>
    </row>
    <row r="39">
      <c r="B39" s="538" t="s">
        <v>337</v>
      </c>
      <c r="C39" s="522">
        <f>IFERROR(__xludf.DUMMYFUNCTION("IMPORTRANGE(""1T1trhXRLFLmvsw6NF2ctVVuwIVOBYo9gekGltVhcgf4"", ""Monthly pay!R17"")"),126733.87319999997)</f>
        <v>126733.8732</v>
      </c>
      <c r="D39" s="511"/>
      <c r="E39" s="511"/>
      <c r="F39" s="511"/>
      <c r="G39" s="6"/>
    </row>
    <row r="40">
      <c r="B40" s="512" t="s">
        <v>307</v>
      </c>
      <c r="C40" s="522">
        <f>SUM(C34:C39)</f>
        <v>12887226.88</v>
      </c>
      <c r="D40" s="511"/>
      <c r="E40" s="511"/>
      <c r="F40" s="511"/>
      <c r="G40" s="6"/>
    </row>
    <row r="41">
      <c r="B41" s="532" t="s">
        <v>311</v>
      </c>
      <c r="C41" s="534"/>
      <c r="D41" s="532"/>
      <c r="E41" s="533"/>
      <c r="F41" s="533"/>
      <c r="G41" s="6"/>
    </row>
    <row r="42">
      <c r="B42" s="532" t="s">
        <v>338</v>
      </c>
      <c r="C42" s="533" t="str">
        <f>C30-C31-C32-C40-C41</f>
        <v>#REF!</v>
      </c>
      <c r="D42" s="533"/>
      <c r="E42" s="533"/>
      <c r="F42" s="533"/>
      <c r="G42" s="6"/>
    </row>
    <row r="43">
      <c r="B43" s="532" t="s">
        <v>339</v>
      </c>
      <c r="C43" s="539">
        <f>IFERROR(__xludf.DUMMYFUNCTION("IMPORTRANGE(""14XIjmVcs8qf6tS7n0A5FnYSYOV-msbbCaARCRnN4wc0"", ""2025/9月!H5"")"),0.0)</f>
        <v>0</v>
      </c>
      <c r="D43" s="532" t="s">
        <v>340</v>
      </c>
      <c r="E43" s="533"/>
      <c r="F43" s="533"/>
      <c r="G43" s="6"/>
    </row>
    <row r="44">
      <c r="B44" s="532" t="s">
        <v>341</v>
      </c>
      <c r="C44" s="539">
        <f>IFERROR(__xludf.DUMMYFUNCTION("IMPORTRANGE(""14XIjmVcs8qf6tS7n0A5FnYSYOV-msbbCaARCRnN4wc0"", ""2025/9月!H13"")"),238392.0)</f>
        <v>238392</v>
      </c>
      <c r="D44" s="533" t="str">
        <f>C24-C43-C44</f>
        <v>#REF!</v>
      </c>
      <c r="E44" s="533"/>
      <c r="F44" s="533"/>
      <c r="G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c r="I1" s="9"/>
    </row>
    <row r="2">
      <c r="B2" s="512" t="s">
        <v>257</v>
      </c>
      <c r="C2" s="512">
        <v>14807.0</v>
      </c>
      <c r="D2" s="511"/>
      <c r="E2" s="511"/>
      <c r="F2" s="511"/>
      <c r="G2" s="6"/>
      <c r="H2" s="6"/>
      <c r="I2" s="6"/>
    </row>
    <row r="3">
      <c r="B3" s="512" t="s">
        <v>260</v>
      </c>
      <c r="C3" s="512">
        <v>12471.0</v>
      </c>
      <c r="D3" s="515">
        <v>0.842236779901398</v>
      </c>
      <c r="E3" s="511"/>
      <c r="F3" s="511"/>
      <c r="G3" s="6"/>
      <c r="H3" s="6"/>
      <c r="I3" s="6"/>
    </row>
    <row r="4">
      <c r="B4" s="512" t="s">
        <v>261</v>
      </c>
      <c r="C4" s="512">
        <v>2418.0</v>
      </c>
      <c r="D4" s="515">
        <v>0.16330114135206322</v>
      </c>
      <c r="E4" s="515">
        <v>0.1938898243925908</v>
      </c>
      <c r="F4" s="511"/>
      <c r="G4" s="6"/>
      <c r="H4" s="6"/>
      <c r="I4" s="6"/>
    </row>
    <row r="5">
      <c r="B5" s="512" t="s">
        <v>266</v>
      </c>
      <c r="C5" s="512">
        <v>161.0</v>
      </c>
      <c r="D5" s="515">
        <v>0.010873235631795772</v>
      </c>
      <c r="E5" s="515">
        <v>0.012909951086520727</v>
      </c>
      <c r="F5" s="515">
        <v>0.06658395368072788</v>
      </c>
      <c r="G5" s="6"/>
      <c r="H5" s="6"/>
      <c r="I5" s="6"/>
    </row>
    <row r="6">
      <c r="B6" s="512" t="s">
        <v>267</v>
      </c>
      <c r="C6" s="549">
        <v>233.0</v>
      </c>
      <c r="D6" s="515">
        <v>0.015735800634834877</v>
      </c>
      <c r="E6" s="515">
        <v>0.01868334536123807</v>
      </c>
      <c r="F6" s="515">
        <v>0.09636062861869313</v>
      </c>
      <c r="G6" s="517"/>
      <c r="H6" s="518"/>
      <c r="I6" s="518"/>
    </row>
    <row r="7">
      <c r="B7" s="512" t="s">
        <v>319</v>
      </c>
      <c r="C7" s="549">
        <v>154.0</v>
      </c>
      <c r="D7" s="515">
        <v>0.010400486256500304</v>
      </c>
      <c r="E7" s="515">
        <v>0.012348648865367653</v>
      </c>
      <c r="F7" s="515">
        <v>0.06368899917287014</v>
      </c>
      <c r="G7" s="6"/>
      <c r="H7" s="6"/>
      <c r="I7" s="6"/>
    </row>
    <row r="8">
      <c r="B8" s="512" t="s">
        <v>320</v>
      </c>
      <c r="C8" s="520">
        <v>0.6609442060085837</v>
      </c>
      <c r="D8" s="515"/>
      <c r="E8" s="515"/>
      <c r="F8" s="515"/>
      <c r="G8" s="6"/>
      <c r="H8" s="6"/>
      <c r="I8" s="6"/>
    </row>
    <row r="9">
      <c r="B9" s="512" t="s">
        <v>269</v>
      </c>
      <c r="C9" s="549">
        <v>73.0</v>
      </c>
      <c r="D9" s="515">
        <v>0.004930100628081313</v>
      </c>
      <c r="E9" s="515">
        <v>0.005853580306310641</v>
      </c>
      <c r="F9" s="515">
        <v>0.030190239867659223</v>
      </c>
      <c r="G9" s="6"/>
      <c r="H9" s="6"/>
      <c r="I9" s="6"/>
    </row>
    <row r="10">
      <c r="B10" s="512" t="s">
        <v>321</v>
      </c>
      <c r="C10" s="520">
        <v>0.3133047210300429</v>
      </c>
      <c r="D10" s="515"/>
      <c r="E10" s="515"/>
      <c r="F10" s="515"/>
      <c r="G10" s="6"/>
      <c r="H10" s="6"/>
      <c r="I10" s="6"/>
    </row>
    <row r="11">
      <c r="B11" s="512" t="s">
        <v>322</v>
      </c>
      <c r="C11" s="549">
        <v>19.0</v>
      </c>
      <c r="D11" s="515">
        <v>0.0012831768758019856</v>
      </c>
      <c r="E11" s="515">
        <v>0.0015235346002726326</v>
      </c>
      <c r="F11" s="515">
        <v>0.007857733664185277</v>
      </c>
      <c r="G11" s="6"/>
      <c r="H11" s="6"/>
      <c r="I11" s="6"/>
    </row>
    <row r="12">
      <c r="B12" s="512" t="s">
        <v>323</v>
      </c>
      <c r="C12" s="520">
        <v>0.0815450643776824</v>
      </c>
      <c r="D12" s="515"/>
      <c r="E12" s="515"/>
      <c r="F12" s="515"/>
      <c r="G12" s="6"/>
      <c r="H12" s="6"/>
      <c r="I12" s="6"/>
    </row>
    <row r="13">
      <c r="B13" s="512" t="s">
        <v>324</v>
      </c>
      <c r="C13" s="549">
        <v>92.0</v>
      </c>
      <c r="D13" s="515">
        <v>0.0062132775038832985</v>
      </c>
      <c r="E13" s="515">
        <v>0.0073771149065832735</v>
      </c>
      <c r="F13" s="515">
        <v>0.007857733664185277</v>
      </c>
      <c r="G13" s="6"/>
      <c r="H13" s="6"/>
      <c r="I13" s="6"/>
    </row>
    <row r="14">
      <c r="B14" s="512" t="s">
        <v>325</v>
      </c>
      <c r="C14" s="520">
        <v>0.3948497854077253</v>
      </c>
      <c r="D14" s="515"/>
      <c r="E14" s="515"/>
      <c r="F14" s="515"/>
      <c r="G14" s="6"/>
      <c r="H14" s="6"/>
      <c r="I14" s="6"/>
    </row>
    <row r="15">
      <c r="B15" s="512" t="s">
        <v>273</v>
      </c>
      <c r="C15" s="549">
        <v>21.0</v>
      </c>
      <c r="D15" s="512"/>
      <c r="E15" s="511"/>
      <c r="F15" s="515"/>
      <c r="G15" s="6"/>
      <c r="H15" s="6"/>
      <c r="I15" s="6"/>
    </row>
    <row r="16">
      <c r="B16" s="512" t="s">
        <v>282</v>
      </c>
      <c r="C16" s="549">
        <v>65.0</v>
      </c>
      <c r="D16" s="511"/>
      <c r="E16" s="511"/>
      <c r="F16" s="511"/>
      <c r="G16" s="6"/>
      <c r="H16" s="6"/>
      <c r="I16" s="6"/>
    </row>
    <row r="17">
      <c r="B17" s="512" t="s">
        <v>283</v>
      </c>
      <c r="C17" s="517">
        <v>298.0</v>
      </c>
      <c r="D17" s="511"/>
      <c r="E17" s="511"/>
      <c r="F17" s="511"/>
      <c r="G17" s="6"/>
      <c r="H17" s="6"/>
      <c r="I17" s="6"/>
    </row>
    <row r="18">
      <c r="B18" s="512" t="s">
        <v>291</v>
      </c>
      <c r="C18" s="550">
        <v>2.578173994E9</v>
      </c>
      <c r="D18" s="523"/>
      <c r="E18" s="523"/>
      <c r="F18" s="523"/>
      <c r="G18" s="6"/>
      <c r="H18" s="6"/>
      <c r="I18" s="6"/>
    </row>
    <row r="19">
      <c r="B19" s="512" t="s">
        <v>292</v>
      </c>
      <c r="C19" s="550">
        <v>2.503998997E9</v>
      </c>
      <c r="D19" s="523"/>
      <c r="E19" s="523"/>
      <c r="F19" s="523"/>
      <c r="G19" s="6"/>
      <c r="H19" s="6"/>
      <c r="I19" s="6"/>
    </row>
    <row r="20">
      <c r="B20" s="512" t="s">
        <v>293</v>
      </c>
      <c r="C20" s="524">
        <v>0.9712296388169991</v>
      </c>
      <c r="D20" s="511"/>
      <c r="E20" s="511"/>
      <c r="F20" s="511"/>
      <c r="G20" s="6"/>
      <c r="H20" s="6"/>
      <c r="I20" s="6"/>
    </row>
    <row r="21">
      <c r="B21" s="512" t="s">
        <v>326</v>
      </c>
      <c r="C21" s="522">
        <v>7.4174997E7</v>
      </c>
      <c r="D21" s="511"/>
      <c r="E21" s="511"/>
      <c r="F21" s="511"/>
      <c r="G21" s="6"/>
      <c r="H21" s="6"/>
      <c r="I21" s="6"/>
    </row>
    <row r="22">
      <c r="B22" s="512" t="s">
        <v>295</v>
      </c>
      <c r="C22" s="522">
        <v>248909.38590604026</v>
      </c>
      <c r="D22" s="511"/>
      <c r="E22" s="511"/>
      <c r="F22" s="511"/>
      <c r="G22" s="6"/>
      <c r="H22" s="6"/>
      <c r="I22" s="6"/>
    </row>
    <row r="23">
      <c r="B23" s="512" t="s">
        <v>296</v>
      </c>
      <c r="C23" s="522">
        <v>7.66985668E7</v>
      </c>
      <c r="D23" s="511"/>
      <c r="E23" s="511"/>
      <c r="F23" s="511"/>
      <c r="G23" s="6"/>
      <c r="H23" s="6"/>
      <c r="I23" s="6"/>
    </row>
    <row r="24">
      <c r="B24" s="512" t="s">
        <v>297</v>
      </c>
      <c r="C24" s="525">
        <v>6.2846588E7</v>
      </c>
      <c r="D24" s="511"/>
      <c r="E24" s="511"/>
      <c r="F24" s="511"/>
      <c r="G24" s="6"/>
      <c r="H24" s="6"/>
      <c r="I24" s="6"/>
    </row>
    <row r="25">
      <c r="B25" s="512" t="s">
        <v>327</v>
      </c>
      <c r="C25" s="524">
        <v>0.8193971624512807</v>
      </c>
      <c r="D25" s="513" t="s">
        <v>328</v>
      </c>
      <c r="E25" s="511"/>
      <c r="F25" s="511"/>
      <c r="G25" s="6"/>
      <c r="H25" s="6"/>
      <c r="I25" s="6"/>
    </row>
    <row r="26">
      <c r="B26" s="512" t="s">
        <v>299</v>
      </c>
      <c r="C26" s="522">
        <v>2.1551493E7</v>
      </c>
      <c r="D26" s="512" t="s">
        <v>329</v>
      </c>
      <c r="E26" s="523">
        <v>835960.0</v>
      </c>
      <c r="F26" s="511"/>
      <c r="G26" s="6"/>
      <c r="H26" s="6"/>
      <c r="I26" s="6"/>
    </row>
    <row r="27">
      <c r="B27" s="512" t="s">
        <v>330</v>
      </c>
      <c r="C27" s="523">
        <v>4.0783402E7</v>
      </c>
      <c r="D27" s="512" t="s">
        <v>331</v>
      </c>
      <c r="E27" s="504">
        <v>0.011270104938460597</v>
      </c>
      <c r="F27" s="511"/>
      <c r="G27" s="6"/>
      <c r="H27" s="6"/>
      <c r="I27" s="6"/>
    </row>
    <row r="28">
      <c r="B28" s="512" t="s">
        <v>301</v>
      </c>
      <c r="C28" s="522">
        <v>137774.1711409396</v>
      </c>
      <c r="D28" s="512" t="s">
        <v>332</v>
      </c>
      <c r="E28" s="515">
        <v>0.020361108879103126</v>
      </c>
      <c r="F28" s="511"/>
      <c r="G28" s="6"/>
      <c r="H28" s="6"/>
      <c r="I28" s="6"/>
    </row>
    <row r="29">
      <c r="A29" s="551">
        <f>C30-253301</f>
        <v>31519483</v>
      </c>
      <c r="B29" s="512" t="s">
        <v>302</v>
      </c>
      <c r="C29" s="522">
        <f>6558+8354074+649986</f>
        <v>9010618</v>
      </c>
      <c r="D29" s="512" t="s">
        <v>333</v>
      </c>
      <c r="E29" s="515">
        <v>3.2424498964983355E-4</v>
      </c>
      <c r="F29" s="511"/>
      <c r="G29" s="6"/>
      <c r="H29" s="6"/>
      <c r="I29" s="6"/>
    </row>
    <row r="30">
      <c r="B30" s="512" t="s">
        <v>303</v>
      </c>
      <c r="C30" s="525">
        <f>C27-C29</f>
        <v>31772784</v>
      </c>
      <c r="D30" s="511"/>
      <c r="E30" s="511"/>
      <c r="F30" s="511"/>
      <c r="G30" s="6"/>
      <c r="H30" s="6"/>
      <c r="I30" s="6"/>
    </row>
    <row r="31">
      <c r="B31" s="530" t="s">
        <v>304</v>
      </c>
      <c r="C31" s="546">
        <f>IFERROR(__xludf.DUMMYFUNCTION("IMPORTRANGE(""1Ou2QKF8-XqWX9WFzapZrSLXeIe1ELfRnTVdIY-5MEn8"", ""September2025 Summary!B8"")"),6306878.4)</f>
        <v>6306878.4</v>
      </c>
      <c r="D31" s="531"/>
      <c r="E31" s="531"/>
      <c r="F31" s="531"/>
      <c r="G31" s="6"/>
      <c r="H31" s="6"/>
      <c r="I31" s="6"/>
    </row>
    <row r="32">
      <c r="B32" s="532" t="s">
        <v>305</v>
      </c>
      <c r="C32" s="546">
        <f>IFERROR(__xludf.DUMMYFUNCTION("IMPORTRANGE(""1Ou2QKF8-XqWX9WFzapZrSLXeIe1ELfRnTVdIY-5MEn8"", ""September2025 Summary!B15"")"),7095238.2)</f>
        <v>7095238.2</v>
      </c>
      <c r="D32" s="533"/>
      <c r="E32" s="533"/>
      <c r="F32" s="533"/>
      <c r="G32" s="6"/>
      <c r="H32" s="6"/>
      <c r="I32" s="6"/>
    </row>
    <row r="33">
      <c r="B33" s="532" t="s">
        <v>343</v>
      </c>
      <c r="C33" s="533"/>
      <c r="D33" s="533"/>
      <c r="E33" s="533"/>
      <c r="F33" s="533"/>
      <c r="G33" s="6"/>
      <c r="H33" s="6"/>
      <c r="I33" s="6"/>
    </row>
    <row r="34">
      <c r="B34" s="547" t="s">
        <v>131</v>
      </c>
      <c r="C34" s="534"/>
      <c r="D34" s="533"/>
      <c r="E34" s="533"/>
      <c r="F34" s="533"/>
      <c r="G34" s="6"/>
      <c r="H34" s="6"/>
      <c r="I34" s="6"/>
    </row>
    <row r="35">
      <c r="B35" s="536" t="s">
        <v>135</v>
      </c>
      <c r="C35" s="543">
        <f>IFERROR(__xludf.DUMMYFUNCTION("IMPORTRANGE(""1-7D4xn7jPVWxK4Hv_jQ4ruRle9vkJvezFGDqi1GFnd4"", ""MONTHLY !H30"")"),9563363.209999999)</f>
        <v>9563363.21</v>
      </c>
      <c r="D35" s="537"/>
      <c r="E35" s="537"/>
      <c r="F35" s="537"/>
      <c r="G35" s="6"/>
      <c r="H35" s="6"/>
      <c r="I35" s="6"/>
    </row>
    <row r="36">
      <c r="B36" s="538" t="s">
        <v>129</v>
      </c>
      <c r="C36" s="522">
        <v>694111.143</v>
      </c>
      <c r="D36" s="511"/>
      <c r="E36" s="511"/>
      <c r="F36" s="511"/>
      <c r="G36" s="6"/>
      <c r="H36" s="6"/>
      <c r="I36" s="528"/>
    </row>
    <row r="37">
      <c r="B37" s="538" t="s">
        <v>127</v>
      </c>
      <c r="C37" s="522">
        <v>3309967.0</v>
      </c>
      <c r="D37" s="511"/>
      <c r="E37" s="511"/>
      <c r="F37" s="511"/>
      <c r="G37" s="6"/>
      <c r="H37" s="6"/>
      <c r="I37" s="6"/>
    </row>
    <row r="38">
      <c r="B38" s="538" t="s">
        <v>336</v>
      </c>
      <c r="C38" s="522">
        <f>IFERROR(__xludf.DUMMYFUNCTION("IMPORTRANGE(""14XIjmVcs8qf6tS7n0A5FnYSYOV-msbbCaARCRnN4wc0"", ""2025/9月!H3"")"),2503018.658)</f>
        <v>2503018.658</v>
      </c>
      <c r="D38" s="511"/>
      <c r="E38" s="511"/>
      <c r="F38" s="511"/>
      <c r="G38" s="6"/>
      <c r="H38" s="6"/>
      <c r="I38" s="6"/>
    </row>
    <row r="39">
      <c r="B39" s="538" t="s">
        <v>337</v>
      </c>
      <c r="C39" s="522">
        <f>IFERROR(__xludf.DUMMYFUNCTION("IMPORTRANGE(""1T1trhXRLFLmvsw6NF2ctVVuwIVOBYo9gekGltVhcgf4"", ""Monthly pay!R17"")"),126733.87319999997)</f>
        <v>126733.8732</v>
      </c>
      <c r="D39" s="511"/>
      <c r="E39" s="511"/>
      <c r="F39" s="511"/>
      <c r="G39" s="6"/>
      <c r="H39" s="6"/>
      <c r="I39" s="6"/>
    </row>
    <row r="40">
      <c r="B40" s="512" t="s">
        <v>307</v>
      </c>
      <c r="C40" s="522">
        <f>SUM(C33:C39)</f>
        <v>16197193.88</v>
      </c>
      <c r="D40" s="511"/>
      <c r="E40" s="511"/>
      <c r="F40" s="511"/>
      <c r="G40" s="6"/>
      <c r="H40" s="6"/>
      <c r="I40" s="6"/>
    </row>
    <row r="41">
      <c r="B41" s="532" t="s">
        <v>311</v>
      </c>
      <c r="C41" s="534">
        <f>IFERROR(__xludf.DUMMYFUNCTION("IMPORTRANGE(""1Ou2QKF8-XqWX9WFzapZrSLXeIe1ELfRnTVdIY-5MEn8"", ""September2025 Summary!B16"")"),8671957.8)</f>
        <v>8671957.8</v>
      </c>
      <c r="D41" s="532"/>
      <c r="E41" s="533"/>
      <c r="F41" s="533"/>
      <c r="G41" s="6"/>
      <c r="H41" s="6"/>
      <c r="I41" s="6"/>
    </row>
    <row r="42">
      <c r="B42" s="532" t="s">
        <v>338</v>
      </c>
      <c r="C42" s="540">
        <f>C30-C31-C32-C40-C41</f>
        <v>-6498484.284</v>
      </c>
      <c r="D42" s="533"/>
      <c r="E42" s="533"/>
      <c r="F42" s="533"/>
      <c r="G42" s="6"/>
      <c r="H42" s="6"/>
      <c r="I42" s="6"/>
    </row>
    <row r="43">
      <c r="B43" s="532" t="s">
        <v>339</v>
      </c>
      <c r="C43" s="539">
        <v>0.0</v>
      </c>
      <c r="D43" s="532" t="s">
        <v>340</v>
      </c>
      <c r="E43" s="533"/>
      <c r="F43" s="533"/>
      <c r="G43" s="6"/>
      <c r="H43" s="6"/>
      <c r="I43" s="6"/>
    </row>
    <row r="44">
      <c r="B44" s="532" t="s">
        <v>341</v>
      </c>
      <c r="C44" s="539">
        <v>238392.0</v>
      </c>
      <c r="D44" s="540">
        <v>6.2608196E7</v>
      </c>
      <c r="E44" s="533"/>
      <c r="F44" s="533"/>
      <c r="G44" s="6"/>
      <c r="H44" s="6"/>
      <c r="I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tr">
        <f>IFERROR(__xludf.DUMMYFUNCTION("IMPORTRANGE(""11QmPanSRxykbUTB_EqX7W510tAZnhZpBpW7QiSnxobM"", ""必達管理2025年9月D!A1:Z1000"")"),"必達")</f>
        <v>必達</v>
      </c>
      <c r="B1" s="62"/>
      <c r="C1" s="62"/>
      <c r="D1" s="62">
        <f>IFERROR(__xludf.DUMMYFUNCTION("""COMPUTED_VALUE"""),72.0)</f>
        <v>72</v>
      </c>
      <c r="E1" s="62"/>
      <c r="F1" s="62"/>
      <c r="G1" s="62"/>
      <c r="H1" s="62"/>
      <c r="I1" s="62"/>
      <c r="J1" s="62"/>
      <c r="K1" s="62" t="str">
        <f>IFERROR(__xludf.DUMMYFUNCTION("""COMPUTED_VALUE"""),"今なら条件達成で最大1万ボーナスが貰えます。")</f>
        <v>今なら条件達成で最大1万ボーナスが貰えます。</v>
      </c>
      <c r="L1" s="62"/>
      <c r="M1" s="62"/>
      <c r="N1" s="62"/>
      <c r="O1" s="62"/>
      <c r="P1" s="62"/>
      <c r="Q1" s="62"/>
      <c r="R1" s="62"/>
      <c r="S1" s="62"/>
      <c r="T1" s="62"/>
      <c r="U1" s="62"/>
      <c r="V1" s="62"/>
      <c r="W1" s="62"/>
      <c r="X1" s="62"/>
      <c r="Y1" s="62"/>
      <c r="Z1" s="62"/>
    </row>
    <row r="2">
      <c r="A2" s="62" t="str">
        <f>IFERROR(__xludf.DUMMYFUNCTION("""COMPUTED_VALUE"""),"必達管理表")</f>
        <v>必達管理表</v>
      </c>
      <c r="B2" s="62"/>
      <c r="C2" s="62"/>
      <c r="D2" s="62"/>
      <c r="E2" s="62"/>
      <c r="F2" s="62"/>
      <c r="G2" s="62"/>
      <c r="H2" s="62"/>
      <c r="I2" s="62"/>
      <c r="J2" s="62"/>
      <c r="K2" s="62"/>
      <c r="L2" s="62"/>
      <c r="M2" s="62"/>
      <c r="N2" s="62"/>
      <c r="O2" s="62"/>
      <c r="P2" s="62"/>
      <c r="Q2" s="62" t="str">
        <f>IFERROR(__xludf.DUMMYFUNCTION("""COMPUTED_VALUE"""),"合計稼働日数")</f>
        <v>合計稼働日数</v>
      </c>
      <c r="R2" s="62" t="str">
        <f>IFERROR(__xludf.DUMMYFUNCTION("""COMPUTED_VALUE"""),"稼働日数(平日)")</f>
        <v>稼働日数(平日)</v>
      </c>
      <c r="S2" s="62" t="str">
        <f>IFERROR(__xludf.DUMMYFUNCTION("""COMPUTED_VALUE"""),"稼働日数(土日)")</f>
        <v>稼働日数(土日)</v>
      </c>
      <c r="T2" s="62" t="str">
        <f>IFERROR(__xludf.DUMMYFUNCTION("""COMPUTED_VALUE"""),"今月分データ取得数")</f>
        <v>今月分データ取得数</v>
      </c>
      <c r="U2" s="62" t="str">
        <f>IFERROR(__xludf.DUMMYFUNCTION("""COMPUTED_VALUE"""),"リストに対しての着電数")</f>
        <v>リストに対しての着電数</v>
      </c>
      <c r="V2" s="62"/>
      <c r="W2" s="62"/>
      <c r="X2" s="62"/>
      <c r="Y2" s="62"/>
      <c r="Z2" s="62"/>
    </row>
    <row r="3">
      <c r="A3" s="62" t="str">
        <f>IFERROR(__xludf.DUMMYFUNCTION("""COMPUTED_VALUE"""),"日付")</f>
        <v>日付</v>
      </c>
      <c r="B3" s="62" t="str">
        <f>IFERROR(__xludf.DUMMYFUNCTION("""COMPUTED_VALUE"""),"名前")</f>
        <v>名前</v>
      </c>
      <c r="C3" s="62" t="str">
        <f>IFERROR(__xludf.DUMMYFUNCTION("""COMPUTED_VALUE"""),"打電件数")</f>
        <v>打電件数</v>
      </c>
      <c r="D3" s="62" t="str">
        <f>IFERROR(__xludf.DUMMYFUNCTION("""COMPUTED_VALUE"""),"着電件数")</f>
        <v>着電件数</v>
      </c>
      <c r="E3" s="62" t="str">
        <f>IFERROR(__xludf.DUMMYFUNCTION("""COMPUTED_VALUE"""),"折り返し件数")</f>
        <v>折り返し件数</v>
      </c>
      <c r="F3" s="62" t="str">
        <f>IFERROR(__xludf.DUMMYFUNCTION("""COMPUTED_VALUE"""),"拒否")</f>
        <v>拒否</v>
      </c>
      <c r="G3" s="62" t="str">
        <f>IFERROR(__xludf.DUMMYFUNCTION("""COMPUTED_VALUE"""),"着電率")</f>
        <v>着電率</v>
      </c>
      <c r="H3" s="62" t="str">
        <f>IFERROR(__xludf.DUMMYFUNCTION("""COMPUTED_VALUE"""),"LINE登録")</f>
        <v>LINE登録</v>
      </c>
      <c r="I3" s="62" t="str">
        <f>IFERROR(__xludf.DUMMYFUNCTION("""COMPUTED_VALUE"""),"アカウント作成")</f>
        <v>アカウント作成</v>
      </c>
      <c r="J3" s="552" t="str">
        <f>IFERROR(__xludf.DUMMYFUNCTION("""COMPUTED_VALUE"""),"新規信用枠額")</f>
        <v>新規信用枠額</v>
      </c>
      <c r="K3" s="62" t="str">
        <f>IFERROR(__xludf.DUMMYFUNCTION("""COMPUTED_VALUE"""),"リスト死回線数")</f>
        <v>リスト死回線数</v>
      </c>
      <c r="L3" s="62" t="str">
        <f>IFERROR(__xludf.DUMMYFUNCTION("""COMPUTED_VALUE"""),"LINE率(打電から)")</f>
        <v>LINE率(打電から)</v>
      </c>
      <c r="M3" s="62" t="str">
        <f>IFERROR(__xludf.DUMMYFUNCTION("""COMPUTED_VALUE"""),"アカウント作成率(打電から)")</f>
        <v>アカウント作成率(打電から)</v>
      </c>
      <c r="N3" s="62" t="str">
        <f>IFERROR(__xludf.DUMMYFUNCTION("""COMPUTED_VALUE"""),"アカウント作成率(LINEから)")</f>
        <v>アカウント作成率(LINEから)</v>
      </c>
      <c r="O3" s="62" t="str">
        <f>IFERROR(__xludf.DUMMYFUNCTION("""COMPUTED_VALUE"""),"リスト名")</f>
        <v>リスト名</v>
      </c>
      <c r="P3" s="553" t="str">
        <f>IFERROR(__xludf.DUMMYFUNCTION("""COMPUTED_VALUE"""),"日本基準")</f>
        <v>日本基準</v>
      </c>
      <c r="Q3" s="62">
        <f>IFERROR(__xludf.DUMMYFUNCTION("""COMPUTED_VALUE"""),30.0)</f>
        <v>30</v>
      </c>
      <c r="R3" s="62">
        <f>IFERROR(__xludf.DUMMYFUNCTION("""COMPUTED_VALUE"""),19.0)</f>
        <v>19</v>
      </c>
      <c r="S3" s="62">
        <f>IFERROR(__xludf.DUMMYFUNCTION("""COMPUTED_VALUE"""),11.0)</f>
        <v>11</v>
      </c>
      <c r="T3" s="62">
        <f>IFERROR(__xludf.DUMMYFUNCTION("""COMPUTED_VALUE"""),14807.0)</f>
        <v>14807</v>
      </c>
      <c r="U3" s="504">
        <f>IFERROR(__xludf.DUMMYFUNCTION("""COMPUTED_VALUE"""),0.02525832376578645)</f>
        <v>0.02525832377</v>
      </c>
      <c r="V3" s="62"/>
      <c r="W3" s="62"/>
      <c r="X3" s="62"/>
      <c r="Y3" s="62"/>
      <c r="Z3" s="62"/>
    </row>
    <row r="4">
      <c r="A4" s="554">
        <f>IFERROR(__xludf.DUMMYFUNCTION("""COMPUTED_VALUE"""),45901.0)</f>
        <v>45901</v>
      </c>
      <c r="B4" s="62" t="str">
        <f>IFERROR(__xludf.DUMMYFUNCTION("""COMPUTED_VALUE"""),"あり")</f>
        <v>あり</v>
      </c>
      <c r="C4" s="62"/>
      <c r="D4" s="62">
        <f>IFERROR(__xludf.DUMMYFUNCTION("""COMPUTED_VALUE"""),56.0)</f>
        <v>56</v>
      </c>
      <c r="E4" s="62"/>
      <c r="F4" s="62">
        <f>IFERROR(__xludf.DUMMYFUNCTION("""COMPUTED_VALUE"""),36.0)</f>
        <v>36</v>
      </c>
      <c r="G4" s="504">
        <f>IFERROR(__xludf.DUMMYFUNCTION("""COMPUTED_VALUE"""),0.0)</f>
        <v>0</v>
      </c>
      <c r="H4" s="62"/>
      <c r="I4" s="62"/>
      <c r="J4" s="62"/>
      <c r="K4" s="62"/>
      <c r="L4" s="504">
        <f>IFERROR(__xludf.DUMMYFUNCTION("""COMPUTED_VALUE"""),0.0)</f>
        <v>0</v>
      </c>
      <c r="M4" s="504">
        <f>IFERROR(__xludf.DUMMYFUNCTION("""COMPUTED_VALUE"""),0.0)</f>
        <v>0</v>
      </c>
      <c r="N4" s="504">
        <f>IFERROR(__xludf.DUMMYFUNCTION("""COMPUTED_VALUE"""),0.0)</f>
        <v>0</v>
      </c>
      <c r="O4" s="62" t="str">
        <f>IFERROR(__xludf.DUMMYFUNCTION("""COMPUTED_VALUE"""),"リストS")</f>
        <v>リストS</v>
      </c>
      <c r="P4" s="553" t="str">
        <f>IFERROR(__xludf.DUMMYFUNCTION("""COMPUTED_VALUE"""),"平日")</f>
        <v>平日</v>
      </c>
      <c r="Q4" s="62"/>
      <c r="R4" s="62"/>
      <c r="S4" s="62"/>
      <c r="T4" s="62"/>
      <c r="U4" s="62"/>
      <c r="V4" s="62"/>
      <c r="W4" s="62"/>
      <c r="X4" s="62"/>
      <c r="Y4" s="62"/>
      <c r="Z4" s="62"/>
    </row>
    <row r="5">
      <c r="A5" s="62"/>
      <c r="B5" s="62" t="str">
        <f>IFERROR(__xludf.DUMMYFUNCTION("""COMPUTED_VALUE"""),"しょうま")</f>
        <v>しょうま</v>
      </c>
      <c r="C5" s="62"/>
      <c r="D5" s="62"/>
      <c r="E5" s="62"/>
      <c r="F5" s="62"/>
      <c r="G5" s="504">
        <f>IFERROR(__xludf.DUMMYFUNCTION("""COMPUTED_VALUE"""),0.0)</f>
        <v>0</v>
      </c>
      <c r="H5" s="62"/>
      <c r="I5" s="62"/>
      <c r="J5" s="62"/>
      <c r="K5" s="62"/>
      <c r="L5" s="504">
        <f>IFERROR(__xludf.DUMMYFUNCTION("""COMPUTED_VALUE"""),0.0)</f>
        <v>0</v>
      </c>
      <c r="M5" s="504">
        <f>IFERROR(__xludf.DUMMYFUNCTION("""COMPUTED_VALUE"""),0.0)</f>
        <v>0</v>
      </c>
      <c r="N5" s="504">
        <f>IFERROR(__xludf.DUMMYFUNCTION("""COMPUTED_VALUE"""),0.0)</f>
        <v>0</v>
      </c>
      <c r="O5" s="62"/>
      <c r="P5" s="62"/>
      <c r="Q5" s="62" t="str">
        <f>IFERROR(__xludf.DUMMYFUNCTION("""COMPUTED_VALUE"""),"合計")</f>
        <v>合計</v>
      </c>
      <c r="R5" s="62"/>
      <c r="S5" s="62"/>
      <c r="T5" s="62"/>
      <c r="U5" s="62"/>
      <c r="V5" s="62"/>
      <c r="W5" s="62"/>
      <c r="X5" s="62"/>
      <c r="Y5" s="62"/>
      <c r="Z5" s="62"/>
    </row>
    <row r="6">
      <c r="A6" s="62"/>
      <c r="B6" s="62"/>
      <c r="C6" s="62"/>
      <c r="D6" s="62"/>
      <c r="E6" s="62"/>
      <c r="F6" s="62"/>
      <c r="G6" s="504">
        <f>IFERROR(__xludf.DUMMYFUNCTION("""COMPUTED_VALUE"""),0.0)</f>
        <v>0</v>
      </c>
      <c r="H6" s="62"/>
      <c r="I6" s="62"/>
      <c r="J6" s="62"/>
      <c r="K6" s="62"/>
      <c r="L6" s="504">
        <f>IFERROR(__xludf.DUMMYFUNCTION("""COMPUTED_VALUE"""),0.0)</f>
        <v>0</v>
      </c>
      <c r="M6" s="504">
        <f>IFERROR(__xludf.DUMMYFUNCTION("""COMPUTED_VALUE"""),0.0)</f>
        <v>0</v>
      </c>
      <c r="N6" s="504">
        <f>IFERROR(__xludf.DUMMYFUNCTION("""COMPUTED_VALUE"""),0.0)</f>
        <v>0</v>
      </c>
      <c r="O6" s="62"/>
      <c r="P6" s="62"/>
      <c r="Q6" s="62" t="str">
        <f>IFERROR(__xludf.DUMMYFUNCTION("""COMPUTED_VALUE"""),"打電数")</f>
        <v>打電数</v>
      </c>
      <c r="R6" s="62" t="str">
        <f>IFERROR(__xludf.DUMMYFUNCTION("""COMPUTED_VALUE"""),"着電数")</f>
        <v>着電数</v>
      </c>
      <c r="S6" s="62" t="str">
        <f>IFERROR(__xludf.DUMMYFUNCTION("""COMPUTED_VALUE"""),"LINE登録数")</f>
        <v>LINE登録数</v>
      </c>
      <c r="T6" s="62" t="str">
        <f>IFERROR(__xludf.DUMMYFUNCTION("""COMPUTED_VALUE"""),"アカウント作成数")</f>
        <v>アカウント作成数</v>
      </c>
      <c r="U6" s="62" t="str">
        <f>IFERROR(__xludf.DUMMYFUNCTION("""COMPUTED_VALUE"""),"新規信用枠")</f>
        <v>新規信用枠</v>
      </c>
      <c r="V6" s="62"/>
      <c r="W6" s="62"/>
      <c r="X6" s="62"/>
      <c r="Y6" s="62"/>
      <c r="Z6" s="62"/>
    </row>
    <row r="7">
      <c r="A7" s="62"/>
      <c r="B7" s="62" t="str">
        <f>IFERROR(__xludf.DUMMYFUNCTION("""COMPUTED_VALUE"""),"ジョーナ")</f>
        <v>ジョーナ</v>
      </c>
      <c r="C7" s="62"/>
      <c r="D7" s="62"/>
      <c r="E7" s="62"/>
      <c r="F7" s="62"/>
      <c r="G7" s="504">
        <f>IFERROR(__xludf.DUMMYFUNCTION("""COMPUTED_VALUE"""),0.0)</f>
        <v>0</v>
      </c>
      <c r="H7" s="62"/>
      <c r="I7" s="62"/>
      <c r="J7" s="62"/>
      <c r="K7" s="62"/>
      <c r="L7" s="504">
        <f>IFERROR(__xludf.DUMMYFUNCTION("""COMPUTED_VALUE"""),0.0)</f>
        <v>0</v>
      </c>
      <c r="M7" s="504">
        <f>IFERROR(__xludf.DUMMYFUNCTION("""COMPUTED_VALUE"""),0.0)</f>
        <v>0</v>
      </c>
      <c r="N7" s="504">
        <f>IFERROR(__xludf.DUMMYFUNCTION("""COMPUTED_VALUE"""),0.0)</f>
        <v>0</v>
      </c>
      <c r="O7" s="62"/>
      <c r="P7" s="62"/>
      <c r="Q7" s="62">
        <f>IFERROR(__xludf.DUMMYFUNCTION("""COMPUTED_VALUE"""),12471.0)</f>
        <v>12471</v>
      </c>
      <c r="R7" s="62">
        <f>IFERROR(__xludf.DUMMYFUNCTION("""COMPUTED_VALUE"""),2418.0)</f>
        <v>2418</v>
      </c>
      <c r="S7" s="62">
        <f>IFERROR(__xludf.DUMMYFUNCTION("""COMPUTED_VALUE"""),161.0)</f>
        <v>161</v>
      </c>
      <c r="T7" s="555">
        <f>IFERROR(__xludf.DUMMYFUNCTION("""COMPUTED_VALUE"""),172.0)</f>
        <v>172</v>
      </c>
      <c r="U7" s="552">
        <f>IFERROR(__xludf.DUMMYFUNCTION("""COMPUTED_VALUE"""),1.253E7)</f>
        <v>12530000</v>
      </c>
      <c r="V7" s="62"/>
      <c r="W7" s="62"/>
      <c r="X7" s="62"/>
      <c r="Y7" s="62"/>
      <c r="Z7" s="62"/>
    </row>
    <row r="8">
      <c r="A8" s="62"/>
      <c r="B8" s="62" t="str">
        <f>IFERROR(__xludf.DUMMYFUNCTION("""COMPUTED_VALUE"""),"武田")</f>
        <v>武田</v>
      </c>
      <c r="C8" s="62"/>
      <c r="D8" s="62"/>
      <c r="E8" s="62"/>
      <c r="F8" s="62"/>
      <c r="G8" s="504">
        <f>IFERROR(__xludf.DUMMYFUNCTION("""COMPUTED_VALUE"""),0.0)</f>
        <v>0</v>
      </c>
      <c r="H8" s="62"/>
      <c r="I8" s="62"/>
      <c r="J8" s="62"/>
      <c r="K8" s="62"/>
      <c r="L8" s="504">
        <f>IFERROR(__xludf.DUMMYFUNCTION("""COMPUTED_VALUE"""),0.0)</f>
        <v>0</v>
      </c>
      <c r="M8" s="504">
        <f>IFERROR(__xludf.DUMMYFUNCTION("""COMPUTED_VALUE"""),0.0)</f>
        <v>0</v>
      </c>
      <c r="N8" s="504">
        <f>IFERROR(__xludf.DUMMYFUNCTION("""COMPUTED_VALUE"""),0.0)</f>
        <v>0</v>
      </c>
      <c r="O8" s="62"/>
      <c r="P8" s="62"/>
      <c r="Q8" s="62"/>
      <c r="R8" s="62"/>
      <c r="S8" s="62"/>
      <c r="T8" s="62"/>
      <c r="U8" s="62"/>
      <c r="V8" s="62"/>
      <c r="W8" s="62"/>
      <c r="X8" s="62"/>
      <c r="Y8" s="62"/>
      <c r="Z8" s="62"/>
    </row>
    <row r="9">
      <c r="A9" s="62"/>
      <c r="B9" s="62" t="str">
        <f>IFERROR(__xludf.DUMMYFUNCTION("""COMPUTED_VALUE"""),"高木")</f>
        <v>高木</v>
      </c>
      <c r="C9" s="62"/>
      <c r="D9" s="62">
        <f>IFERROR(__xludf.DUMMYFUNCTION("""COMPUTED_VALUE"""),45.0)</f>
        <v>45</v>
      </c>
      <c r="E9" s="62"/>
      <c r="F9" s="62">
        <f>IFERROR(__xludf.DUMMYFUNCTION("""COMPUTED_VALUE"""),37.0)</f>
        <v>37</v>
      </c>
      <c r="G9" s="504">
        <f>IFERROR(__xludf.DUMMYFUNCTION("""COMPUTED_VALUE"""),0.0)</f>
        <v>0</v>
      </c>
      <c r="H9" s="62"/>
      <c r="I9" s="62">
        <f>IFERROR(__xludf.DUMMYFUNCTION("""COMPUTED_VALUE"""),1.0)</f>
        <v>1</v>
      </c>
      <c r="J9" s="552">
        <f>IFERROR(__xludf.DUMMYFUNCTION("""COMPUTED_VALUE"""),0.0)</f>
        <v>0</v>
      </c>
      <c r="K9" s="62"/>
      <c r="L9" s="504">
        <f>IFERROR(__xludf.DUMMYFUNCTION("""COMPUTED_VALUE"""),0.0)</f>
        <v>0</v>
      </c>
      <c r="M9" s="504">
        <f>IFERROR(__xludf.DUMMYFUNCTION("""COMPUTED_VALUE"""),0.0)</f>
        <v>0</v>
      </c>
      <c r="N9" s="504">
        <f>IFERROR(__xludf.DUMMYFUNCTION("""COMPUTED_VALUE"""),0.0)</f>
        <v>0</v>
      </c>
      <c r="O9" s="62"/>
      <c r="P9" s="62"/>
      <c r="Q9" s="62" t="str">
        <f>IFERROR(__xludf.DUMMYFUNCTION("""COMPUTED_VALUE"""),"名前")</f>
        <v>名前</v>
      </c>
      <c r="R9" s="62" t="str">
        <f>IFERROR(__xludf.DUMMYFUNCTION("""COMPUTED_VALUE"""),"打電数")</f>
        <v>打電数</v>
      </c>
      <c r="S9" s="62" t="str">
        <f>IFERROR(__xludf.DUMMYFUNCTION("""COMPUTED_VALUE"""),"着電数")</f>
        <v>着電数</v>
      </c>
      <c r="T9" s="62" t="str">
        <f>IFERROR(__xludf.DUMMYFUNCTION("""COMPUTED_VALUE"""),"LINE登録数")</f>
        <v>LINE登録数</v>
      </c>
      <c r="U9" s="62" t="str">
        <f>IFERROR(__xludf.DUMMYFUNCTION("""COMPUTED_VALUE"""),"アカウント作成数")</f>
        <v>アカウント作成数</v>
      </c>
      <c r="V9" s="552" t="str">
        <f>IFERROR(__xludf.DUMMYFUNCTION("""COMPUTED_VALUE"""),"新規信用枠額")</f>
        <v>新規信用枠額</v>
      </c>
      <c r="W9" s="552" t="str">
        <f>IFERROR(__xludf.DUMMYFUNCTION("""COMPUTED_VALUE"""),"リスト死回線数")</f>
        <v>リスト死回線数</v>
      </c>
      <c r="X9" s="553" t="str">
        <f>IFERROR(__xludf.DUMMYFUNCTION("""COMPUTED_VALUE"""),"GGR")</f>
        <v>GGR</v>
      </c>
      <c r="Y9" s="62" t="str">
        <f>IFERROR(__xludf.DUMMYFUNCTION("""COMPUTED_VALUE"""),"作成率(打電数)")</f>
        <v>作成率(打電数)</v>
      </c>
      <c r="Z9" s="62" t="str">
        <f>IFERROR(__xludf.DUMMYFUNCTION("""COMPUTED_VALUE"""),"作成率(着電数)")</f>
        <v>作成率(着電数)</v>
      </c>
    </row>
    <row r="10">
      <c r="A10" s="62"/>
      <c r="B10" s="62"/>
      <c r="C10" s="62"/>
      <c r="D10" s="62"/>
      <c r="E10" s="62"/>
      <c r="F10" s="62"/>
      <c r="G10" s="504">
        <f>IFERROR(__xludf.DUMMYFUNCTION("""COMPUTED_VALUE"""),0.0)</f>
        <v>0</v>
      </c>
      <c r="H10" s="62"/>
      <c r="I10" s="62"/>
      <c r="J10" s="62"/>
      <c r="K10" s="62"/>
      <c r="L10" s="504">
        <f>IFERROR(__xludf.DUMMYFUNCTION("""COMPUTED_VALUE"""),0.0)</f>
        <v>0</v>
      </c>
      <c r="M10" s="504">
        <f>IFERROR(__xludf.DUMMYFUNCTION("""COMPUTED_VALUE"""),0.0)</f>
        <v>0</v>
      </c>
      <c r="N10" s="504">
        <f>IFERROR(__xludf.DUMMYFUNCTION("""COMPUTED_VALUE"""),0.0)</f>
        <v>0</v>
      </c>
      <c r="O10" s="62"/>
      <c r="P10" s="62"/>
      <c r="Q10" s="62" t="str">
        <f>IFERROR(__xludf.DUMMYFUNCTION("""COMPUTED_VALUE"""),"あり")</f>
        <v>あり</v>
      </c>
      <c r="R10" s="62">
        <f>IFERROR(__xludf.DUMMYFUNCTION("""COMPUTED_VALUE"""),1094.0)</f>
        <v>1094</v>
      </c>
      <c r="S10" s="62">
        <f>IFERROR(__xludf.DUMMYFUNCTION("""COMPUTED_VALUE"""),288.0)</f>
        <v>288</v>
      </c>
      <c r="T10" s="62">
        <f>IFERROR(__xludf.DUMMYFUNCTION("""COMPUTED_VALUE"""),69.0)</f>
        <v>69</v>
      </c>
      <c r="U10" s="62">
        <f>IFERROR(__xludf.DUMMYFUNCTION("""COMPUTED_VALUE"""),47.0)</f>
        <v>47</v>
      </c>
      <c r="V10" s="552">
        <f>IFERROR(__xludf.DUMMYFUNCTION("""COMPUTED_VALUE"""),2820000.0)</f>
        <v>2820000</v>
      </c>
      <c r="W10" s="62">
        <f>IFERROR(__xludf.DUMMYFUNCTION("""COMPUTED_VALUE"""),3.0)</f>
        <v>3</v>
      </c>
      <c r="X10" s="62"/>
      <c r="Y10" s="504">
        <f>IFERROR(__xludf.DUMMYFUNCTION("""COMPUTED_VALUE"""),0.04296160877513711)</f>
        <v>0.04296160878</v>
      </c>
      <c r="Z10" s="504">
        <f>IFERROR(__xludf.DUMMYFUNCTION("""COMPUTED_VALUE"""),0.16319444444444445)</f>
        <v>0.1631944444</v>
      </c>
    </row>
    <row r="11">
      <c r="A11" s="62"/>
      <c r="B11" s="62" t="str">
        <f>IFERROR(__xludf.DUMMYFUNCTION("""COMPUTED_VALUE"""),"大谷")</f>
        <v>大谷</v>
      </c>
      <c r="C11" s="62"/>
      <c r="D11" s="62"/>
      <c r="E11" s="62"/>
      <c r="F11" s="62"/>
      <c r="G11" s="504">
        <f>IFERROR(__xludf.DUMMYFUNCTION("""COMPUTED_VALUE"""),0.0)</f>
        <v>0</v>
      </c>
      <c r="H11" s="62"/>
      <c r="I11" s="62"/>
      <c r="J11" s="62"/>
      <c r="K11" s="62"/>
      <c r="L11" s="504">
        <f>IFERROR(__xludf.DUMMYFUNCTION("""COMPUTED_VALUE"""),0.0)</f>
        <v>0</v>
      </c>
      <c r="M11" s="504">
        <f>IFERROR(__xludf.DUMMYFUNCTION("""COMPUTED_VALUE"""),0.0)</f>
        <v>0</v>
      </c>
      <c r="N11" s="504">
        <f>IFERROR(__xludf.DUMMYFUNCTION("""COMPUTED_VALUE"""),0.0)</f>
        <v>0</v>
      </c>
      <c r="O11" s="62"/>
      <c r="P11" s="62"/>
      <c r="Q11" s="62" t="str">
        <f>IFERROR(__xludf.DUMMYFUNCTION("""COMPUTED_VALUE"""),"しょうま")</f>
        <v>しょうま</v>
      </c>
      <c r="R11" s="62">
        <f>IFERROR(__xludf.DUMMYFUNCTION("""COMPUTED_VALUE"""),4103.0)</f>
        <v>4103</v>
      </c>
      <c r="S11" s="62">
        <f>IFERROR(__xludf.DUMMYFUNCTION("""COMPUTED_VALUE"""),448.0)</f>
        <v>448</v>
      </c>
      <c r="T11" s="62">
        <f>IFERROR(__xludf.DUMMYFUNCTION("""COMPUTED_VALUE"""),42.0)</f>
        <v>42</v>
      </c>
      <c r="U11" s="62">
        <f>IFERROR(__xludf.DUMMYFUNCTION("""COMPUTED_VALUE"""),45.0)</f>
        <v>45</v>
      </c>
      <c r="V11" s="552">
        <f>IFERROR(__xludf.DUMMYFUNCTION("""COMPUTED_VALUE"""),2600000.0)</f>
        <v>2600000</v>
      </c>
      <c r="W11" s="62">
        <f>IFERROR(__xludf.DUMMYFUNCTION("""COMPUTED_VALUE"""),106.0)</f>
        <v>106</v>
      </c>
      <c r="X11" s="62"/>
      <c r="Y11" s="504">
        <f>IFERROR(__xludf.DUMMYFUNCTION("""COMPUTED_VALUE"""),0.010967584694126249)</f>
        <v>0.01096758469</v>
      </c>
      <c r="Z11" s="504">
        <f>IFERROR(__xludf.DUMMYFUNCTION("""COMPUTED_VALUE"""),0.10044642857142858)</f>
        <v>0.1004464286</v>
      </c>
    </row>
    <row r="12">
      <c r="A12" s="62"/>
      <c r="B12" s="62"/>
      <c r="C12" s="62"/>
      <c r="D12" s="62"/>
      <c r="E12" s="62"/>
      <c r="F12" s="62"/>
      <c r="G12" s="504">
        <f>IFERROR(__xludf.DUMMYFUNCTION("""COMPUTED_VALUE"""),0.0)</f>
        <v>0</v>
      </c>
      <c r="H12" s="62"/>
      <c r="I12" s="62"/>
      <c r="J12" s="62"/>
      <c r="K12" s="62"/>
      <c r="L12" s="504">
        <f>IFERROR(__xludf.DUMMYFUNCTION("""COMPUTED_VALUE"""),0.0)</f>
        <v>0</v>
      </c>
      <c r="M12" s="504">
        <f>IFERROR(__xludf.DUMMYFUNCTION("""COMPUTED_VALUE"""),0.0)</f>
        <v>0</v>
      </c>
      <c r="N12" s="504">
        <f>IFERROR(__xludf.DUMMYFUNCTION("""COMPUTED_VALUE"""),0.0)</f>
        <v>0</v>
      </c>
      <c r="O12" s="62"/>
      <c r="P12" s="62"/>
      <c r="Q12" s="62"/>
      <c r="R12" s="62" t="str">
        <f>IFERROR(__xludf.DUMMYFUNCTION("""COMPUTED_VALUE"""),"-")</f>
        <v>-</v>
      </c>
      <c r="S12" s="62" t="str">
        <f>IFERROR(__xludf.DUMMYFUNCTION("""COMPUTED_VALUE"""),"-")</f>
        <v>-</v>
      </c>
      <c r="T12" s="62" t="str">
        <f>IFERROR(__xludf.DUMMYFUNCTION("""COMPUTED_VALUE"""),"-")</f>
        <v>-</v>
      </c>
      <c r="U12" s="62" t="str">
        <f>IFERROR(__xludf.DUMMYFUNCTION("""COMPUTED_VALUE"""),"-")</f>
        <v>-</v>
      </c>
      <c r="V12" s="552" t="str">
        <f>IFERROR(__xludf.DUMMYFUNCTION("""COMPUTED_VALUE"""),"-")</f>
        <v>-</v>
      </c>
      <c r="W12" s="62" t="str">
        <f>IFERROR(__xludf.DUMMYFUNCTION("""COMPUTED_VALUE"""),"-")</f>
        <v>-</v>
      </c>
      <c r="X12" s="62"/>
      <c r="Y12" s="504" t="str">
        <f>IFERROR(__xludf.DUMMYFUNCTION("""COMPUTED_VALUE"""),"-")</f>
        <v>-</v>
      </c>
      <c r="Z12" s="504" t="str">
        <f>IFERROR(__xludf.DUMMYFUNCTION("""COMPUTED_VALUE"""),"-")</f>
        <v>-</v>
      </c>
    </row>
    <row r="13">
      <c r="A13" s="62"/>
      <c r="B13" s="62" t="str">
        <f>IFERROR(__xludf.DUMMYFUNCTION("""COMPUTED_VALUE"""),"森")</f>
        <v>森</v>
      </c>
      <c r="C13" s="62"/>
      <c r="D13" s="62"/>
      <c r="E13" s="62"/>
      <c r="F13" s="62"/>
      <c r="G13" s="504">
        <f>IFERROR(__xludf.DUMMYFUNCTION("""COMPUTED_VALUE"""),0.0)</f>
        <v>0</v>
      </c>
      <c r="H13" s="62"/>
      <c r="I13" s="62"/>
      <c r="J13" s="62"/>
      <c r="K13" s="62"/>
      <c r="L13" s="504">
        <f>IFERROR(__xludf.DUMMYFUNCTION("""COMPUTED_VALUE"""),0.0)</f>
        <v>0</v>
      </c>
      <c r="M13" s="504">
        <f>IFERROR(__xludf.DUMMYFUNCTION("""COMPUTED_VALUE"""),0.0)</f>
        <v>0</v>
      </c>
      <c r="N13" s="504">
        <f>IFERROR(__xludf.DUMMYFUNCTION("""COMPUTED_VALUE"""),0.0)</f>
        <v>0</v>
      </c>
      <c r="O13" s="62"/>
      <c r="P13" s="62"/>
      <c r="Q13" s="62" t="str">
        <f>IFERROR(__xludf.DUMMYFUNCTION("""COMPUTED_VALUE"""),"ジョーナ")</f>
        <v>ジョーナ</v>
      </c>
      <c r="R13" s="62" t="str">
        <f>IFERROR(__xludf.DUMMYFUNCTION("""COMPUTED_VALUE"""),"-")</f>
        <v>-</v>
      </c>
      <c r="S13" s="62" t="str">
        <f>IFERROR(__xludf.DUMMYFUNCTION("""COMPUTED_VALUE"""),"-")</f>
        <v>-</v>
      </c>
      <c r="T13" s="62" t="str">
        <f>IFERROR(__xludf.DUMMYFUNCTION("""COMPUTED_VALUE"""),"-")</f>
        <v>-</v>
      </c>
      <c r="U13" s="62" t="str">
        <f>IFERROR(__xludf.DUMMYFUNCTION("""COMPUTED_VALUE"""),"-")</f>
        <v>-</v>
      </c>
      <c r="V13" s="552" t="str">
        <f>IFERROR(__xludf.DUMMYFUNCTION("""COMPUTED_VALUE"""),"-")</f>
        <v>-</v>
      </c>
      <c r="W13" s="62" t="str">
        <f>IFERROR(__xludf.DUMMYFUNCTION("""COMPUTED_VALUE"""),"-")</f>
        <v>-</v>
      </c>
      <c r="X13" s="62"/>
      <c r="Y13" s="504" t="str">
        <f>IFERROR(__xludf.DUMMYFUNCTION("""COMPUTED_VALUE"""),"-")</f>
        <v>-</v>
      </c>
      <c r="Z13" s="504" t="str">
        <f>IFERROR(__xludf.DUMMYFUNCTION("""COMPUTED_VALUE"""),"-")</f>
        <v>-</v>
      </c>
    </row>
    <row r="14">
      <c r="A14" s="62"/>
      <c r="B14" s="62"/>
      <c r="C14" s="62"/>
      <c r="D14" s="62"/>
      <c r="E14" s="62"/>
      <c r="F14" s="62"/>
      <c r="G14" s="504">
        <f>IFERROR(__xludf.DUMMYFUNCTION("""COMPUTED_VALUE"""),0.0)</f>
        <v>0</v>
      </c>
      <c r="H14" s="62"/>
      <c r="I14" s="62"/>
      <c r="J14" s="62"/>
      <c r="K14" s="62"/>
      <c r="L14" s="504">
        <f>IFERROR(__xludf.DUMMYFUNCTION("""COMPUTED_VALUE"""),0.0)</f>
        <v>0</v>
      </c>
      <c r="M14" s="504">
        <f>IFERROR(__xludf.DUMMYFUNCTION("""COMPUTED_VALUE"""),0.0)</f>
        <v>0</v>
      </c>
      <c r="N14" s="504">
        <f>IFERROR(__xludf.DUMMYFUNCTION("""COMPUTED_VALUE"""),0.0)</f>
        <v>0</v>
      </c>
      <c r="O14" s="62"/>
      <c r="P14" s="62"/>
      <c r="Q14" s="62" t="str">
        <f>IFERROR(__xludf.DUMMYFUNCTION("""COMPUTED_VALUE"""),"武田")</f>
        <v>武田</v>
      </c>
      <c r="R14" s="62" t="str">
        <f>IFERROR(__xludf.DUMMYFUNCTION("""COMPUTED_VALUE"""),"-")</f>
        <v>-</v>
      </c>
      <c r="S14" s="62" t="str">
        <f>IFERROR(__xludf.DUMMYFUNCTION("""COMPUTED_VALUE"""),"-")</f>
        <v>-</v>
      </c>
      <c r="T14" s="62" t="str">
        <f>IFERROR(__xludf.DUMMYFUNCTION("""COMPUTED_VALUE"""),"-")</f>
        <v>-</v>
      </c>
      <c r="U14" s="62" t="str">
        <f>IFERROR(__xludf.DUMMYFUNCTION("""COMPUTED_VALUE"""),"-")</f>
        <v>-</v>
      </c>
      <c r="V14" s="552" t="str">
        <f>IFERROR(__xludf.DUMMYFUNCTION("""COMPUTED_VALUE"""),"-")</f>
        <v>-</v>
      </c>
      <c r="W14" s="62" t="str">
        <f>IFERROR(__xludf.DUMMYFUNCTION("""COMPUTED_VALUE"""),"-")</f>
        <v>-</v>
      </c>
      <c r="X14" s="62"/>
      <c r="Y14" s="504" t="str">
        <f>IFERROR(__xludf.DUMMYFUNCTION("""COMPUTED_VALUE"""),"-")</f>
        <v>-</v>
      </c>
      <c r="Z14" s="504" t="str">
        <f>IFERROR(__xludf.DUMMYFUNCTION("""COMPUTED_VALUE"""),"-")</f>
        <v>-</v>
      </c>
    </row>
    <row r="15">
      <c r="A15" s="62"/>
      <c r="B15" s="62" t="str">
        <f>IFERROR(__xludf.DUMMYFUNCTION("""COMPUTED_VALUE"""),"金子")</f>
        <v>金子</v>
      </c>
      <c r="C15" s="62"/>
      <c r="D15" s="62"/>
      <c r="E15" s="62"/>
      <c r="F15" s="62"/>
      <c r="G15" s="504">
        <f>IFERROR(__xludf.DUMMYFUNCTION("""COMPUTED_VALUE"""),0.0)</f>
        <v>0</v>
      </c>
      <c r="H15" s="62"/>
      <c r="I15" s="62"/>
      <c r="J15" s="62"/>
      <c r="K15" s="62"/>
      <c r="L15" s="504">
        <f>IFERROR(__xludf.DUMMYFUNCTION("""COMPUTED_VALUE"""),0.0)</f>
        <v>0</v>
      </c>
      <c r="M15" s="504">
        <f>IFERROR(__xludf.DUMMYFUNCTION("""COMPUTED_VALUE"""),0.0)</f>
        <v>0</v>
      </c>
      <c r="N15" s="504">
        <f>IFERROR(__xludf.DUMMYFUNCTION("""COMPUTED_VALUE"""),0.0)</f>
        <v>0</v>
      </c>
      <c r="O15" s="62"/>
      <c r="P15" s="62"/>
      <c r="Q15" s="62"/>
      <c r="R15" s="62" t="str">
        <f>IFERROR(__xludf.DUMMYFUNCTION("""COMPUTED_VALUE"""),"-")</f>
        <v>-</v>
      </c>
      <c r="S15" s="62" t="str">
        <f>IFERROR(__xludf.DUMMYFUNCTION("""COMPUTED_VALUE"""),"-")</f>
        <v>-</v>
      </c>
      <c r="T15" s="62" t="str">
        <f>IFERROR(__xludf.DUMMYFUNCTION("""COMPUTED_VALUE"""),"-")</f>
        <v>-</v>
      </c>
      <c r="U15" s="62" t="str">
        <f>IFERROR(__xludf.DUMMYFUNCTION("""COMPUTED_VALUE"""),"-")</f>
        <v>-</v>
      </c>
      <c r="V15" s="552" t="str">
        <f>IFERROR(__xludf.DUMMYFUNCTION("""COMPUTED_VALUE"""),"-")</f>
        <v>-</v>
      </c>
      <c r="W15" s="62" t="str">
        <f>IFERROR(__xludf.DUMMYFUNCTION("""COMPUTED_VALUE"""),"-")</f>
        <v>-</v>
      </c>
      <c r="X15" s="62"/>
      <c r="Y15" s="504" t="str">
        <f>IFERROR(__xludf.DUMMYFUNCTION("""COMPUTED_VALUE"""),"-")</f>
        <v>-</v>
      </c>
      <c r="Z15" s="504" t="str">
        <f>IFERROR(__xludf.DUMMYFUNCTION("""COMPUTED_VALUE"""),"-")</f>
        <v>-</v>
      </c>
    </row>
    <row r="16">
      <c r="A16" s="62"/>
      <c r="B16" s="62"/>
      <c r="C16" s="62"/>
      <c r="D16" s="62"/>
      <c r="E16" s="62"/>
      <c r="F16" s="62"/>
      <c r="G16" s="504">
        <f>IFERROR(__xludf.DUMMYFUNCTION("""COMPUTED_VALUE"""),0.0)</f>
        <v>0</v>
      </c>
      <c r="H16" s="62"/>
      <c r="I16" s="62"/>
      <c r="J16" s="62"/>
      <c r="K16" s="62"/>
      <c r="L16" s="504">
        <f>IFERROR(__xludf.DUMMYFUNCTION("""COMPUTED_VALUE"""),0.0)</f>
        <v>0</v>
      </c>
      <c r="M16" s="504">
        <f>IFERROR(__xludf.DUMMYFUNCTION("""COMPUTED_VALUE"""),0.0)</f>
        <v>0</v>
      </c>
      <c r="N16" s="504">
        <f>IFERROR(__xludf.DUMMYFUNCTION("""COMPUTED_VALUE"""),0.0)</f>
        <v>0</v>
      </c>
      <c r="O16" s="62"/>
      <c r="P16" s="62"/>
      <c r="Q16" s="62" t="str">
        <f>IFERROR(__xludf.DUMMYFUNCTION("""COMPUTED_VALUE"""),"高木")</f>
        <v>高木</v>
      </c>
      <c r="R16" s="62">
        <f>IFERROR(__xludf.DUMMYFUNCTION("""COMPUTED_VALUE"""),3224.0)</f>
        <v>3224</v>
      </c>
      <c r="S16" s="62">
        <f>IFERROR(__xludf.DUMMYFUNCTION("""COMPUTED_VALUE"""),796.0)</f>
        <v>796</v>
      </c>
      <c r="T16" s="62">
        <f>IFERROR(__xludf.DUMMYFUNCTION("""COMPUTED_VALUE"""),29.0)</f>
        <v>29</v>
      </c>
      <c r="U16" s="62">
        <f>IFERROR(__xludf.DUMMYFUNCTION("""COMPUTED_VALUE"""),23.0)</f>
        <v>23</v>
      </c>
      <c r="V16" s="552">
        <f>IFERROR(__xludf.DUMMYFUNCTION("""COMPUTED_VALUE"""),1650000.0)</f>
        <v>1650000</v>
      </c>
      <c r="W16" s="62">
        <f>IFERROR(__xludf.DUMMYFUNCTION("""COMPUTED_VALUE"""),84.0)</f>
        <v>84</v>
      </c>
      <c r="X16" s="62"/>
      <c r="Y16" s="504">
        <f>IFERROR(__xludf.DUMMYFUNCTION("""COMPUTED_VALUE"""),0.007133995037220843)</f>
        <v>0.007133995037</v>
      </c>
      <c r="Z16" s="504">
        <f>IFERROR(__xludf.DUMMYFUNCTION("""COMPUTED_VALUE"""),0.028894472361809045)</f>
        <v>0.02889447236</v>
      </c>
    </row>
    <row r="17">
      <c r="A17" s="62"/>
      <c r="B17" s="552" t="str">
        <f>IFERROR(__xludf.DUMMYFUNCTION("""COMPUTED_VALUE"""),"SMS")</f>
        <v>SMS</v>
      </c>
      <c r="C17" s="62"/>
      <c r="D17" s="62"/>
      <c r="E17" s="62"/>
      <c r="F17" s="62"/>
      <c r="G17" s="504">
        <f>IFERROR(__xludf.DUMMYFUNCTION("""COMPUTED_VALUE"""),0.0)</f>
        <v>0</v>
      </c>
      <c r="H17" s="62"/>
      <c r="I17" s="62"/>
      <c r="J17" s="62"/>
      <c r="K17" s="62"/>
      <c r="L17" s="504">
        <f>IFERROR(__xludf.DUMMYFUNCTION("""COMPUTED_VALUE"""),0.0)</f>
        <v>0</v>
      </c>
      <c r="M17" s="504">
        <f>IFERROR(__xludf.DUMMYFUNCTION("""COMPUTED_VALUE"""),0.0)</f>
        <v>0</v>
      </c>
      <c r="N17" s="504">
        <f>IFERROR(__xludf.DUMMYFUNCTION("""COMPUTED_VALUE"""),0.0)</f>
        <v>0</v>
      </c>
      <c r="O17" s="62"/>
      <c r="P17" s="62"/>
      <c r="Q17" s="62" t="str">
        <f>IFERROR(__xludf.DUMMYFUNCTION("""COMPUTED_VALUE"""),"森")</f>
        <v>森</v>
      </c>
      <c r="R17" s="62" t="str">
        <f>IFERROR(__xludf.DUMMYFUNCTION("""COMPUTED_VALUE"""),"-")</f>
        <v>-</v>
      </c>
      <c r="S17" s="62" t="str">
        <f>IFERROR(__xludf.DUMMYFUNCTION("""COMPUTED_VALUE"""),"-")</f>
        <v>-</v>
      </c>
      <c r="T17" s="62" t="str">
        <f>IFERROR(__xludf.DUMMYFUNCTION("""COMPUTED_VALUE"""),"-")</f>
        <v>-</v>
      </c>
      <c r="U17" s="62" t="str">
        <f>IFERROR(__xludf.DUMMYFUNCTION("""COMPUTED_VALUE"""),"-")</f>
        <v>-</v>
      </c>
      <c r="V17" s="552" t="str">
        <f>IFERROR(__xludf.DUMMYFUNCTION("""COMPUTED_VALUE"""),"-")</f>
        <v>-</v>
      </c>
      <c r="W17" s="62" t="str">
        <f>IFERROR(__xludf.DUMMYFUNCTION("""COMPUTED_VALUE"""),"-")</f>
        <v>-</v>
      </c>
      <c r="X17" s="62"/>
      <c r="Y17" s="504" t="str">
        <f>IFERROR(__xludf.DUMMYFUNCTION("""COMPUTED_VALUE"""),"-")</f>
        <v>-</v>
      </c>
      <c r="Z17" s="504" t="str">
        <f>IFERROR(__xludf.DUMMYFUNCTION("""COMPUTED_VALUE"""),"-")</f>
        <v>-</v>
      </c>
    </row>
    <row r="18">
      <c r="A18" s="62"/>
      <c r="B18" s="62" t="str">
        <f>IFERROR(__xludf.DUMMYFUNCTION("""COMPUTED_VALUE"""),"紹介")</f>
        <v>紹介</v>
      </c>
      <c r="C18" s="62"/>
      <c r="D18" s="62"/>
      <c r="E18" s="62"/>
      <c r="F18" s="62"/>
      <c r="G18" s="504">
        <f>IFERROR(__xludf.DUMMYFUNCTION("""COMPUTED_VALUE"""),0.0)</f>
        <v>0</v>
      </c>
      <c r="H18" s="62"/>
      <c r="I18" s="62"/>
      <c r="J18" s="62"/>
      <c r="K18" s="62"/>
      <c r="L18" s="504">
        <f>IFERROR(__xludf.DUMMYFUNCTION("""COMPUTED_VALUE"""),0.0)</f>
        <v>0</v>
      </c>
      <c r="M18" s="504">
        <f>IFERROR(__xludf.DUMMYFUNCTION("""COMPUTED_VALUE"""),0.0)</f>
        <v>0</v>
      </c>
      <c r="N18" s="504">
        <f>IFERROR(__xludf.DUMMYFUNCTION("""COMPUTED_VALUE"""),0.0)</f>
        <v>0</v>
      </c>
      <c r="O18" s="62"/>
      <c r="P18" s="62"/>
      <c r="Q18" s="552" t="str">
        <f>IFERROR(__xludf.DUMMYFUNCTION("""COMPUTED_VALUE"""),"SMS")</f>
        <v>SMS</v>
      </c>
      <c r="R18" s="62" t="str">
        <f>IFERROR(__xludf.DUMMYFUNCTION("""COMPUTED_VALUE"""),"-")</f>
        <v>-</v>
      </c>
      <c r="S18" s="62" t="str">
        <f>IFERROR(__xludf.DUMMYFUNCTION("""COMPUTED_VALUE"""),"-")</f>
        <v>-</v>
      </c>
      <c r="T18" s="62" t="str">
        <f>IFERROR(__xludf.DUMMYFUNCTION("""COMPUTED_VALUE"""),"-")</f>
        <v>-</v>
      </c>
      <c r="U18" s="62">
        <f>IFERROR(__xludf.DUMMYFUNCTION("""COMPUTED_VALUE"""),32.0)</f>
        <v>32</v>
      </c>
      <c r="V18" s="552">
        <f>IFERROR(__xludf.DUMMYFUNCTION("""COMPUTED_VALUE"""),1470000.0)</f>
        <v>1470000</v>
      </c>
      <c r="W18" s="62" t="str">
        <f>IFERROR(__xludf.DUMMYFUNCTION("""COMPUTED_VALUE"""),"-")</f>
        <v>-</v>
      </c>
      <c r="X18" s="62"/>
      <c r="Y18" s="504" t="str">
        <f>IFERROR(__xludf.DUMMYFUNCTION("""COMPUTED_VALUE"""),"-")</f>
        <v>-</v>
      </c>
      <c r="Z18" s="504" t="str">
        <f>IFERROR(__xludf.DUMMYFUNCTION("""COMPUTED_VALUE"""),"-")</f>
        <v>-</v>
      </c>
    </row>
    <row r="19">
      <c r="A19" s="62"/>
      <c r="B19" s="62" t="str">
        <f>IFERROR(__xludf.DUMMYFUNCTION("""COMPUTED_VALUE"""),"仁子")</f>
        <v>仁子</v>
      </c>
      <c r="C19" s="62"/>
      <c r="D19" s="62"/>
      <c r="E19" s="62"/>
      <c r="F19" s="62"/>
      <c r="G19" s="504">
        <f>IFERROR(__xludf.DUMMYFUNCTION("""COMPUTED_VALUE"""),0.0)</f>
        <v>0</v>
      </c>
      <c r="H19" s="62"/>
      <c r="I19" s="62"/>
      <c r="J19" s="62"/>
      <c r="K19" s="62"/>
      <c r="L19" s="504">
        <f>IFERROR(__xludf.DUMMYFUNCTION("""COMPUTED_VALUE"""),0.0)</f>
        <v>0</v>
      </c>
      <c r="M19" s="504">
        <f>IFERROR(__xludf.DUMMYFUNCTION("""COMPUTED_VALUE"""),0.0)</f>
        <v>0</v>
      </c>
      <c r="N19" s="504">
        <f>IFERROR(__xludf.DUMMYFUNCTION("""COMPUTED_VALUE"""),0.0)</f>
        <v>0</v>
      </c>
      <c r="O19" s="62"/>
      <c r="P19" s="62"/>
      <c r="Q19" s="62"/>
      <c r="R19" s="62"/>
      <c r="S19" s="62"/>
      <c r="T19" s="62"/>
      <c r="U19" s="62"/>
      <c r="V19" s="62"/>
      <c r="W19" s="62"/>
      <c r="X19" s="62"/>
      <c r="Y19" s="62"/>
      <c r="Z19" s="62"/>
    </row>
    <row r="20">
      <c r="A20" s="62"/>
      <c r="B20" s="62" t="str">
        <f>IFERROR(__xludf.DUMMYFUNCTION("""COMPUTED_VALUE"""),"鈴木")</f>
        <v>鈴木</v>
      </c>
      <c r="C20" s="62"/>
      <c r="D20" s="62"/>
      <c r="E20" s="62"/>
      <c r="F20" s="62"/>
      <c r="G20" s="504">
        <f>IFERROR(__xludf.DUMMYFUNCTION("""COMPUTED_VALUE"""),0.0)</f>
        <v>0</v>
      </c>
      <c r="H20" s="62"/>
      <c r="I20" s="62"/>
      <c r="J20" s="62"/>
      <c r="K20" s="62"/>
      <c r="L20" s="504">
        <f>IFERROR(__xludf.DUMMYFUNCTION("""COMPUTED_VALUE"""),0.0)</f>
        <v>0</v>
      </c>
      <c r="M20" s="504">
        <f>IFERROR(__xludf.DUMMYFUNCTION("""COMPUTED_VALUE"""),0.0)</f>
        <v>0</v>
      </c>
      <c r="N20" s="504">
        <f>IFERROR(__xludf.DUMMYFUNCTION("""COMPUTED_VALUE"""),0.0)</f>
        <v>0</v>
      </c>
      <c r="O20" s="62"/>
      <c r="P20" s="62"/>
      <c r="Q20" s="62"/>
      <c r="R20" s="62"/>
      <c r="S20" s="62"/>
      <c r="T20" s="62"/>
      <c r="U20" s="62"/>
      <c r="V20" s="62"/>
      <c r="W20" s="62"/>
      <c r="X20" s="62"/>
      <c r="Y20" s="62"/>
      <c r="Z20" s="62"/>
    </row>
    <row r="21">
      <c r="A21" s="62"/>
      <c r="B21" s="62" t="str">
        <f>IFERROR(__xludf.DUMMYFUNCTION("""COMPUTED_VALUE"""),"仲間")</f>
        <v>仲間</v>
      </c>
      <c r="C21" s="62"/>
      <c r="D21" s="62">
        <f>IFERROR(__xludf.DUMMYFUNCTION("""COMPUTED_VALUE"""),52.0)</f>
        <v>52</v>
      </c>
      <c r="E21" s="62"/>
      <c r="F21" s="62">
        <f>IFERROR(__xludf.DUMMYFUNCTION("""COMPUTED_VALUE"""),47.0)</f>
        <v>47</v>
      </c>
      <c r="G21" s="504">
        <f>IFERROR(__xludf.DUMMYFUNCTION("""COMPUTED_VALUE"""),0.0)</f>
        <v>0</v>
      </c>
      <c r="H21" s="62"/>
      <c r="I21" s="62"/>
      <c r="J21" s="62"/>
      <c r="K21" s="62"/>
      <c r="L21" s="504">
        <f>IFERROR(__xludf.DUMMYFUNCTION("""COMPUTED_VALUE"""),0.0)</f>
        <v>0</v>
      </c>
      <c r="M21" s="504">
        <f>IFERROR(__xludf.DUMMYFUNCTION("""COMPUTED_VALUE"""),0.0)</f>
        <v>0</v>
      </c>
      <c r="N21" s="504">
        <f>IFERROR(__xludf.DUMMYFUNCTION("""COMPUTED_VALUE"""),0.0)</f>
        <v>0</v>
      </c>
      <c r="O21" s="62"/>
      <c r="P21" s="62"/>
      <c r="Q21" s="62" t="str">
        <f>IFERROR(__xludf.DUMMYFUNCTION("""COMPUTED_VALUE"""),"大谷")</f>
        <v>大谷</v>
      </c>
      <c r="R21" s="62" t="str">
        <f>IFERROR(__xludf.DUMMYFUNCTION("""COMPUTED_VALUE"""),"-")</f>
        <v>-</v>
      </c>
      <c r="S21" s="62" t="str">
        <f>IFERROR(__xludf.DUMMYFUNCTION("""COMPUTED_VALUE"""),"-")</f>
        <v>-</v>
      </c>
      <c r="T21" s="62" t="str">
        <f>IFERROR(__xludf.DUMMYFUNCTION("""COMPUTED_VALUE"""),"-")</f>
        <v>-</v>
      </c>
      <c r="U21" s="62" t="str">
        <f>IFERROR(__xludf.DUMMYFUNCTION("""COMPUTED_VALUE"""),"-")</f>
        <v>-</v>
      </c>
      <c r="V21" s="552" t="str">
        <f>IFERROR(__xludf.DUMMYFUNCTION("""COMPUTED_VALUE"""),"-")</f>
        <v>-</v>
      </c>
      <c r="W21" s="62" t="str">
        <f>IFERROR(__xludf.DUMMYFUNCTION("""COMPUTED_VALUE"""),"-")</f>
        <v>-</v>
      </c>
      <c r="X21" s="62"/>
      <c r="Y21" s="504" t="str">
        <f>IFERROR(__xludf.DUMMYFUNCTION("""COMPUTED_VALUE"""),"-")</f>
        <v>-</v>
      </c>
      <c r="Z21" s="504" t="str">
        <f>IFERROR(__xludf.DUMMYFUNCTION("""COMPUTED_VALUE"""),"-")</f>
        <v>-</v>
      </c>
    </row>
    <row r="22">
      <c r="A22" s="62"/>
      <c r="B22" s="62"/>
      <c r="C22" s="62"/>
      <c r="D22" s="62"/>
      <c r="E22" s="62"/>
      <c r="F22" s="62"/>
      <c r="G22" s="504">
        <f>IFERROR(__xludf.DUMMYFUNCTION("""COMPUTED_VALUE"""),0.0)</f>
        <v>0</v>
      </c>
      <c r="H22" s="62"/>
      <c r="I22" s="62"/>
      <c r="J22" s="62"/>
      <c r="K22" s="62"/>
      <c r="L22" s="504">
        <f>IFERROR(__xludf.DUMMYFUNCTION("""COMPUTED_VALUE"""),0.0)</f>
        <v>0</v>
      </c>
      <c r="M22" s="504">
        <f>IFERROR(__xludf.DUMMYFUNCTION("""COMPUTED_VALUE"""),0.0)</f>
        <v>0</v>
      </c>
      <c r="N22" s="504">
        <f>IFERROR(__xludf.DUMMYFUNCTION("""COMPUTED_VALUE"""),0.0)</f>
        <v>0</v>
      </c>
      <c r="O22" s="62"/>
      <c r="P22" s="62"/>
      <c r="Q22" s="62" t="str">
        <f>IFERROR(__xludf.DUMMYFUNCTION("""COMPUTED_VALUE"""),"金子")</f>
        <v>金子</v>
      </c>
      <c r="R22" s="62" t="str">
        <f>IFERROR(__xludf.DUMMYFUNCTION("""COMPUTED_VALUE"""),"-")</f>
        <v>-</v>
      </c>
      <c r="S22" s="62" t="str">
        <f>IFERROR(__xludf.DUMMYFUNCTION("""COMPUTED_VALUE"""),"-")</f>
        <v>-</v>
      </c>
      <c r="T22" s="62" t="str">
        <f>IFERROR(__xludf.DUMMYFUNCTION("""COMPUTED_VALUE"""),"-")</f>
        <v>-</v>
      </c>
      <c r="U22" s="62" t="str">
        <f>IFERROR(__xludf.DUMMYFUNCTION("""COMPUTED_VALUE"""),"-")</f>
        <v>-</v>
      </c>
      <c r="V22" s="552" t="str">
        <f>IFERROR(__xludf.DUMMYFUNCTION("""COMPUTED_VALUE"""),"-")</f>
        <v>-</v>
      </c>
      <c r="W22" s="62" t="str">
        <f>IFERROR(__xludf.DUMMYFUNCTION("""COMPUTED_VALUE"""),"-")</f>
        <v>-</v>
      </c>
      <c r="X22" s="62"/>
      <c r="Y22" s="504" t="str">
        <f>IFERROR(__xludf.DUMMYFUNCTION("""COMPUTED_VALUE"""),"-")</f>
        <v>-</v>
      </c>
      <c r="Z22" s="504" t="str">
        <f>IFERROR(__xludf.DUMMYFUNCTION("""COMPUTED_VALUE"""),"-")</f>
        <v>-</v>
      </c>
    </row>
    <row r="23">
      <c r="A23" s="62"/>
      <c r="B23" s="62" t="str">
        <f>IFERROR(__xludf.DUMMYFUNCTION("""COMPUTED_VALUE"""),"合計")</f>
        <v>合計</v>
      </c>
      <c r="C23" s="62">
        <f>IFERROR(__xludf.DUMMYFUNCTION("""COMPUTED_VALUE"""),0.0)</f>
        <v>0</v>
      </c>
      <c r="D23" s="62">
        <f>IFERROR(__xludf.DUMMYFUNCTION("""COMPUTED_VALUE"""),153.0)</f>
        <v>153</v>
      </c>
      <c r="E23" s="62">
        <f>IFERROR(__xludf.DUMMYFUNCTION("""COMPUTED_VALUE"""),0.0)</f>
        <v>0</v>
      </c>
      <c r="F23" s="62">
        <f>IFERROR(__xludf.DUMMYFUNCTION("""COMPUTED_VALUE"""),120.0)</f>
        <v>120</v>
      </c>
      <c r="G23" s="504">
        <f>IFERROR(__xludf.DUMMYFUNCTION("""COMPUTED_VALUE"""),0.0)</f>
        <v>0</v>
      </c>
      <c r="H23" s="62">
        <f>IFERROR(__xludf.DUMMYFUNCTION("""COMPUTED_VALUE"""),0.0)</f>
        <v>0</v>
      </c>
      <c r="I23" s="62">
        <f>IFERROR(__xludf.DUMMYFUNCTION("""COMPUTED_VALUE"""),1.0)</f>
        <v>1</v>
      </c>
      <c r="J23" s="552">
        <f>IFERROR(__xludf.DUMMYFUNCTION("""COMPUTED_VALUE"""),0.0)</f>
        <v>0</v>
      </c>
      <c r="K23" s="62">
        <f>IFERROR(__xludf.DUMMYFUNCTION("""COMPUTED_VALUE"""),0.0)</f>
        <v>0</v>
      </c>
      <c r="L23" s="504">
        <f>IFERROR(__xludf.DUMMYFUNCTION("""COMPUTED_VALUE"""),0.0)</f>
        <v>0</v>
      </c>
      <c r="M23" s="504">
        <f>IFERROR(__xludf.DUMMYFUNCTION("""COMPUTED_VALUE"""),0.0)</f>
        <v>0</v>
      </c>
      <c r="N23" s="504">
        <f>IFERROR(__xludf.DUMMYFUNCTION("""COMPUTED_VALUE"""),0.0)</f>
        <v>0</v>
      </c>
      <c r="O23" s="62"/>
      <c r="P23" s="62"/>
      <c r="Q23" s="62"/>
      <c r="R23" s="62" t="str">
        <f>IFERROR(__xludf.DUMMYFUNCTION("""COMPUTED_VALUE"""),"-")</f>
        <v>-</v>
      </c>
      <c r="S23" s="62" t="str">
        <f>IFERROR(__xludf.DUMMYFUNCTION("""COMPUTED_VALUE"""),"-")</f>
        <v>-</v>
      </c>
      <c r="T23" s="62" t="str">
        <f>IFERROR(__xludf.DUMMYFUNCTION("""COMPUTED_VALUE"""),"-")</f>
        <v>-</v>
      </c>
      <c r="U23" s="62" t="str">
        <f>IFERROR(__xludf.DUMMYFUNCTION("""COMPUTED_VALUE"""),"-")</f>
        <v>-</v>
      </c>
      <c r="V23" s="552" t="str">
        <f>IFERROR(__xludf.DUMMYFUNCTION("""COMPUTED_VALUE"""),"-")</f>
        <v>-</v>
      </c>
      <c r="W23" s="62" t="str">
        <f>IFERROR(__xludf.DUMMYFUNCTION("""COMPUTED_VALUE"""),"-")</f>
        <v>-</v>
      </c>
      <c r="X23" s="62"/>
      <c r="Y23" s="504" t="str">
        <f>IFERROR(__xludf.DUMMYFUNCTION("""COMPUTED_VALUE"""),"-")</f>
        <v>-</v>
      </c>
      <c r="Z23" s="504" t="str">
        <f>IFERROR(__xludf.DUMMYFUNCTION("""COMPUTED_VALUE"""),"-")</f>
        <v>-</v>
      </c>
    </row>
    <row r="24">
      <c r="A24" s="62" t="str">
        <f>IFERROR(__xludf.DUMMYFUNCTION("""COMPUTED_VALUE"""),"日付")</f>
        <v>日付</v>
      </c>
      <c r="B24" s="62" t="str">
        <f>IFERROR(__xludf.DUMMYFUNCTION("""COMPUTED_VALUE"""),"名前")</f>
        <v>名前</v>
      </c>
      <c r="C24" s="62" t="str">
        <f>IFERROR(__xludf.DUMMYFUNCTION("""COMPUTED_VALUE"""),"打電件数")</f>
        <v>打電件数</v>
      </c>
      <c r="D24" s="62" t="str">
        <f>IFERROR(__xludf.DUMMYFUNCTION("""COMPUTED_VALUE"""),"着電件数")</f>
        <v>着電件数</v>
      </c>
      <c r="E24" s="62" t="str">
        <f>IFERROR(__xludf.DUMMYFUNCTION("""COMPUTED_VALUE"""),"折り返し件数")</f>
        <v>折り返し件数</v>
      </c>
      <c r="F24" s="62" t="str">
        <f>IFERROR(__xludf.DUMMYFUNCTION("""COMPUTED_VALUE"""),"拒否")</f>
        <v>拒否</v>
      </c>
      <c r="G24" s="62" t="str">
        <f>IFERROR(__xludf.DUMMYFUNCTION("""COMPUTED_VALUE"""),"着電率")</f>
        <v>着電率</v>
      </c>
      <c r="H24" s="62" t="str">
        <f>IFERROR(__xludf.DUMMYFUNCTION("""COMPUTED_VALUE"""),"LINE登録")</f>
        <v>LINE登録</v>
      </c>
      <c r="I24" s="62" t="str">
        <f>IFERROR(__xludf.DUMMYFUNCTION("""COMPUTED_VALUE"""),"アカウント作成")</f>
        <v>アカウント作成</v>
      </c>
      <c r="J24" s="552" t="str">
        <f>IFERROR(__xludf.DUMMYFUNCTION("""COMPUTED_VALUE"""),"新規信用枠額")</f>
        <v>新規信用枠額</v>
      </c>
      <c r="K24" s="62" t="str">
        <f>IFERROR(__xludf.DUMMYFUNCTION("""COMPUTED_VALUE"""),"リスト死回線数")</f>
        <v>リスト死回線数</v>
      </c>
      <c r="L24" s="62" t="str">
        <f>IFERROR(__xludf.DUMMYFUNCTION("""COMPUTED_VALUE"""),"LINE率(打電から)")</f>
        <v>LINE率(打電から)</v>
      </c>
      <c r="M24" s="62" t="str">
        <f>IFERROR(__xludf.DUMMYFUNCTION("""COMPUTED_VALUE"""),"アカウント作成率(打電から)")</f>
        <v>アカウント作成率(打電から)</v>
      </c>
      <c r="N24" s="62" t="str">
        <f>IFERROR(__xludf.DUMMYFUNCTION("""COMPUTED_VALUE"""),"アカウント作成率(LINEから)")</f>
        <v>アカウント作成率(LINEから)</v>
      </c>
      <c r="O24" s="62" t="str">
        <f>IFERROR(__xludf.DUMMYFUNCTION("""COMPUTED_VALUE"""),"リスト名")</f>
        <v>リスト名</v>
      </c>
      <c r="P24" s="553" t="str">
        <f>IFERROR(__xludf.DUMMYFUNCTION("""COMPUTED_VALUE"""),"日本基準")</f>
        <v>日本基準</v>
      </c>
      <c r="Q24" s="62"/>
      <c r="R24" s="62" t="str">
        <f>IFERROR(__xludf.DUMMYFUNCTION("""COMPUTED_VALUE"""),"-")</f>
        <v>-</v>
      </c>
      <c r="S24" s="62" t="str">
        <f>IFERROR(__xludf.DUMMYFUNCTION("""COMPUTED_VALUE"""),"-")</f>
        <v>-</v>
      </c>
      <c r="T24" s="62" t="str">
        <f>IFERROR(__xludf.DUMMYFUNCTION("""COMPUTED_VALUE"""),"-")</f>
        <v>-</v>
      </c>
      <c r="U24" s="62" t="str">
        <f>IFERROR(__xludf.DUMMYFUNCTION("""COMPUTED_VALUE"""),"-")</f>
        <v>-</v>
      </c>
      <c r="V24" s="552" t="str">
        <f>IFERROR(__xludf.DUMMYFUNCTION("""COMPUTED_VALUE"""),"-")</f>
        <v>-</v>
      </c>
      <c r="W24" s="62" t="str">
        <f>IFERROR(__xludf.DUMMYFUNCTION("""COMPUTED_VALUE"""),"-")</f>
        <v>-</v>
      </c>
      <c r="X24" s="62"/>
      <c r="Y24" s="504" t="str">
        <f>IFERROR(__xludf.DUMMYFUNCTION("""COMPUTED_VALUE"""),"-")</f>
        <v>-</v>
      </c>
      <c r="Z24" s="504" t="str">
        <f>IFERROR(__xludf.DUMMYFUNCTION("""COMPUTED_VALUE"""),"-")</f>
        <v>-</v>
      </c>
    </row>
    <row r="25">
      <c r="A25" s="554">
        <f>IFERROR(__xludf.DUMMYFUNCTION("""COMPUTED_VALUE"""),45902.0)</f>
        <v>45902</v>
      </c>
      <c r="B25" s="62" t="str">
        <f>IFERROR(__xludf.DUMMYFUNCTION("""COMPUTED_VALUE"""),"あり")</f>
        <v>あり</v>
      </c>
      <c r="C25" s="62"/>
      <c r="D25" s="62">
        <f>IFERROR(__xludf.DUMMYFUNCTION("""COMPUTED_VALUE"""),46.0)</f>
        <v>46</v>
      </c>
      <c r="E25" s="62"/>
      <c r="F25" s="62">
        <f>IFERROR(__xludf.DUMMYFUNCTION("""COMPUTED_VALUE"""),38.0)</f>
        <v>38</v>
      </c>
      <c r="G25" s="504">
        <f>IFERROR(__xludf.DUMMYFUNCTION("""COMPUTED_VALUE"""),0.0)</f>
        <v>0</v>
      </c>
      <c r="H25" s="62">
        <f>IFERROR(__xludf.DUMMYFUNCTION("""COMPUTED_VALUE"""),3.0)</f>
        <v>3</v>
      </c>
      <c r="I25" s="62">
        <f>IFERROR(__xludf.DUMMYFUNCTION("""COMPUTED_VALUE"""),1.0)</f>
        <v>1</v>
      </c>
      <c r="J25" s="552">
        <f>IFERROR(__xludf.DUMMYFUNCTION("""COMPUTED_VALUE"""),0.0)</f>
        <v>0</v>
      </c>
      <c r="K25" s="62"/>
      <c r="L25" s="504">
        <f>IFERROR(__xludf.DUMMYFUNCTION("""COMPUTED_VALUE"""),0.0)</f>
        <v>0</v>
      </c>
      <c r="M25" s="504">
        <f>IFERROR(__xludf.DUMMYFUNCTION("""COMPUTED_VALUE"""),0.0)</f>
        <v>0</v>
      </c>
      <c r="N25" s="504">
        <f>IFERROR(__xludf.DUMMYFUNCTION("""COMPUTED_VALUE"""),0.3333333333333333)</f>
        <v>0.3333333333</v>
      </c>
      <c r="O25" s="62"/>
      <c r="P25" s="62"/>
      <c r="Q25" s="62" t="str">
        <f>IFERROR(__xludf.DUMMYFUNCTION("""COMPUTED_VALUE"""),"仁子")</f>
        <v>仁子</v>
      </c>
      <c r="R25" s="62" t="str">
        <f>IFERROR(__xludf.DUMMYFUNCTION("""COMPUTED_VALUE"""),"-")</f>
        <v>-</v>
      </c>
      <c r="S25" s="62" t="str">
        <f>IFERROR(__xludf.DUMMYFUNCTION("""COMPUTED_VALUE"""),"-")</f>
        <v>-</v>
      </c>
      <c r="T25" s="62" t="str">
        <f>IFERROR(__xludf.DUMMYFUNCTION("""COMPUTED_VALUE"""),"-")</f>
        <v>-</v>
      </c>
      <c r="U25" s="62">
        <f>IFERROR(__xludf.DUMMYFUNCTION("""COMPUTED_VALUE"""),29.0)</f>
        <v>29</v>
      </c>
      <c r="V25" s="552">
        <f>IFERROR(__xludf.DUMMYFUNCTION("""COMPUTED_VALUE"""),1690000.0)</f>
        <v>1690000</v>
      </c>
      <c r="W25" s="62" t="str">
        <f>IFERROR(__xludf.DUMMYFUNCTION("""COMPUTED_VALUE"""),"-")</f>
        <v>-</v>
      </c>
      <c r="X25" s="62"/>
      <c r="Y25" s="504" t="str">
        <f>IFERROR(__xludf.DUMMYFUNCTION("""COMPUTED_VALUE"""),"-")</f>
        <v>-</v>
      </c>
      <c r="Z25" s="504" t="str">
        <f>IFERROR(__xludf.DUMMYFUNCTION("""COMPUTED_VALUE"""),"-")</f>
        <v>-</v>
      </c>
    </row>
    <row r="26">
      <c r="A26" s="62"/>
      <c r="B26" s="62" t="str">
        <f>IFERROR(__xludf.DUMMYFUNCTION("""COMPUTED_VALUE"""),"しょうま")</f>
        <v>しょうま</v>
      </c>
      <c r="C26" s="62"/>
      <c r="D26" s="62"/>
      <c r="E26" s="62"/>
      <c r="F26" s="62"/>
      <c r="G26" s="504">
        <f>IFERROR(__xludf.DUMMYFUNCTION("""COMPUTED_VALUE"""),0.0)</f>
        <v>0</v>
      </c>
      <c r="H26" s="62"/>
      <c r="I26" s="62"/>
      <c r="J26" s="62"/>
      <c r="K26" s="62"/>
      <c r="L26" s="504">
        <f>IFERROR(__xludf.DUMMYFUNCTION("""COMPUTED_VALUE"""),0.0)</f>
        <v>0</v>
      </c>
      <c r="M26" s="504">
        <f>IFERROR(__xludf.DUMMYFUNCTION("""COMPUTED_VALUE"""),0.0)</f>
        <v>0</v>
      </c>
      <c r="N26" s="504">
        <f>IFERROR(__xludf.DUMMYFUNCTION("""COMPUTED_VALUE"""),0.0)</f>
        <v>0</v>
      </c>
      <c r="O26" s="62"/>
      <c r="P26" s="62"/>
      <c r="Q26" s="62" t="str">
        <f>IFERROR(__xludf.DUMMYFUNCTION("""COMPUTED_VALUE"""),"紹介")</f>
        <v>紹介</v>
      </c>
      <c r="R26" s="62" t="str">
        <f>IFERROR(__xludf.DUMMYFUNCTION("""COMPUTED_VALUE"""),"-")</f>
        <v>-</v>
      </c>
      <c r="S26" s="62" t="str">
        <f>IFERROR(__xludf.DUMMYFUNCTION("""COMPUTED_VALUE"""),"-")</f>
        <v>-</v>
      </c>
      <c r="T26" s="62" t="str">
        <f>IFERROR(__xludf.DUMMYFUNCTION("""COMPUTED_VALUE"""),"-")</f>
        <v>-</v>
      </c>
      <c r="U26" s="62" t="str">
        <f>IFERROR(__xludf.DUMMYFUNCTION("""COMPUTED_VALUE"""),"-")</f>
        <v>-</v>
      </c>
      <c r="V26" s="552" t="str">
        <f>IFERROR(__xludf.DUMMYFUNCTION("""COMPUTED_VALUE"""),"-")</f>
        <v>-</v>
      </c>
      <c r="W26" s="62" t="str">
        <f>IFERROR(__xludf.DUMMYFUNCTION("""COMPUTED_VALUE"""),"-")</f>
        <v>-</v>
      </c>
      <c r="X26" s="62"/>
      <c r="Y26" s="504" t="str">
        <f>IFERROR(__xludf.DUMMYFUNCTION("""COMPUTED_VALUE"""),"-")</f>
        <v>-</v>
      </c>
      <c r="Z26" s="504" t="str">
        <f>IFERROR(__xludf.DUMMYFUNCTION("""COMPUTED_VALUE"""),"-")</f>
        <v>-</v>
      </c>
    </row>
    <row r="27">
      <c r="A27" s="62"/>
      <c r="B27" s="62"/>
      <c r="C27" s="62"/>
      <c r="D27" s="62"/>
      <c r="E27" s="62"/>
      <c r="F27" s="62"/>
      <c r="G27" s="504">
        <f>IFERROR(__xludf.DUMMYFUNCTION("""COMPUTED_VALUE"""),0.0)</f>
        <v>0</v>
      </c>
      <c r="H27" s="62"/>
      <c r="I27" s="62"/>
      <c r="J27" s="62"/>
      <c r="K27" s="62"/>
      <c r="L27" s="504">
        <f>IFERROR(__xludf.DUMMYFUNCTION("""COMPUTED_VALUE"""),0.0)</f>
        <v>0</v>
      </c>
      <c r="M27" s="504">
        <f>IFERROR(__xludf.DUMMYFUNCTION("""COMPUTED_VALUE"""),0.0)</f>
        <v>0</v>
      </c>
      <c r="N27" s="504">
        <f>IFERROR(__xludf.DUMMYFUNCTION("""COMPUTED_VALUE"""),0.0)</f>
        <v>0</v>
      </c>
      <c r="O27" s="62"/>
      <c r="P27" s="62"/>
      <c r="Q27" s="62" t="str">
        <f>IFERROR(__xludf.DUMMYFUNCTION("""COMPUTED_VALUE"""),"鈴木")</f>
        <v>鈴木</v>
      </c>
      <c r="R27" s="62">
        <f>IFERROR(__xludf.DUMMYFUNCTION("""COMPUTED_VALUE"""),1533.0)</f>
        <v>1533</v>
      </c>
      <c r="S27" s="62">
        <f>IFERROR(__xludf.DUMMYFUNCTION("""COMPUTED_VALUE"""),326.0)</f>
        <v>326</v>
      </c>
      <c r="T27" s="62">
        <f>IFERROR(__xludf.DUMMYFUNCTION("""COMPUTED_VALUE"""),7.0)</f>
        <v>7</v>
      </c>
      <c r="U27" s="62">
        <f>IFERROR(__xludf.DUMMYFUNCTION("""COMPUTED_VALUE"""),19.0)</f>
        <v>19</v>
      </c>
      <c r="V27" s="552">
        <f>IFERROR(__xludf.DUMMYFUNCTION("""COMPUTED_VALUE"""),1310000.0)</f>
        <v>1310000</v>
      </c>
      <c r="W27" s="62" t="str">
        <f>IFERROR(__xludf.DUMMYFUNCTION("""COMPUTED_VALUE"""),"-")</f>
        <v>-</v>
      </c>
      <c r="X27" s="62"/>
      <c r="Y27" s="504">
        <f>IFERROR(__xludf.DUMMYFUNCTION("""COMPUTED_VALUE"""),0.012393998695368558)</f>
        <v>0.0123939987</v>
      </c>
      <c r="Z27" s="504">
        <f>IFERROR(__xludf.DUMMYFUNCTION("""COMPUTED_VALUE"""),0.05828220858895705)</f>
        <v>0.05828220859</v>
      </c>
    </row>
    <row r="28">
      <c r="A28" s="62"/>
      <c r="B28" s="62" t="str">
        <f>IFERROR(__xludf.DUMMYFUNCTION("""COMPUTED_VALUE"""),"ジョーナ")</f>
        <v>ジョーナ</v>
      </c>
      <c r="C28" s="62"/>
      <c r="D28" s="62"/>
      <c r="E28" s="62"/>
      <c r="F28" s="62"/>
      <c r="G28" s="504">
        <f>IFERROR(__xludf.DUMMYFUNCTION("""COMPUTED_VALUE"""),0.0)</f>
        <v>0</v>
      </c>
      <c r="H28" s="62"/>
      <c r="I28" s="62"/>
      <c r="J28" s="62"/>
      <c r="K28" s="62"/>
      <c r="L28" s="504">
        <f>IFERROR(__xludf.DUMMYFUNCTION("""COMPUTED_VALUE"""),0.0)</f>
        <v>0</v>
      </c>
      <c r="M28" s="504">
        <f>IFERROR(__xludf.DUMMYFUNCTION("""COMPUTED_VALUE"""),0.0)</f>
        <v>0</v>
      </c>
      <c r="N28" s="504">
        <f>IFERROR(__xludf.DUMMYFUNCTION("""COMPUTED_VALUE"""),0.0)</f>
        <v>0</v>
      </c>
      <c r="O28" s="62"/>
      <c r="P28" s="62"/>
      <c r="Q28" s="62" t="str">
        <f>IFERROR(__xludf.DUMMYFUNCTION("""COMPUTED_VALUE"""),"仲間")</f>
        <v>仲間</v>
      </c>
      <c r="R28" s="62">
        <f>IFERROR(__xludf.DUMMYFUNCTION("""COMPUTED_VALUE"""),2517.0)</f>
        <v>2517</v>
      </c>
      <c r="S28" s="62">
        <f>IFERROR(__xludf.DUMMYFUNCTION("""COMPUTED_VALUE"""),560.0)</f>
        <v>560</v>
      </c>
      <c r="T28" s="62">
        <f>IFERROR(__xludf.DUMMYFUNCTION("""COMPUTED_VALUE"""),14.0)</f>
        <v>14</v>
      </c>
      <c r="U28" s="62">
        <f>IFERROR(__xludf.DUMMYFUNCTION("""COMPUTED_VALUE"""),9.0)</f>
        <v>9</v>
      </c>
      <c r="V28" s="552">
        <f>IFERROR(__xludf.DUMMYFUNCTION("""COMPUTED_VALUE"""),990000.0)</f>
        <v>990000</v>
      </c>
      <c r="W28" s="62" t="str">
        <f>IFERROR(__xludf.DUMMYFUNCTION("""COMPUTED_VALUE"""),"-")</f>
        <v>-</v>
      </c>
      <c r="X28" s="62"/>
      <c r="Y28" s="504">
        <f>IFERROR(__xludf.DUMMYFUNCTION("""COMPUTED_VALUE"""),0.003575685339690107)</f>
        <v>0.00357568534</v>
      </c>
      <c r="Z28" s="504">
        <f>IFERROR(__xludf.DUMMYFUNCTION("""COMPUTED_VALUE"""),0.01607142857142857)</f>
        <v>0.01607142857</v>
      </c>
    </row>
    <row r="29">
      <c r="A29" s="62"/>
      <c r="B29" s="62" t="str">
        <f>IFERROR(__xludf.DUMMYFUNCTION("""COMPUTED_VALUE"""),"武田")</f>
        <v>武田</v>
      </c>
      <c r="C29" s="62"/>
      <c r="D29" s="62"/>
      <c r="E29" s="62"/>
      <c r="F29" s="62"/>
      <c r="G29" s="504">
        <f>IFERROR(__xludf.DUMMYFUNCTION("""COMPUTED_VALUE"""),0.0)</f>
        <v>0</v>
      </c>
      <c r="H29" s="62"/>
      <c r="I29" s="62"/>
      <c r="J29" s="62"/>
      <c r="K29" s="62"/>
      <c r="L29" s="504">
        <f>IFERROR(__xludf.DUMMYFUNCTION("""COMPUTED_VALUE"""),0.0)</f>
        <v>0</v>
      </c>
      <c r="M29" s="504">
        <f>IFERROR(__xludf.DUMMYFUNCTION("""COMPUTED_VALUE"""),0.0)</f>
        <v>0</v>
      </c>
      <c r="N29" s="504">
        <f>IFERROR(__xludf.DUMMYFUNCTION("""COMPUTED_VALUE"""),0.0)</f>
        <v>0</v>
      </c>
      <c r="O29" s="62"/>
      <c r="P29" s="62"/>
      <c r="Q29" s="62"/>
      <c r="R29" s="62"/>
      <c r="S29" s="62"/>
      <c r="T29" s="62"/>
      <c r="U29" s="62"/>
      <c r="V29" s="62"/>
      <c r="W29" s="62"/>
      <c r="X29" s="62"/>
      <c r="Y29" s="504" t="str">
        <f>IFERROR(__xludf.DUMMYFUNCTION("""COMPUTED_VALUE"""),"-")</f>
        <v>-</v>
      </c>
      <c r="Z29" s="504" t="str">
        <f>IFERROR(__xludf.DUMMYFUNCTION("""COMPUTED_VALUE"""),"-")</f>
        <v>-</v>
      </c>
    </row>
    <row r="30">
      <c r="A30" s="62"/>
      <c r="B30" s="62" t="str">
        <f>IFERROR(__xludf.DUMMYFUNCTION("""COMPUTED_VALUE"""),"高木")</f>
        <v>高木</v>
      </c>
      <c r="C30" s="62"/>
      <c r="D30" s="62">
        <f>IFERROR(__xludf.DUMMYFUNCTION("""COMPUTED_VALUE"""),37.0)</f>
        <v>37</v>
      </c>
      <c r="E30" s="62"/>
      <c r="F30" s="62">
        <f>IFERROR(__xludf.DUMMYFUNCTION("""COMPUTED_VALUE"""),29.0)</f>
        <v>29</v>
      </c>
      <c r="G30" s="504">
        <f>IFERROR(__xludf.DUMMYFUNCTION("""COMPUTED_VALUE"""),0.0)</f>
        <v>0</v>
      </c>
      <c r="H30" s="62">
        <f>IFERROR(__xludf.DUMMYFUNCTION("""COMPUTED_VALUE"""),2.0)</f>
        <v>2</v>
      </c>
      <c r="I30" s="62">
        <f>IFERROR(__xludf.DUMMYFUNCTION("""COMPUTED_VALUE"""),2.0)</f>
        <v>2</v>
      </c>
      <c r="J30" s="552">
        <f>IFERROR(__xludf.DUMMYFUNCTION("""COMPUTED_VALUE"""),150000.0)</f>
        <v>150000</v>
      </c>
      <c r="K30" s="62"/>
      <c r="L30" s="504">
        <f>IFERROR(__xludf.DUMMYFUNCTION("""COMPUTED_VALUE"""),0.0)</f>
        <v>0</v>
      </c>
      <c r="M30" s="504">
        <f>IFERROR(__xludf.DUMMYFUNCTION("""COMPUTED_VALUE"""),0.0)</f>
        <v>0</v>
      </c>
      <c r="N30" s="504">
        <f>IFERROR(__xludf.DUMMYFUNCTION("""COMPUTED_VALUE"""),1.0)</f>
        <v>1</v>
      </c>
      <c r="O30" s="62"/>
      <c r="P30" s="62"/>
      <c r="Q30" s="62"/>
      <c r="R30" s="62"/>
      <c r="S30" s="62"/>
      <c r="T30" s="62"/>
      <c r="U30" s="62"/>
      <c r="V30" s="62"/>
      <c r="W30" s="62"/>
      <c r="X30" s="62"/>
      <c r="Y30" s="504" t="str">
        <f>IFERROR(__xludf.DUMMYFUNCTION("""COMPUTED_VALUE"""),"-")</f>
        <v>-</v>
      </c>
      <c r="Z30" s="504" t="str">
        <f>IFERROR(__xludf.DUMMYFUNCTION("""COMPUTED_VALUE"""),"-")</f>
        <v>-</v>
      </c>
    </row>
    <row r="31">
      <c r="A31" s="62"/>
      <c r="B31" s="62"/>
      <c r="C31" s="62"/>
      <c r="D31" s="62"/>
      <c r="E31" s="62"/>
      <c r="F31" s="62"/>
      <c r="G31" s="504">
        <f>IFERROR(__xludf.DUMMYFUNCTION("""COMPUTED_VALUE"""),0.0)</f>
        <v>0</v>
      </c>
      <c r="H31" s="62"/>
      <c r="I31" s="62"/>
      <c r="J31" s="62"/>
      <c r="K31" s="62"/>
      <c r="L31" s="504">
        <f>IFERROR(__xludf.DUMMYFUNCTION("""COMPUTED_VALUE"""),0.0)</f>
        <v>0</v>
      </c>
      <c r="M31" s="504">
        <f>IFERROR(__xludf.DUMMYFUNCTION("""COMPUTED_VALUE"""),0.0)</f>
        <v>0</v>
      </c>
      <c r="N31" s="504">
        <f>IFERROR(__xludf.DUMMYFUNCTION("""COMPUTED_VALUE"""),0.0)</f>
        <v>0</v>
      </c>
      <c r="O31" s="62"/>
      <c r="P31" s="62"/>
      <c r="Q31" s="62"/>
      <c r="R31" s="62"/>
      <c r="S31" s="62"/>
      <c r="T31" s="62"/>
      <c r="U31" s="62"/>
      <c r="V31" s="62"/>
      <c r="W31" s="62">
        <f>IFERROR(__xludf.DUMMYFUNCTION("""COMPUTED_VALUE"""),0.0)</f>
        <v>0</v>
      </c>
      <c r="X31" s="62"/>
      <c r="Y31" s="504" t="str">
        <f>IFERROR(__xludf.DUMMYFUNCTION("""COMPUTED_VALUE"""),"-")</f>
        <v>-</v>
      </c>
      <c r="Z31" s="504" t="str">
        <f>IFERROR(__xludf.DUMMYFUNCTION("""COMPUTED_VALUE"""),"-")</f>
        <v>-</v>
      </c>
    </row>
    <row r="32">
      <c r="A32" s="62"/>
      <c r="B32" s="62" t="str">
        <f>IFERROR(__xludf.DUMMYFUNCTION("""COMPUTED_VALUE"""),"大谷")</f>
        <v>大谷</v>
      </c>
      <c r="C32" s="62"/>
      <c r="D32" s="62"/>
      <c r="E32" s="62"/>
      <c r="F32" s="62"/>
      <c r="G32" s="504">
        <f>IFERROR(__xludf.DUMMYFUNCTION("""COMPUTED_VALUE"""),0.0)</f>
        <v>0</v>
      </c>
      <c r="H32" s="62"/>
      <c r="I32" s="62"/>
      <c r="J32" s="62"/>
      <c r="K32" s="62"/>
      <c r="L32" s="504">
        <f>IFERROR(__xludf.DUMMYFUNCTION("""COMPUTED_VALUE"""),0.0)</f>
        <v>0</v>
      </c>
      <c r="M32" s="504">
        <f>IFERROR(__xludf.DUMMYFUNCTION("""COMPUTED_VALUE"""),0.0)</f>
        <v>0</v>
      </c>
      <c r="N32" s="504">
        <f>IFERROR(__xludf.DUMMYFUNCTION("""COMPUTED_VALUE"""),0.0)</f>
        <v>0</v>
      </c>
      <c r="O32" s="62"/>
      <c r="P32" s="62"/>
      <c r="Q32" s="62"/>
      <c r="R32" s="62"/>
      <c r="S32" s="62"/>
      <c r="T32" s="62"/>
      <c r="U32" s="62"/>
      <c r="V32" s="62"/>
      <c r="W32" s="62"/>
      <c r="X32" s="62"/>
      <c r="Y32" s="504" t="str">
        <f>IFERROR(__xludf.DUMMYFUNCTION("""COMPUTED_VALUE"""),"-")</f>
        <v>-</v>
      </c>
      <c r="Z32" s="504" t="str">
        <f>IFERROR(__xludf.DUMMYFUNCTION("""COMPUTED_VALUE"""),"-")</f>
        <v>-</v>
      </c>
    </row>
    <row r="33">
      <c r="A33" s="62"/>
      <c r="B33" s="62"/>
      <c r="C33" s="62"/>
      <c r="D33" s="62"/>
      <c r="E33" s="62"/>
      <c r="F33" s="62"/>
      <c r="G33" s="504">
        <f>IFERROR(__xludf.DUMMYFUNCTION("""COMPUTED_VALUE"""),0.0)</f>
        <v>0</v>
      </c>
      <c r="H33" s="62"/>
      <c r="I33" s="62"/>
      <c r="J33" s="62"/>
      <c r="K33" s="62"/>
      <c r="L33" s="504">
        <f>IFERROR(__xludf.DUMMYFUNCTION("""COMPUTED_VALUE"""),0.0)</f>
        <v>0</v>
      </c>
      <c r="M33" s="504">
        <f>IFERROR(__xludf.DUMMYFUNCTION("""COMPUTED_VALUE"""),0.0)</f>
        <v>0</v>
      </c>
      <c r="N33" s="504">
        <f>IFERROR(__xludf.DUMMYFUNCTION("""COMPUTED_VALUE"""),0.0)</f>
        <v>0</v>
      </c>
      <c r="O33" s="62"/>
      <c r="P33" s="62"/>
      <c r="Q33" s="62" t="str">
        <f>IFERROR(__xludf.DUMMYFUNCTION("""COMPUTED_VALUE"""),"合計")</f>
        <v>合計</v>
      </c>
      <c r="R33" s="62">
        <f>IFERROR(__xludf.DUMMYFUNCTION("""COMPUTED_VALUE"""),12471.0)</f>
        <v>12471</v>
      </c>
      <c r="S33" s="62">
        <f>IFERROR(__xludf.DUMMYFUNCTION("""COMPUTED_VALUE"""),2418.0)</f>
        <v>2418</v>
      </c>
      <c r="T33" s="62">
        <f>IFERROR(__xludf.DUMMYFUNCTION("""COMPUTED_VALUE"""),161.0)</f>
        <v>161</v>
      </c>
      <c r="U33" s="62">
        <f>IFERROR(__xludf.DUMMYFUNCTION("""COMPUTED_VALUE"""),172.0)</f>
        <v>172</v>
      </c>
      <c r="V33" s="552">
        <f>IFERROR(__xludf.DUMMYFUNCTION("""COMPUTED_VALUE"""),1.253E7)</f>
        <v>12530000</v>
      </c>
      <c r="W33" s="62">
        <f>IFERROR(__xludf.DUMMYFUNCTION("""COMPUTED_VALUE"""),193.0)</f>
        <v>193</v>
      </c>
      <c r="X33" s="552">
        <f>IFERROR(__xludf.DUMMYFUNCTION("""COMPUTED_VALUE"""),0.0)</f>
        <v>0</v>
      </c>
      <c r="Y33" s="504">
        <f>IFERROR(__xludf.DUMMYFUNCTION("""COMPUTED_VALUE"""),0.01379199743404699)</f>
        <v>0.01379199743</v>
      </c>
      <c r="Z33" s="504">
        <f>IFERROR(__xludf.DUMMYFUNCTION("""COMPUTED_VALUE"""),0.07113316790736146)</f>
        <v>0.07113316791</v>
      </c>
    </row>
    <row r="34">
      <c r="A34" s="62"/>
      <c r="B34" s="62" t="str">
        <f>IFERROR(__xludf.DUMMYFUNCTION("""COMPUTED_VALUE"""),"森")</f>
        <v>森</v>
      </c>
      <c r="C34" s="62"/>
      <c r="D34" s="62"/>
      <c r="E34" s="62"/>
      <c r="F34" s="62"/>
      <c r="G34" s="504">
        <f>IFERROR(__xludf.DUMMYFUNCTION("""COMPUTED_VALUE"""),0.0)</f>
        <v>0</v>
      </c>
      <c r="H34" s="62"/>
      <c r="I34" s="62"/>
      <c r="J34" s="62"/>
      <c r="K34" s="62"/>
      <c r="L34" s="504">
        <f>IFERROR(__xludf.DUMMYFUNCTION("""COMPUTED_VALUE"""),0.0)</f>
        <v>0</v>
      </c>
      <c r="M34" s="504">
        <f>IFERROR(__xludf.DUMMYFUNCTION("""COMPUTED_VALUE"""),0.0)</f>
        <v>0</v>
      </c>
      <c r="N34" s="504">
        <f>IFERROR(__xludf.DUMMYFUNCTION("""COMPUTED_VALUE"""),0.0)</f>
        <v>0</v>
      </c>
      <c r="O34" s="62"/>
      <c r="P34" s="62"/>
      <c r="Q34" s="62"/>
      <c r="R34" s="62"/>
      <c r="S34" s="62"/>
      <c r="T34" s="62"/>
      <c r="U34" s="62"/>
      <c r="V34" s="62"/>
      <c r="W34" s="62"/>
      <c r="X34" s="62"/>
      <c r="Y34" s="62"/>
      <c r="Z34" s="62"/>
    </row>
    <row r="35">
      <c r="A35" s="62"/>
      <c r="B35" s="62"/>
      <c r="C35" s="62"/>
      <c r="D35" s="62"/>
      <c r="E35" s="62"/>
      <c r="F35" s="62"/>
      <c r="G35" s="504">
        <f>IFERROR(__xludf.DUMMYFUNCTION("""COMPUTED_VALUE"""),0.0)</f>
        <v>0</v>
      </c>
      <c r="H35" s="62"/>
      <c r="I35" s="62"/>
      <c r="J35" s="62"/>
      <c r="K35" s="62"/>
      <c r="L35" s="504">
        <f>IFERROR(__xludf.DUMMYFUNCTION("""COMPUTED_VALUE"""),0.0)</f>
        <v>0</v>
      </c>
      <c r="M35" s="504">
        <f>IFERROR(__xludf.DUMMYFUNCTION("""COMPUTED_VALUE"""),0.0)</f>
        <v>0</v>
      </c>
      <c r="N35" s="504">
        <f>IFERROR(__xludf.DUMMYFUNCTION("""COMPUTED_VALUE"""),0.0)</f>
        <v>0</v>
      </c>
      <c r="O35" s="62"/>
      <c r="P35" s="62"/>
      <c r="Q35" s="62"/>
      <c r="R35" s="62"/>
      <c r="S35" s="62"/>
      <c r="T35" s="62"/>
      <c r="U35" s="62"/>
      <c r="V35" s="62"/>
      <c r="W35" s="62"/>
      <c r="X35" s="62"/>
      <c r="Y35" s="62"/>
      <c r="Z35" s="62"/>
    </row>
    <row r="36">
      <c r="A36" s="62"/>
      <c r="B36" s="62" t="str">
        <f>IFERROR(__xludf.DUMMYFUNCTION("""COMPUTED_VALUE"""),"金子")</f>
        <v>金子</v>
      </c>
      <c r="C36" s="62"/>
      <c r="D36" s="62"/>
      <c r="E36" s="62"/>
      <c r="F36" s="62"/>
      <c r="G36" s="504">
        <f>IFERROR(__xludf.DUMMYFUNCTION("""COMPUTED_VALUE"""),0.0)</f>
        <v>0</v>
      </c>
      <c r="H36" s="62"/>
      <c r="I36" s="62"/>
      <c r="J36" s="62"/>
      <c r="K36" s="62"/>
      <c r="L36" s="504">
        <f>IFERROR(__xludf.DUMMYFUNCTION("""COMPUTED_VALUE"""),0.0)</f>
        <v>0</v>
      </c>
      <c r="M36" s="504">
        <f>IFERROR(__xludf.DUMMYFUNCTION("""COMPUTED_VALUE"""),0.0)</f>
        <v>0</v>
      </c>
      <c r="N36" s="504">
        <f>IFERROR(__xludf.DUMMYFUNCTION("""COMPUTED_VALUE"""),0.0)</f>
        <v>0</v>
      </c>
      <c r="O36" s="62"/>
      <c r="P36" s="62"/>
      <c r="Q36" s="62"/>
      <c r="R36" s="62"/>
      <c r="S36" s="62"/>
      <c r="T36" s="62"/>
      <c r="U36" s="62"/>
      <c r="V36" s="62"/>
      <c r="W36" s="62"/>
      <c r="X36" s="62"/>
      <c r="Y36" s="62"/>
      <c r="Z36" s="62"/>
    </row>
    <row r="37">
      <c r="A37" s="62"/>
      <c r="B37" s="62"/>
      <c r="C37" s="62"/>
      <c r="D37" s="62"/>
      <c r="E37" s="62"/>
      <c r="F37" s="62"/>
      <c r="G37" s="504">
        <f>IFERROR(__xludf.DUMMYFUNCTION("""COMPUTED_VALUE"""),0.0)</f>
        <v>0</v>
      </c>
      <c r="H37" s="62"/>
      <c r="I37" s="62"/>
      <c r="J37" s="62"/>
      <c r="K37" s="62"/>
      <c r="L37" s="504">
        <f>IFERROR(__xludf.DUMMYFUNCTION("""COMPUTED_VALUE"""),0.0)</f>
        <v>0</v>
      </c>
      <c r="M37" s="504">
        <f>IFERROR(__xludf.DUMMYFUNCTION("""COMPUTED_VALUE"""),0.0)</f>
        <v>0</v>
      </c>
      <c r="N37" s="504">
        <f>IFERROR(__xludf.DUMMYFUNCTION("""COMPUTED_VALUE"""),0.0)</f>
        <v>0</v>
      </c>
      <c r="O37" s="62"/>
      <c r="P37" s="62"/>
      <c r="Q37" s="62"/>
      <c r="R37" s="62"/>
      <c r="S37" s="62"/>
      <c r="T37" s="62"/>
      <c r="U37" s="62"/>
      <c r="V37" s="62"/>
      <c r="W37" s="62"/>
      <c r="X37" s="62"/>
      <c r="Y37" s="62"/>
      <c r="Z37" s="62"/>
    </row>
    <row r="38">
      <c r="A38" s="62"/>
      <c r="B38" s="552" t="str">
        <f>IFERROR(__xludf.DUMMYFUNCTION("""COMPUTED_VALUE"""),"SMS")</f>
        <v>SMS</v>
      </c>
      <c r="C38" s="62"/>
      <c r="D38" s="62"/>
      <c r="E38" s="62"/>
      <c r="F38" s="62"/>
      <c r="G38" s="504">
        <f>IFERROR(__xludf.DUMMYFUNCTION("""COMPUTED_VALUE"""),0.0)</f>
        <v>0</v>
      </c>
      <c r="H38" s="62"/>
      <c r="I38" s="62">
        <f>IFERROR(__xludf.DUMMYFUNCTION("""COMPUTED_VALUE"""),4.0)</f>
        <v>4</v>
      </c>
      <c r="J38" s="552">
        <f>IFERROR(__xludf.DUMMYFUNCTION("""COMPUTED_VALUE"""),230000.0)</f>
        <v>230000</v>
      </c>
      <c r="K38" s="62"/>
      <c r="L38" s="504">
        <f>IFERROR(__xludf.DUMMYFUNCTION("""COMPUTED_VALUE"""),0.0)</f>
        <v>0</v>
      </c>
      <c r="M38" s="504">
        <f>IFERROR(__xludf.DUMMYFUNCTION("""COMPUTED_VALUE"""),0.0)</f>
        <v>0</v>
      </c>
      <c r="N38" s="504">
        <f>IFERROR(__xludf.DUMMYFUNCTION("""COMPUTED_VALUE"""),0.0)</f>
        <v>0</v>
      </c>
      <c r="O38" s="62"/>
      <c r="P38" s="62"/>
      <c r="Q38" s="62"/>
      <c r="R38" s="62"/>
      <c r="S38" s="62"/>
      <c r="T38" s="62"/>
      <c r="U38" s="62"/>
      <c r="V38" s="62"/>
      <c r="W38" s="62"/>
      <c r="X38" s="62"/>
      <c r="Y38" s="62"/>
      <c r="Z38" s="62"/>
    </row>
    <row r="39">
      <c r="A39" s="62"/>
      <c r="B39" s="62" t="str">
        <f>IFERROR(__xludf.DUMMYFUNCTION("""COMPUTED_VALUE"""),"紹介")</f>
        <v>紹介</v>
      </c>
      <c r="C39" s="62"/>
      <c r="D39" s="62"/>
      <c r="E39" s="62"/>
      <c r="F39" s="62"/>
      <c r="G39" s="504">
        <f>IFERROR(__xludf.DUMMYFUNCTION("""COMPUTED_VALUE"""),0.0)</f>
        <v>0</v>
      </c>
      <c r="H39" s="62"/>
      <c r="I39" s="62"/>
      <c r="J39" s="62"/>
      <c r="K39" s="62"/>
      <c r="L39" s="504">
        <f>IFERROR(__xludf.DUMMYFUNCTION("""COMPUTED_VALUE"""),0.0)</f>
        <v>0</v>
      </c>
      <c r="M39" s="504">
        <f>IFERROR(__xludf.DUMMYFUNCTION("""COMPUTED_VALUE"""),0.0)</f>
        <v>0</v>
      </c>
      <c r="N39" s="504">
        <f>IFERROR(__xludf.DUMMYFUNCTION("""COMPUTED_VALUE"""),0.0)</f>
        <v>0</v>
      </c>
      <c r="O39" s="62"/>
      <c r="P39" s="62"/>
      <c r="Q39" s="62"/>
      <c r="R39" s="62"/>
      <c r="S39" s="62"/>
      <c r="T39" s="62"/>
      <c r="U39" s="62"/>
      <c r="V39" s="62"/>
      <c r="W39" s="62"/>
      <c r="X39" s="62"/>
      <c r="Y39" s="62"/>
      <c r="Z39" s="62"/>
    </row>
    <row r="40">
      <c r="A40" s="62"/>
      <c r="B40" s="62" t="str">
        <f>IFERROR(__xludf.DUMMYFUNCTION("""COMPUTED_VALUE"""),"仁子")</f>
        <v>仁子</v>
      </c>
      <c r="C40" s="62"/>
      <c r="D40" s="62"/>
      <c r="E40" s="62"/>
      <c r="F40" s="62"/>
      <c r="G40" s="504">
        <f>IFERROR(__xludf.DUMMYFUNCTION("""COMPUTED_VALUE"""),0.0)</f>
        <v>0</v>
      </c>
      <c r="H40" s="62"/>
      <c r="I40" s="62"/>
      <c r="J40" s="62"/>
      <c r="K40" s="62"/>
      <c r="L40" s="504">
        <f>IFERROR(__xludf.DUMMYFUNCTION("""COMPUTED_VALUE"""),0.0)</f>
        <v>0</v>
      </c>
      <c r="M40" s="504">
        <f>IFERROR(__xludf.DUMMYFUNCTION("""COMPUTED_VALUE"""),0.0)</f>
        <v>0</v>
      </c>
      <c r="N40" s="504">
        <f>IFERROR(__xludf.DUMMYFUNCTION("""COMPUTED_VALUE"""),0.0)</f>
        <v>0</v>
      </c>
      <c r="O40" s="62"/>
      <c r="P40" s="62"/>
      <c r="Q40" s="62"/>
      <c r="R40" s="62"/>
      <c r="S40" s="62"/>
      <c r="T40" s="62"/>
      <c r="U40" s="62"/>
      <c r="V40" s="62"/>
      <c r="W40" s="62"/>
      <c r="X40" s="62"/>
      <c r="Y40" s="62"/>
      <c r="Z40" s="62"/>
    </row>
    <row r="41">
      <c r="A41" s="62"/>
      <c r="B41" s="62" t="str">
        <f>IFERROR(__xludf.DUMMYFUNCTION("""COMPUTED_VALUE"""),"鈴木")</f>
        <v>鈴木</v>
      </c>
      <c r="C41" s="62"/>
      <c r="D41" s="62"/>
      <c r="E41" s="62"/>
      <c r="F41" s="62"/>
      <c r="G41" s="504">
        <f>IFERROR(__xludf.DUMMYFUNCTION("""COMPUTED_VALUE"""),0.0)</f>
        <v>0</v>
      </c>
      <c r="H41" s="62"/>
      <c r="I41" s="62"/>
      <c r="J41" s="62"/>
      <c r="K41" s="62"/>
      <c r="L41" s="504">
        <f>IFERROR(__xludf.DUMMYFUNCTION("""COMPUTED_VALUE"""),0.0)</f>
        <v>0</v>
      </c>
      <c r="M41" s="504">
        <f>IFERROR(__xludf.DUMMYFUNCTION("""COMPUTED_VALUE"""),0.0)</f>
        <v>0</v>
      </c>
      <c r="N41" s="504">
        <f>IFERROR(__xludf.DUMMYFUNCTION("""COMPUTED_VALUE"""),0.0)</f>
        <v>0</v>
      </c>
      <c r="O41" s="62"/>
      <c r="P41" s="62"/>
      <c r="Q41" s="62"/>
      <c r="R41" s="62"/>
      <c r="S41" s="62"/>
      <c r="T41" s="62"/>
      <c r="U41" s="62"/>
      <c r="V41" s="62"/>
      <c r="W41" s="62"/>
      <c r="X41" s="62"/>
      <c r="Y41" s="62"/>
      <c r="Z41" s="62"/>
    </row>
    <row r="42">
      <c r="A42" s="62"/>
      <c r="B42" s="62" t="str">
        <f>IFERROR(__xludf.DUMMYFUNCTION("""COMPUTED_VALUE"""),"仲間")</f>
        <v>仲間</v>
      </c>
      <c r="C42" s="62"/>
      <c r="D42" s="62">
        <f>IFERROR(__xludf.DUMMYFUNCTION("""COMPUTED_VALUE"""),54.0)</f>
        <v>54</v>
      </c>
      <c r="E42" s="62"/>
      <c r="F42" s="62">
        <f>IFERROR(__xludf.DUMMYFUNCTION("""COMPUTED_VALUE"""),49.0)</f>
        <v>49</v>
      </c>
      <c r="G42" s="504">
        <f>IFERROR(__xludf.DUMMYFUNCTION("""COMPUTED_VALUE"""),0.0)</f>
        <v>0</v>
      </c>
      <c r="H42" s="62"/>
      <c r="I42" s="62"/>
      <c r="J42" s="62"/>
      <c r="K42" s="62"/>
      <c r="L42" s="504">
        <f>IFERROR(__xludf.DUMMYFUNCTION("""COMPUTED_VALUE"""),0.0)</f>
        <v>0</v>
      </c>
      <c r="M42" s="504">
        <f>IFERROR(__xludf.DUMMYFUNCTION("""COMPUTED_VALUE"""),0.0)</f>
        <v>0</v>
      </c>
      <c r="N42" s="504">
        <f>IFERROR(__xludf.DUMMYFUNCTION("""COMPUTED_VALUE"""),0.0)</f>
        <v>0</v>
      </c>
      <c r="O42" s="62"/>
      <c r="P42" s="62"/>
      <c r="Q42" s="62"/>
      <c r="R42" s="62"/>
      <c r="S42" s="62"/>
      <c r="T42" s="62"/>
      <c r="U42" s="62"/>
      <c r="V42" s="62"/>
      <c r="W42" s="62"/>
      <c r="X42" s="62"/>
      <c r="Y42" s="62"/>
      <c r="Z42" s="62"/>
    </row>
    <row r="43">
      <c r="A43" s="62"/>
      <c r="B43" s="62"/>
      <c r="C43" s="62"/>
      <c r="D43" s="62"/>
      <c r="E43" s="62"/>
      <c r="F43" s="62"/>
      <c r="G43" s="504">
        <f>IFERROR(__xludf.DUMMYFUNCTION("""COMPUTED_VALUE"""),0.0)</f>
        <v>0</v>
      </c>
      <c r="H43" s="62"/>
      <c r="I43" s="62"/>
      <c r="J43" s="62"/>
      <c r="K43" s="62"/>
      <c r="L43" s="504">
        <f>IFERROR(__xludf.DUMMYFUNCTION("""COMPUTED_VALUE"""),0.0)</f>
        <v>0</v>
      </c>
      <c r="M43" s="504">
        <f>IFERROR(__xludf.DUMMYFUNCTION("""COMPUTED_VALUE"""),0.0)</f>
        <v>0</v>
      </c>
      <c r="N43" s="504">
        <f>IFERROR(__xludf.DUMMYFUNCTION("""COMPUTED_VALUE"""),0.0)</f>
        <v>0</v>
      </c>
      <c r="O43" s="62"/>
      <c r="P43" s="62"/>
      <c r="Q43" s="62"/>
      <c r="R43" s="62"/>
      <c r="S43" s="62"/>
      <c r="T43" s="62"/>
      <c r="U43" s="62"/>
      <c r="V43" s="62"/>
      <c r="W43" s="62"/>
      <c r="X43" s="62"/>
      <c r="Y43" s="62"/>
      <c r="Z43" s="62"/>
    </row>
    <row r="44">
      <c r="A44" s="62"/>
      <c r="B44" s="62" t="str">
        <f>IFERROR(__xludf.DUMMYFUNCTION("""COMPUTED_VALUE"""),"合計")</f>
        <v>合計</v>
      </c>
      <c r="C44" s="62">
        <f>IFERROR(__xludf.DUMMYFUNCTION("""COMPUTED_VALUE"""),0.0)</f>
        <v>0</v>
      </c>
      <c r="D44" s="62">
        <f>IFERROR(__xludf.DUMMYFUNCTION("""COMPUTED_VALUE"""),137.0)</f>
        <v>137</v>
      </c>
      <c r="E44" s="62">
        <f>IFERROR(__xludf.DUMMYFUNCTION("""COMPUTED_VALUE"""),0.0)</f>
        <v>0</v>
      </c>
      <c r="F44" s="62">
        <f>IFERROR(__xludf.DUMMYFUNCTION("""COMPUTED_VALUE"""),116.0)</f>
        <v>116</v>
      </c>
      <c r="G44" s="504">
        <f>IFERROR(__xludf.DUMMYFUNCTION("""COMPUTED_VALUE"""),0.0)</f>
        <v>0</v>
      </c>
      <c r="H44" s="62">
        <f>IFERROR(__xludf.DUMMYFUNCTION("""COMPUTED_VALUE"""),5.0)</f>
        <v>5</v>
      </c>
      <c r="I44" s="62">
        <f>IFERROR(__xludf.DUMMYFUNCTION("""COMPUTED_VALUE"""),7.0)</f>
        <v>7</v>
      </c>
      <c r="J44" s="552">
        <f>IFERROR(__xludf.DUMMYFUNCTION("""COMPUTED_VALUE"""),380000.0)</f>
        <v>380000</v>
      </c>
      <c r="K44" s="62">
        <f>IFERROR(__xludf.DUMMYFUNCTION("""COMPUTED_VALUE"""),0.0)</f>
        <v>0</v>
      </c>
      <c r="L44" s="504">
        <f>IFERROR(__xludf.DUMMYFUNCTION("""COMPUTED_VALUE"""),0.0)</f>
        <v>0</v>
      </c>
      <c r="M44" s="504">
        <f>IFERROR(__xludf.DUMMYFUNCTION("""COMPUTED_VALUE"""),0.0)</f>
        <v>0</v>
      </c>
      <c r="N44" s="504">
        <f>IFERROR(__xludf.DUMMYFUNCTION("""COMPUTED_VALUE"""),1.4)</f>
        <v>1.4</v>
      </c>
      <c r="O44" s="62"/>
      <c r="P44" s="62"/>
      <c r="Q44" s="62"/>
      <c r="R44" s="62"/>
      <c r="S44" s="62"/>
      <c r="T44" s="62"/>
      <c r="U44" s="62"/>
      <c r="V44" s="62"/>
      <c r="W44" s="62"/>
      <c r="X44" s="62"/>
      <c r="Y44" s="62"/>
      <c r="Z44" s="62"/>
    </row>
    <row r="45">
      <c r="A45" s="62" t="str">
        <f>IFERROR(__xludf.DUMMYFUNCTION("""COMPUTED_VALUE"""),"日付")</f>
        <v>日付</v>
      </c>
      <c r="B45" s="62" t="str">
        <f>IFERROR(__xludf.DUMMYFUNCTION("""COMPUTED_VALUE"""),"名前")</f>
        <v>名前</v>
      </c>
      <c r="C45" s="62" t="str">
        <f>IFERROR(__xludf.DUMMYFUNCTION("""COMPUTED_VALUE"""),"打電件数")</f>
        <v>打電件数</v>
      </c>
      <c r="D45" s="62" t="str">
        <f>IFERROR(__xludf.DUMMYFUNCTION("""COMPUTED_VALUE"""),"着電件数")</f>
        <v>着電件数</v>
      </c>
      <c r="E45" s="62" t="str">
        <f>IFERROR(__xludf.DUMMYFUNCTION("""COMPUTED_VALUE"""),"折り返し件数")</f>
        <v>折り返し件数</v>
      </c>
      <c r="F45" s="62" t="str">
        <f>IFERROR(__xludf.DUMMYFUNCTION("""COMPUTED_VALUE"""),"拒否")</f>
        <v>拒否</v>
      </c>
      <c r="G45" s="62" t="str">
        <f>IFERROR(__xludf.DUMMYFUNCTION("""COMPUTED_VALUE"""),"着電率")</f>
        <v>着電率</v>
      </c>
      <c r="H45" s="62" t="str">
        <f>IFERROR(__xludf.DUMMYFUNCTION("""COMPUTED_VALUE"""),"LINE登録")</f>
        <v>LINE登録</v>
      </c>
      <c r="I45" s="62" t="str">
        <f>IFERROR(__xludf.DUMMYFUNCTION("""COMPUTED_VALUE"""),"アカウント作成")</f>
        <v>アカウント作成</v>
      </c>
      <c r="J45" s="552" t="str">
        <f>IFERROR(__xludf.DUMMYFUNCTION("""COMPUTED_VALUE"""),"新規信用枠額")</f>
        <v>新規信用枠額</v>
      </c>
      <c r="K45" s="62" t="str">
        <f>IFERROR(__xludf.DUMMYFUNCTION("""COMPUTED_VALUE"""),"リスト死回線数")</f>
        <v>リスト死回線数</v>
      </c>
      <c r="L45" s="62" t="str">
        <f>IFERROR(__xludf.DUMMYFUNCTION("""COMPUTED_VALUE"""),"LINE率(打電から)")</f>
        <v>LINE率(打電から)</v>
      </c>
      <c r="M45" s="62" t="str">
        <f>IFERROR(__xludf.DUMMYFUNCTION("""COMPUTED_VALUE"""),"アカウント作成率(打電から)")</f>
        <v>アカウント作成率(打電から)</v>
      </c>
      <c r="N45" s="62" t="str">
        <f>IFERROR(__xludf.DUMMYFUNCTION("""COMPUTED_VALUE"""),"アカウント作成率(LINEから)")</f>
        <v>アカウント作成率(LINEから)</v>
      </c>
      <c r="O45" s="62" t="str">
        <f>IFERROR(__xludf.DUMMYFUNCTION("""COMPUTED_VALUE"""),"リスト名")</f>
        <v>リスト名</v>
      </c>
      <c r="P45" s="553" t="str">
        <f>IFERROR(__xludf.DUMMYFUNCTION("""COMPUTED_VALUE"""),"日本基準")</f>
        <v>日本基準</v>
      </c>
      <c r="Q45" s="62"/>
      <c r="R45" s="62"/>
      <c r="S45" s="62"/>
      <c r="T45" s="62"/>
      <c r="U45" s="62"/>
      <c r="V45" s="62"/>
      <c r="W45" s="62"/>
      <c r="X45" s="62"/>
      <c r="Y45" s="62"/>
      <c r="Z45" s="62"/>
    </row>
    <row r="46">
      <c r="A46" s="556">
        <f>IFERROR(__xludf.DUMMYFUNCTION("""COMPUTED_VALUE"""),45903.0)</f>
        <v>45903</v>
      </c>
      <c r="B46" s="62" t="str">
        <f>IFERROR(__xludf.DUMMYFUNCTION("""COMPUTED_VALUE"""),"あり")</f>
        <v>あり</v>
      </c>
      <c r="C46" s="62"/>
      <c r="D46" s="62"/>
      <c r="E46" s="62"/>
      <c r="F46" s="62"/>
      <c r="G46" s="504">
        <f>IFERROR(__xludf.DUMMYFUNCTION("""COMPUTED_VALUE"""),0.0)</f>
        <v>0</v>
      </c>
      <c r="H46" s="62"/>
      <c r="I46" s="62"/>
      <c r="J46" s="62"/>
      <c r="K46" s="62"/>
      <c r="L46" s="504">
        <f>IFERROR(__xludf.DUMMYFUNCTION("""COMPUTED_VALUE"""),0.0)</f>
        <v>0</v>
      </c>
      <c r="M46" s="504">
        <f>IFERROR(__xludf.DUMMYFUNCTION("""COMPUTED_VALUE"""),0.0)</f>
        <v>0</v>
      </c>
      <c r="N46" s="504">
        <f>IFERROR(__xludf.DUMMYFUNCTION("""COMPUTED_VALUE"""),0.0)</f>
        <v>0</v>
      </c>
      <c r="O46" s="62"/>
      <c r="P46" s="62"/>
      <c r="Q46" s="62"/>
      <c r="R46" s="62"/>
      <c r="S46" s="62"/>
      <c r="T46" s="62"/>
      <c r="U46" s="62"/>
      <c r="V46" s="62"/>
      <c r="W46" s="62"/>
      <c r="X46" s="62"/>
      <c r="Y46" s="62"/>
      <c r="Z46" s="62"/>
    </row>
    <row r="47">
      <c r="A47" s="62"/>
      <c r="B47" s="62" t="str">
        <f>IFERROR(__xludf.DUMMYFUNCTION("""COMPUTED_VALUE"""),"しょうま")</f>
        <v>しょうま</v>
      </c>
      <c r="C47" s="62"/>
      <c r="D47" s="62"/>
      <c r="E47" s="62"/>
      <c r="F47" s="62"/>
      <c r="G47" s="504">
        <f>IFERROR(__xludf.DUMMYFUNCTION("""COMPUTED_VALUE"""),0.0)</f>
        <v>0</v>
      </c>
      <c r="H47" s="62"/>
      <c r="I47" s="62"/>
      <c r="J47" s="62"/>
      <c r="K47" s="62"/>
      <c r="L47" s="504">
        <f>IFERROR(__xludf.DUMMYFUNCTION("""COMPUTED_VALUE"""),0.0)</f>
        <v>0</v>
      </c>
      <c r="M47" s="504">
        <f>IFERROR(__xludf.DUMMYFUNCTION("""COMPUTED_VALUE"""),0.0)</f>
        <v>0</v>
      </c>
      <c r="N47" s="504">
        <f>IFERROR(__xludf.DUMMYFUNCTION("""COMPUTED_VALUE"""),0.0)</f>
        <v>0</v>
      </c>
      <c r="O47" s="62"/>
      <c r="P47" s="62"/>
      <c r="Q47" s="62"/>
      <c r="R47" s="62"/>
      <c r="S47" s="62"/>
      <c r="T47" s="62"/>
      <c r="U47" s="62"/>
      <c r="V47" s="62"/>
      <c r="W47" s="62"/>
      <c r="X47" s="62"/>
      <c r="Y47" s="62"/>
      <c r="Z47" s="62"/>
    </row>
    <row r="48">
      <c r="A48" s="62"/>
      <c r="B48" s="62"/>
      <c r="C48" s="62"/>
      <c r="D48" s="62"/>
      <c r="E48" s="62"/>
      <c r="F48" s="62"/>
      <c r="G48" s="504">
        <f>IFERROR(__xludf.DUMMYFUNCTION("""COMPUTED_VALUE"""),0.0)</f>
        <v>0</v>
      </c>
      <c r="H48" s="62"/>
      <c r="I48" s="62"/>
      <c r="J48" s="62"/>
      <c r="K48" s="62"/>
      <c r="L48" s="504">
        <f>IFERROR(__xludf.DUMMYFUNCTION("""COMPUTED_VALUE"""),0.0)</f>
        <v>0</v>
      </c>
      <c r="M48" s="504">
        <f>IFERROR(__xludf.DUMMYFUNCTION("""COMPUTED_VALUE"""),0.0)</f>
        <v>0</v>
      </c>
      <c r="N48" s="504">
        <f>IFERROR(__xludf.DUMMYFUNCTION("""COMPUTED_VALUE"""),0.0)</f>
        <v>0</v>
      </c>
      <c r="O48" s="62"/>
      <c r="P48" s="62"/>
      <c r="Q48" s="62"/>
      <c r="R48" s="62"/>
      <c r="S48" s="62"/>
      <c r="T48" s="62"/>
      <c r="U48" s="62"/>
      <c r="V48" s="62"/>
      <c r="W48" s="62"/>
      <c r="X48" s="62"/>
      <c r="Y48" s="62"/>
      <c r="Z48" s="62"/>
    </row>
    <row r="49">
      <c r="A49" s="62"/>
      <c r="B49" s="62" t="str">
        <f>IFERROR(__xludf.DUMMYFUNCTION("""COMPUTED_VALUE"""),"ジョーナ")</f>
        <v>ジョーナ</v>
      </c>
      <c r="C49" s="62"/>
      <c r="D49" s="62"/>
      <c r="E49" s="62"/>
      <c r="F49" s="62"/>
      <c r="G49" s="504">
        <f>IFERROR(__xludf.DUMMYFUNCTION("""COMPUTED_VALUE"""),0.0)</f>
        <v>0</v>
      </c>
      <c r="H49" s="62"/>
      <c r="I49" s="62"/>
      <c r="J49" s="62"/>
      <c r="K49" s="62"/>
      <c r="L49" s="504">
        <f>IFERROR(__xludf.DUMMYFUNCTION("""COMPUTED_VALUE"""),0.0)</f>
        <v>0</v>
      </c>
      <c r="M49" s="504">
        <f>IFERROR(__xludf.DUMMYFUNCTION("""COMPUTED_VALUE"""),0.0)</f>
        <v>0</v>
      </c>
      <c r="N49" s="504">
        <f>IFERROR(__xludf.DUMMYFUNCTION("""COMPUTED_VALUE"""),0.0)</f>
        <v>0</v>
      </c>
      <c r="O49" s="62"/>
      <c r="P49" s="62"/>
      <c r="Q49" s="62"/>
      <c r="R49" s="62"/>
      <c r="S49" s="62"/>
      <c r="T49" s="62"/>
      <c r="U49" s="62"/>
      <c r="V49" s="62"/>
      <c r="W49" s="62"/>
      <c r="X49" s="62"/>
      <c r="Y49" s="62"/>
      <c r="Z49" s="62"/>
    </row>
    <row r="50">
      <c r="A50" s="62"/>
      <c r="B50" s="62" t="str">
        <f>IFERROR(__xludf.DUMMYFUNCTION("""COMPUTED_VALUE"""),"武田")</f>
        <v>武田</v>
      </c>
      <c r="C50" s="62"/>
      <c r="D50" s="62"/>
      <c r="E50" s="62"/>
      <c r="F50" s="62"/>
      <c r="G50" s="504">
        <f>IFERROR(__xludf.DUMMYFUNCTION("""COMPUTED_VALUE"""),0.0)</f>
        <v>0</v>
      </c>
      <c r="H50" s="62"/>
      <c r="I50" s="62"/>
      <c r="J50" s="62"/>
      <c r="K50" s="62"/>
      <c r="L50" s="504">
        <f>IFERROR(__xludf.DUMMYFUNCTION("""COMPUTED_VALUE"""),0.0)</f>
        <v>0</v>
      </c>
      <c r="M50" s="504">
        <f>IFERROR(__xludf.DUMMYFUNCTION("""COMPUTED_VALUE"""),0.0)</f>
        <v>0</v>
      </c>
      <c r="N50" s="504">
        <f>IFERROR(__xludf.DUMMYFUNCTION("""COMPUTED_VALUE"""),0.0)</f>
        <v>0</v>
      </c>
      <c r="O50" s="62"/>
      <c r="P50" s="62"/>
      <c r="Q50" s="62"/>
      <c r="R50" s="62"/>
      <c r="S50" s="62"/>
      <c r="T50" s="62"/>
      <c r="U50" s="62"/>
      <c r="V50" s="62"/>
      <c r="W50" s="62"/>
      <c r="X50" s="62"/>
      <c r="Y50" s="62"/>
      <c r="Z50" s="62"/>
    </row>
    <row r="51">
      <c r="A51" s="62"/>
      <c r="B51" s="62" t="str">
        <f>IFERROR(__xludf.DUMMYFUNCTION("""COMPUTED_VALUE"""),"高木")</f>
        <v>高木</v>
      </c>
      <c r="C51" s="62"/>
      <c r="D51" s="62">
        <f>IFERROR(__xludf.DUMMYFUNCTION("""COMPUTED_VALUE"""),54.0)</f>
        <v>54</v>
      </c>
      <c r="E51" s="62"/>
      <c r="F51" s="62">
        <f>IFERROR(__xludf.DUMMYFUNCTION("""COMPUTED_VALUE"""),39.0)</f>
        <v>39</v>
      </c>
      <c r="G51" s="504">
        <f>IFERROR(__xludf.DUMMYFUNCTION("""COMPUTED_VALUE"""),0.0)</f>
        <v>0</v>
      </c>
      <c r="H51" s="62">
        <f>IFERROR(__xludf.DUMMYFUNCTION("""COMPUTED_VALUE"""),2.0)</f>
        <v>2</v>
      </c>
      <c r="I51" s="62"/>
      <c r="J51" s="62"/>
      <c r="K51" s="62"/>
      <c r="L51" s="504">
        <f>IFERROR(__xludf.DUMMYFUNCTION("""COMPUTED_VALUE"""),0.0)</f>
        <v>0</v>
      </c>
      <c r="M51" s="504">
        <f>IFERROR(__xludf.DUMMYFUNCTION("""COMPUTED_VALUE"""),0.0)</f>
        <v>0</v>
      </c>
      <c r="N51" s="504">
        <f>IFERROR(__xludf.DUMMYFUNCTION("""COMPUTED_VALUE"""),0.0)</f>
        <v>0</v>
      </c>
      <c r="O51" s="62"/>
      <c r="P51" s="62"/>
      <c r="Q51" s="62"/>
      <c r="R51" s="62"/>
      <c r="S51" s="62"/>
      <c r="T51" s="62"/>
      <c r="U51" s="62"/>
      <c r="V51" s="62"/>
      <c r="W51" s="62"/>
      <c r="X51" s="62"/>
      <c r="Y51" s="62"/>
      <c r="Z51" s="62"/>
    </row>
    <row r="52">
      <c r="A52" s="62"/>
      <c r="B52" s="62"/>
      <c r="C52" s="62"/>
      <c r="D52" s="62"/>
      <c r="E52" s="62"/>
      <c r="F52" s="62"/>
      <c r="G52" s="504">
        <f>IFERROR(__xludf.DUMMYFUNCTION("""COMPUTED_VALUE"""),0.0)</f>
        <v>0</v>
      </c>
      <c r="H52" s="62"/>
      <c r="I52" s="62"/>
      <c r="J52" s="62"/>
      <c r="K52" s="62"/>
      <c r="L52" s="504">
        <f>IFERROR(__xludf.DUMMYFUNCTION("""COMPUTED_VALUE"""),0.0)</f>
        <v>0</v>
      </c>
      <c r="M52" s="504">
        <f>IFERROR(__xludf.DUMMYFUNCTION("""COMPUTED_VALUE"""),0.0)</f>
        <v>0</v>
      </c>
      <c r="N52" s="504">
        <f>IFERROR(__xludf.DUMMYFUNCTION("""COMPUTED_VALUE"""),0.0)</f>
        <v>0</v>
      </c>
      <c r="O52" s="62"/>
      <c r="P52" s="62"/>
      <c r="Q52" s="62" t="str">
        <f>IFERROR(__xludf.DUMMYFUNCTION("""COMPUTED_VALUE"""),"月トータル")</f>
        <v>月トータル</v>
      </c>
      <c r="R52" s="62" t="str">
        <f>IFERROR(__xludf.DUMMYFUNCTION("""COMPUTED_VALUE"""),"着電率")</f>
        <v>着電率</v>
      </c>
      <c r="S52" s="62" t="str">
        <f>IFERROR(__xludf.DUMMYFUNCTION("""COMPUTED_VALUE"""),"LINE登録")</f>
        <v>LINE登録</v>
      </c>
      <c r="T52" s="62" t="str">
        <f>IFERROR(__xludf.DUMMYFUNCTION("""COMPUTED_VALUE"""),"アカウント作成")</f>
        <v>アカウント作成</v>
      </c>
      <c r="U52" s="62" t="str">
        <f>IFERROR(__xludf.DUMMYFUNCTION("""COMPUTED_VALUE"""),"打電数")</f>
        <v>打電数</v>
      </c>
      <c r="V52" s="62" t="str">
        <f>IFERROR(__xludf.DUMMYFUNCTION("""COMPUTED_VALUE"""),"着電数")</f>
        <v>着電数</v>
      </c>
      <c r="W52" s="62" t="str">
        <f>IFERROR(__xludf.DUMMYFUNCTION("""COMPUTED_VALUE"""),"LINE登録数")</f>
        <v>LINE登録数</v>
      </c>
      <c r="X52" s="62" t="str">
        <f>IFERROR(__xludf.DUMMYFUNCTION("""COMPUTED_VALUE"""),"アカウント作成数")</f>
        <v>アカウント作成数</v>
      </c>
      <c r="Y52" s="62" t="str">
        <f>IFERROR(__xludf.DUMMYFUNCTION("""COMPUTED_VALUE"""),"新規信用枠")</f>
        <v>新規信用枠</v>
      </c>
      <c r="Z52" s="62"/>
    </row>
    <row r="53">
      <c r="A53" s="62"/>
      <c r="B53" s="62" t="str">
        <f>IFERROR(__xludf.DUMMYFUNCTION("""COMPUTED_VALUE"""),"大谷")</f>
        <v>大谷</v>
      </c>
      <c r="C53" s="62"/>
      <c r="D53" s="62"/>
      <c r="E53" s="62"/>
      <c r="F53" s="62"/>
      <c r="G53" s="504">
        <f>IFERROR(__xludf.DUMMYFUNCTION("""COMPUTED_VALUE"""),0.0)</f>
        <v>0</v>
      </c>
      <c r="H53" s="62"/>
      <c r="I53" s="62"/>
      <c r="J53" s="62"/>
      <c r="K53" s="62"/>
      <c r="L53" s="504">
        <f>IFERROR(__xludf.DUMMYFUNCTION("""COMPUTED_VALUE"""),0.0)</f>
        <v>0</v>
      </c>
      <c r="M53" s="504">
        <f>IFERROR(__xludf.DUMMYFUNCTION("""COMPUTED_VALUE"""),0.0)</f>
        <v>0</v>
      </c>
      <c r="N53" s="504">
        <f>IFERROR(__xludf.DUMMYFUNCTION("""COMPUTED_VALUE"""),0.0)</f>
        <v>0</v>
      </c>
      <c r="O53" s="62"/>
      <c r="P53" s="62"/>
      <c r="Q53" s="62"/>
      <c r="R53" s="504">
        <f>IFERROR(__xludf.DUMMYFUNCTION("""COMPUTED_VALUE"""),0.16841737539596408)</f>
        <v>0.1684173754</v>
      </c>
      <c r="S53" s="504">
        <f>IFERROR(__xludf.DUMMYFUNCTION("""COMPUTED_VALUE"""),0.01797875953180158)</f>
        <v>0.01797875953</v>
      </c>
      <c r="T53" s="504">
        <f>IFERROR(__xludf.DUMMYFUNCTION("""COMPUTED_VALUE"""),0.016316293506308126)</f>
        <v>0.01631629351</v>
      </c>
      <c r="U53" s="62"/>
      <c r="V53" s="62"/>
      <c r="W53" s="62"/>
      <c r="X53" s="62"/>
      <c r="Y53" s="62"/>
      <c r="Z53" s="62"/>
    </row>
    <row r="54">
      <c r="A54" s="62"/>
      <c r="B54" s="62"/>
      <c r="C54" s="62"/>
      <c r="D54" s="62"/>
      <c r="E54" s="62"/>
      <c r="F54" s="62"/>
      <c r="G54" s="504">
        <f>IFERROR(__xludf.DUMMYFUNCTION("""COMPUTED_VALUE"""),0.0)</f>
        <v>0</v>
      </c>
      <c r="H54" s="62"/>
      <c r="I54" s="62"/>
      <c r="J54" s="62"/>
      <c r="K54" s="62"/>
      <c r="L54" s="504">
        <f>IFERROR(__xludf.DUMMYFUNCTION("""COMPUTED_VALUE"""),0.0)</f>
        <v>0</v>
      </c>
      <c r="M54" s="504">
        <f>IFERROR(__xludf.DUMMYFUNCTION("""COMPUTED_VALUE"""),0.0)</f>
        <v>0</v>
      </c>
      <c r="N54" s="504">
        <f>IFERROR(__xludf.DUMMYFUNCTION("""COMPUTED_VALUE"""),0.0)</f>
        <v>0</v>
      </c>
      <c r="O54" s="62"/>
      <c r="P54" s="62"/>
      <c r="Q54" s="62" t="str">
        <f>IFERROR(__xludf.DUMMYFUNCTION("""COMPUTED_VALUE"""),"リストBE")</f>
        <v>リストBE</v>
      </c>
      <c r="R54" s="504">
        <f>IFERROR(__xludf.DUMMYFUNCTION("""COMPUTED_VALUE"""),0.0)</f>
        <v>0</v>
      </c>
      <c r="S54" s="504">
        <f>IFERROR(__xludf.DUMMYFUNCTION("""COMPUTED_VALUE"""),0.0)</f>
        <v>0</v>
      </c>
      <c r="T54" s="504">
        <f>IFERROR(__xludf.DUMMYFUNCTION("""COMPUTED_VALUE"""),0.0)</f>
        <v>0</v>
      </c>
      <c r="U54" s="62">
        <f>IFERROR(__xludf.DUMMYFUNCTION("""COMPUTED_VALUE"""),0.0)</f>
        <v>0</v>
      </c>
      <c r="V54" s="62">
        <f>IFERROR(__xludf.DUMMYFUNCTION("""COMPUTED_VALUE"""),0.0)</f>
        <v>0</v>
      </c>
      <c r="W54" s="555">
        <f>IFERROR(__xludf.DUMMYFUNCTION("""COMPUTED_VALUE"""),0.0)</f>
        <v>0</v>
      </c>
      <c r="X54" s="555">
        <f>IFERROR(__xludf.DUMMYFUNCTION("""COMPUTED_VALUE"""),0.0)</f>
        <v>0</v>
      </c>
      <c r="Y54" s="552">
        <f>IFERROR(__xludf.DUMMYFUNCTION("""COMPUTED_VALUE"""),0.0)</f>
        <v>0</v>
      </c>
      <c r="Z54" s="62"/>
    </row>
    <row r="55">
      <c r="A55" s="62"/>
      <c r="B55" s="62" t="str">
        <f>IFERROR(__xludf.DUMMYFUNCTION("""COMPUTED_VALUE"""),"森")</f>
        <v>森</v>
      </c>
      <c r="C55" s="62"/>
      <c r="D55" s="62"/>
      <c r="E55" s="62"/>
      <c r="F55" s="62"/>
      <c r="G55" s="504">
        <f>IFERROR(__xludf.DUMMYFUNCTION("""COMPUTED_VALUE"""),0.0)</f>
        <v>0</v>
      </c>
      <c r="H55" s="62"/>
      <c r="I55" s="62"/>
      <c r="J55" s="62"/>
      <c r="K55" s="62"/>
      <c r="L55" s="504">
        <f>IFERROR(__xludf.DUMMYFUNCTION("""COMPUTED_VALUE"""),0.0)</f>
        <v>0</v>
      </c>
      <c r="M55" s="504">
        <f>IFERROR(__xludf.DUMMYFUNCTION("""COMPUTED_VALUE"""),0.0)</f>
        <v>0</v>
      </c>
      <c r="N55" s="504">
        <f>IFERROR(__xludf.DUMMYFUNCTION("""COMPUTED_VALUE"""),0.0)</f>
        <v>0</v>
      </c>
      <c r="O55" s="62"/>
      <c r="P55" s="62"/>
      <c r="Q55" s="62"/>
      <c r="R55" s="62"/>
      <c r="S55" s="62"/>
      <c r="T55" s="62"/>
      <c r="U55" s="62"/>
      <c r="V55" s="62"/>
      <c r="W55" s="62"/>
      <c r="X55" s="62"/>
      <c r="Y55" s="62"/>
      <c r="Z55" s="62"/>
    </row>
    <row r="56">
      <c r="A56" s="62"/>
      <c r="B56" s="62"/>
      <c r="C56" s="62"/>
      <c r="D56" s="62"/>
      <c r="E56" s="62"/>
      <c r="F56" s="62"/>
      <c r="G56" s="504">
        <f>IFERROR(__xludf.DUMMYFUNCTION("""COMPUTED_VALUE"""),0.0)</f>
        <v>0</v>
      </c>
      <c r="H56" s="62"/>
      <c r="I56" s="62"/>
      <c r="J56" s="62"/>
      <c r="K56" s="62"/>
      <c r="L56" s="504">
        <f>IFERROR(__xludf.DUMMYFUNCTION("""COMPUTED_VALUE"""),0.0)</f>
        <v>0</v>
      </c>
      <c r="M56" s="504">
        <f>IFERROR(__xludf.DUMMYFUNCTION("""COMPUTED_VALUE"""),0.0)</f>
        <v>0</v>
      </c>
      <c r="N56" s="504">
        <f>IFERROR(__xludf.DUMMYFUNCTION("""COMPUTED_VALUE"""),0.0)</f>
        <v>0</v>
      </c>
      <c r="O56" s="62"/>
      <c r="P56" s="62"/>
      <c r="Q56" s="62" t="str">
        <f>IFERROR(__xludf.DUMMYFUNCTION("""COMPUTED_VALUE"""),"リストS")</f>
        <v>リストS</v>
      </c>
      <c r="R56" s="504">
        <f>IFERROR(__xludf.DUMMYFUNCTION("""COMPUTED_VALUE"""),0.17125603542341356)</f>
        <v>0.1712560354</v>
      </c>
      <c r="S56" s="504">
        <f>IFERROR(__xludf.DUMMYFUNCTION("""COMPUTED_VALUE"""),0.016243384679678792)</f>
        <v>0.01624338468</v>
      </c>
      <c r="T56" s="504">
        <f>IFERROR(__xludf.DUMMYFUNCTION("""COMPUTED_VALUE"""),0.013834537930222435)</f>
        <v>0.01383453793</v>
      </c>
      <c r="U56" s="62">
        <f>IFERROR(__xludf.DUMMYFUNCTION("""COMPUTED_VALUE"""),3584.0)</f>
        <v>3584</v>
      </c>
      <c r="V56" s="62">
        <f>IFERROR(__xludf.DUMMYFUNCTION("""COMPUTED_VALUE"""),723.0)</f>
        <v>723</v>
      </c>
      <c r="W56" s="62">
        <f>IFERROR(__xludf.DUMMYFUNCTION("""COMPUTED_VALUE"""),39.0)</f>
        <v>39</v>
      </c>
      <c r="X56" s="62">
        <f>IFERROR(__xludf.DUMMYFUNCTION("""COMPUTED_VALUE"""),28.0)</f>
        <v>28</v>
      </c>
      <c r="Y56" s="552">
        <f>IFERROR(__xludf.DUMMYFUNCTION("""COMPUTED_VALUE"""),2320000.0)</f>
        <v>2320000</v>
      </c>
      <c r="Z56" s="62"/>
    </row>
    <row r="57">
      <c r="A57" s="62"/>
      <c r="B57" s="62" t="str">
        <f>IFERROR(__xludf.DUMMYFUNCTION("""COMPUTED_VALUE"""),"金子")</f>
        <v>金子</v>
      </c>
      <c r="C57" s="62"/>
      <c r="D57" s="62"/>
      <c r="E57" s="62"/>
      <c r="F57" s="62"/>
      <c r="G57" s="504">
        <f>IFERROR(__xludf.DUMMYFUNCTION("""COMPUTED_VALUE"""),0.0)</f>
        <v>0</v>
      </c>
      <c r="H57" s="62"/>
      <c r="I57" s="62"/>
      <c r="J57" s="62"/>
      <c r="K57" s="62"/>
      <c r="L57" s="504">
        <f>IFERROR(__xludf.DUMMYFUNCTION("""COMPUTED_VALUE"""),0.0)</f>
        <v>0</v>
      </c>
      <c r="M57" s="504">
        <f>IFERROR(__xludf.DUMMYFUNCTION("""COMPUTED_VALUE"""),0.0)</f>
        <v>0</v>
      </c>
      <c r="N57" s="504">
        <f>IFERROR(__xludf.DUMMYFUNCTION("""COMPUTED_VALUE"""),0.0)</f>
        <v>0</v>
      </c>
      <c r="O57" s="62"/>
      <c r="P57" s="62"/>
      <c r="Q57" s="62"/>
      <c r="R57" s="62"/>
      <c r="S57" s="62"/>
      <c r="T57" s="62"/>
      <c r="U57" s="62"/>
      <c r="V57" s="62"/>
      <c r="W57" s="62"/>
      <c r="X57" s="62"/>
      <c r="Y57" s="62"/>
      <c r="Z57" s="62"/>
    </row>
    <row r="58">
      <c r="A58" s="62"/>
      <c r="B58" s="62"/>
      <c r="C58" s="62"/>
      <c r="D58" s="62"/>
      <c r="E58" s="62"/>
      <c r="F58" s="62"/>
      <c r="G58" s="504">
        <f>IFERROR(__xludf.DUMMYFUNCTION("""COMPUTED_VALUE"""),0.0)</f>
        <v>0</v>
      </c>
      <c r="H58" s="62"/>
      <c r="I58" s="62"/>
      <c r="J58" s="62"/>
      <c r="K58" s="62"/>
      <c r="L58" s="504">
        <f>IFERROR(__xludf.DUMMYFUNCTION("""COMPUTED_VALUE"""),0.0)</f>
        <v>0</v>
      </c>
      <c r="M58" s="504">
        <f>IFERROR(__xludf.DUMMYFUNCTION("""COMPUTED_VALUE"""),0.0)</f>
        <v>0</v>
      </c>
      <c r="N58" s="504">
        <f>IFERROR(__xludf.DUMMYFUNCTION("""COMPUTED_VALUE"""),0.0)</f>
        <v>0</v>
      </c>
      <c r="O58" s="62"/>
      <c r="P58" s="62"/>
      <c r="Q58" s="62" t="str">
        <f>IFERROR(__xludf.DUMMYFUNCTION("""COMPUTED_VALUE"""),"リストE")</f>
        <v>リストE</v>
      </c>
      <c r="R58" s="504">
        <f>IFERROR(__xludf.DUMMYFUNCTION("""COMPUTED_VALUE"""),0.16557871536851462)</f>
        <v>0.1655787154</v>
      </c>
      <c r="S58" s="504">
        <f>IFERROR(__xludf.DUMMYFUNCTION("""COMPUTED_VALUE"""),0.019714134383924362)</f>
        <v>0.01971413438</v>
      </c>
      <c r="T58" s="504">
        <f>IFERROR(__xludf.DUMMYFUNCTION("""COMPUTED_VALUE"""),0.018798049082393818)</f>
        <v>0.01879804908</v>
      </c>
      <c r="U58" s="62">
        <f>IFERROR(__xludf.DUMMYFUNCTION("""COMPUTED_VALUE"""),2477.0)</f>
        <v>2477</v>
      </c>
      <c r="V58" s="62">
        <f>IFERROR(__xludf.DUMMYFUNCTION("""COMPUTED_VALUE"""),374.0)</f>
        <v>374</v>
      </c>
      <c r="W58" s="555">
        <f>IFERROR(__xludf.DUMMYFUNCTION("""COMPUTED_VALUE"""),36.0)</f>
        <v>36</v>
      </c>
      <c r="X58" s="555">
        <f>IFERROR(__xludf.DUMMYFUNCTION("""COMPUTED_VALUE"""),40.0)</f>
        <v>40</v>
      </c>
      <c r="Y58" s="552">
        <f>IFERROR(__xludf.DUMMYFUNCTION("""COMPUTED_VALUE"""),2630000.0)</f>
        <v>2630000</v>
      </c>
      <c r="Z58" s="62"/>
    </row>
    <row r="59">
      <c r="A59" s="62"/>
      <c r="B59" s="552" t="str">
        <f>IFERROR(__xludf.DUMMYFUNCTION("""COMPUTED_VALUE"""),"SMS")</f>
        <v>SMS</v>
      </c>
      <c r="C59" s="62"/>
      <c r="D59" s="62"/>
      <c r="E59" s="62"/>
      <c r="F59" s="62"/>
      <c r="G59" s="504">
        <f>IFERROR(__xludf.DUMMYFUNCTION("""COMPUTED_VALUE"""),0.0)</f>
        <v>0</v>
      </c>
      <c r="H59" s="62"/>
      <c r="I59" s="62">
        <f>IFERROR(__xludf.DUMMYFUNCTION("""COMPUTED_VALUE"""),2.0)</f>
        <v>2</v>
      </c>
      <c r="J59" s="552">
        <f>IFERROR(__xludf.DUMMYFUNCTION("""COMPUTED_VALUE"""),150000.0)</f>
        <v>150000</v>
      </c>
      <c r="K59" s="62"/>
      <c r="L59" s="504">
        <f>IFERROR(__xludf.DUMMYFUNCTION("""COMPUTED_VALUE"""),0.0)</f>
        <v>0</v>
      </c>
      <c r="M59" s="504">
        <f>IFERROR(__xludf.DUMMYFUNCTION("""COMPUTED_VALUE"""),0.0)</f>
        <v>0</v>
      </c>
      <c r="N59" s="504">
        <f>IFERROR(__xludf.DUMMYFUNCTION("""COMPUTED_VALUE"""),0.0)</f>
        <v>0</v>
      </c>
      <c r="O59" s="62"/>
      <c r="P59" s="62"/>
      <c r="Q59" s="62"/>
      <c r="R59" s="62"/>
      <c r="S59" s="62"/>
      <c r="T59" s="62"/>
      <c r="U59" s="62"/>
      <c r="V59" s="62"/>
      <c r="W59" s="62"/>
      <c r="X59" s="62"/>
      <c r="Y59" s="62"/>
      <c r="Z59" s="62"/>
    </row>
    <row r="60">
      <c r="A60" s="62"/>
      <c r="B60" s="62" t="str">
        <f>IFERROR(__xludf.DUMMYFUNCTION("""COMPUTED_VALUE"""),"紹介")</f>
        <v>紹介</v>
      </c>
      <c r="C60" s="62"/>
      <c r="D60" s="62"/>
      <c r="E60" s="62"/>
      <c r="F60" s="62"/>
      <c r="G60" s="504">
        <f>IFERROR(__xludf.DUMMYFUNCTION("""COMPUTED_VALUE"""),0.0)</f>
        <v>0</v>
      </c>
      <c r="H60" s="62"/>
      <c r="I60" s="62"/>
      <c r="J60" s="62"/>
      <c r="K60" s="62"/>
      <c r="L60" s="504">
        <f>IFERROR(__xludf.DUMMYFUNCTION("""COMPUTED_VALUE"""),0.0)</f>
        <v>0</v>
      </c>
      <c r="M60" s="504">
        <f>IFERROR(__xludf.DUMMYFUNCTION("""COMPUTED_VALUE"""),0.0)</f>
        <v>0</v>
      </c>
      <c r="N60" s="504">
        <f>IFERROR(__xludf.DUMMYFUNCTION("""COMPUTED_VALUE"""),0.0)</f>
        <v>0</v>
      </c>
      <c r="O60" s="62"/>
      <c r="P60" s="62"/>
      <c r="Q60" s="62" t="str">
        <f>IFERROR(__xludf.DUMMYFUNCTION("""COMPUTED_VALUE"""),"リストC")</f>
        <v>リストC</v>
      </c>
      <c r="R60" s="504">
        <f>IFERROR(__xludf.DUMMYFUNCTION("""COMPUTED_VALUE"""),0.14220426163679312)</f>
        <v>0.1422042616</v>
      </c>
      <c r="S60" s="504">
        <f>IFERROR(__xludf.DUMMYFUNCTION("""COMPUTED_VALUE"""),0.0091847167562308)</f>
        <v>0.009184716756</v>
      </c>
      <c r="T60" s="504">
        <f>IFERROR(__xludf.DUMMYFUNCTION("""COMPUTED_VALUE"""),0.008887453499291712)</f>
        <v>0.008887453499</v>
      </c>
      <c r="U60" s="62">
        <f>IFERROR(__xludf.DUMMYFUNCTION("""COMPUTED_VALUE"""),2741.0)</f>
        <v>2741</v>
      </c>
      <c r="V60" s="62">
        <f>IFERROR(__xludf.DUMMYFUNCTION("""COMPUTED_VALUE"""),351.0)</f>
        <v>351</v>
      </c>
      <c r="W60" s="555">
        <f>IFERROR(__xludf.DUMMYFUNCTION("""COMPUTED_VALUE"""),14.0)</f>
        <v>14</v>
      </c>
      <c r="X60" s="555">
        <f>IFERROR(__xludf.DUMMYFUNCTION("""COMPUTED_VALUE"""),13.0)</f>
        <v>13</v>
      </c>
      <c r="Y60" s="552">
        <f>IFERROR(__xludf.DUMMYFUNCTION("""COMPUTED_VALUE"""),580000.0)</f>
        <v>580000</v>
      </c>
      <c r="Z60" s="62"/>
    </row>
    <row r="61">
      <c r="A61" s="62"/>
      <c r="B61" s="62" t="str">
        <f>IFERROR(__xludf.DUMMYFUNCTION("""COMPUTED_VALUE"""),"仁子")</f>
        <v>仁子</v>
      </c>
      <c r="C61" s="62"/>
      <c r="D61" s="62"/>
      <c r="E61" s="62"/>
      <c r="F61" s="62"/>
      <c r="G61" s="504">
        <f>IFERROR(__xludf.DUMMYFUNCTION("""COMPUTED_VALUE"""),0.0)</f>
        <v>0</v>
      </c>
      <c r="H61" s="62"/>
      <c r="I61" s="62"/>
      <c r="J61" s="62"/>
      <c r="K61" s="62"/>
      <c r="L61" s="504">
        <f>IFERROR(__xludf.DUMMYFUNCTION("""COMPUTED_VALUE"""),0.0)</f>
        <v>0</v>
      </c>
      <c r="M61" s="504">
        <f>IFERROR(__xludf.DUMMYFUNCTION("""COMPUTED_VALUE"""),0.0)</f>
        <v>0</v>
      </c>
      <c r="N61" s="504">
        <f>IFERROR(__xludf.DUMMYFUNCTION("""COMPUTED_VALUE"""),0.0)</f>
        <v>0</v>
      </c>
      <c r="O61" s="62"/>
      <c r="P61" s="62"/>
      <c r="Q61" s="62"/>
      <c r="R61" s="62"/>
      <c r="S61" s="62"/>
      <c r="T61" s="62"/>
      <c r="U61" s="62"/>
      <c r="V61" s="62"/>
      <c r="W61" s="62"/>
      <c r="X61" s="62"/>
      <c r="Y61" s="62"/>
      <c r="Z61" s="62"/>
    </row>
    <row r="62">
      <c r="A62" s="62"/>
      <c r="B62" s="62" t="str">
        <f>IFERROR(__xludf.DUMMYFUNCTION("""COMPUTED_VALUE"""),"鈴木")</f>
        <v>鈴木</v>
      </c>
      <c r="C62" s="62"/>
      <c r="D62" s="62"/>
      <c r="E62" s="62"/>
      <c r="F62" s="62"/>
      <c r="G62" s="504">
        <f>IFERROR(__xludf.DUMMYFUNCTION("""COMPUTED_VALUE"""),0.0)</f>
        <v>0</v>
      </c>
      <c r="H62" s="62"/>
      <c r="I62" s="62"/>
      <c r="J62" s="62"/>
      <c r="K62" s="62"/>
      <c r="L62" s="504">
        <f>IFERROR(__xludf.DUMMYFUNCTION("""COMPUTED_VALUE"""),0.0)</f>
        <v>0</v>
      </c>
      <c r="M62" s="504">
        <f>IFERROR(__xludf.DUMMYFUNCTION("""COMPUTED_VALUE"""),0.0)</f>
        <v>0</v>
      </c>
      <c r="N62" s="504">
        <f>IFERROR(__xludf.DUMMYFUNCTION("""COMPUTED_VALUE"""),0.0)</f>
        <v>0</v>
      </c>
      <c r="O62" s="62"/>
      <c r="P62" s="62"/>
      <c r="Q62" s="62" t="str">
        <f>IFERROR(__xludf.DUMMYFUNCTION("""COMPUTED_VALUE"""),"平日")</f>
        <v>平日</v>
      </c>
      <c r="R62" s="62" t="str">
        <f>IFERROR(__xludf.DUMMYFUNCTION("""COMPUTED_VALUE"""),"着電率")</f>
        <v>着電率</v>
      </c>
      <c r="S62" s="62" t="str">
        <f>IFERROR(__xludf.DUMMYFUNCTION("""COMPUTED_VALUE"""),"LINE登録")</f>
        <v>LINE登録</v>
      </c>
      <c r="T62" s="62" t="str">
        <f>IFERROR(__xludf.DUMMYFUNCTION("""COMPUTED_VALUE"""),"アカウント作成")</f>
        <v>アカウント作成</v>
      </c>
      <c r="U62" s="62"/>
      <c r="V62" s="62"/>
      <c r="W62" s="62"/>
      <c r="X62" s="62"/>
      <c r="Y62" s="62"/>
      <c r="Z62" s="62"/>
    </row>
    <row r="63">
      <c r="A63" s="62"/>
      <c r="B63" s="62" t="str">
        <f>IFERROR(__xludf.DUMMYFUNCTION("""COMPUTED_VALUE"""),"仲間")</f>
        <v>仲間</v>
      </c>
      <c r="C63" s="62"/>
      <c r="D63" s="62">
        <f>IFERROR(__xludf.DUMMYFUNCTION("""COMPUTED_VALUE"""),32.0)</f>
        <v>32</v>
      </c>
      <c r="E63" s="62"/>
      <c r="F63" s="62">
        <f>IFERROR(__xludf.DUMMYFUNCTION("""COMPUTED_VALUE"""),23.0)</f>
        <v>23</v>
      </c>
      <c r="G63" s="504">
        <f>IFERROR(__xludf.DUMMYFUNCTION("""COMPUTED_VALUE"""),0.0)</f>
        <v>0</v>
      </c>
      <c r="H63" s="62">
        <f>IFERROR(__xludf.DUMMYFUNCTION("""COMPUTED_VALUE"""),1.0)</f>
        <v>1</v>
      </c>
      <c r="I63" s="62">
        <f>IFERROR(__xludf.DUMMYFUNCTION("""COMPUTED_VALUE"""),1.0)</f>
        <v>1</v>
      </c>
      <c r="J63" s="552">
        <f>IFERROR(__xludf.DUMMYFUNCTION("""COMPUTED_VALUE"""),30000.0)</f>
        <v>30000</v>
      </c>
      <c r="K63" s="62"/>
      <c r="L63" s="504">
        <f>IFERROR(__xludf.DUMMYFUNCTION("""COMPUTED_VALUE"""),0.0)</f>
        <v>0</v>
      </c>
      <c r="M63" s="504">
        <f>IFERROR(__xludf.DUMMYFUNCTION("""COMPUTED_VALUE"""),0.0)</f>
        <v>0</v>
      </c>
      <c r="N63" s="504">
        <f>IFERROR(__xludf.DUMMYFUNCTION("""COMPUTED_VALUE"""),1.0)</f>
        <v>1</v>
      </c>
      <c r="O63" s="62"/>
      <c r="P63" s="62"/>
      <c r="Q63" s="62"/>
      <c r="R63" s="504">
        <f>IFERROR(__xludf.DUMMYFUNCTION("""COMPUTED_VALUE"""),0.16789184420330805)</f>
        <v>0.1678918442</v>
      </c>
      <c r="S63" s="504">
        <f>IFERROR(__xludf.DUMMYFUNCTION("""COMPUTED_VALUE"""),0.018302262118161612)</f>
        <v>0.01830226212</v>
      </c>
      <c r="T63" s="504">
        <f>IFERROR(__xludf.DUMMYFUNCTION("""COMPUTED_VALUE"""),0.019878657915186414)</f>
        <v>0.01987865792</v>
      </c>
      <c r="U63" s="62"/>
      <c r="V63" s="62"/>
      <c r="W63" s="62"/>
      <c r="X63" s="62"/>
      <c r="Y63" s="62"/>
      <c r="Z63" s="62"/>
    </row>
    <row r="64">
      <c r="A64" s="62"/>
      <c r="B64" s="62"/>
      <c r="C64" s="62"/>
      <c r="D64" s="62"/>
      <c r="E64" s="62"/>
      <c r="F64" s="62"/>
      <c r="G64" s="504">
        <f>IFERROR(__xludf.DUMMYFUNCTION("""COMPUTED_VALUE"""),0.0)</f>
        <v>0</v>
      </c>
      <c r="H64" s="62"/>
      <c r="I64" s="62"/>
      <c r="J64" s="62"/>
      <c r="K64" s="62"/>
      <c r="L64" s="504">
        <f>IFERROR(__xludf.DUMMYFUNCTION("""COMPUTED_VALUE"""),0.0)</f>
        <v>0</v>
      </c>
      <c r="M64" s="504">
        <f>IFERROR(__xludf.DUMMYFUNCTION("""COMPUTED_VALUE"""),0.0)</f>
        <v>0</v>
      </c>
      <c r="N64" s="504">
        <f>IFERROR(__xludf.DUMMYFUNCTION("""COMPUTED_VALUE"""),0.0)</f>
        <v>0</v>
      </c>
      <c r="O64" s="62"/>
      <c r="P64" s="62"/>
      <c r="Q64" s="62" t="str">
        <f>IFERROR(__xludf.DUMMYFUNCTION("""COMPUTED_VALUE"""),"リストS")</f>
        <v>リストS</v>
      </c>
      <c r="R64" s="504">
        <f>IFERROR(__xludf.DUMMYFUNCTION("""COMPUTED_VALUE"""),0.14163758361918388)</f>
        <v>0.1416375836</v>
      </c>
      <c r="S64" s="504">
        <f>IFERROR(__xludf.DUMMYFUNCTION("""COMPUTED_VALUE"""),0.01618967112942607)</f>
        <v>0.01618967113</v>
      </c>
      <c r="T64" s="504">
        <f>IFERROR(__xludf.DUMMYFUNCTION("""COMPUTED_VALUE"""),0.016978396529622245)</f>
        <v>0.01697839653</v>
      </c>
      <c r="U64" s="62"/>
      <c r="V64" s="62"/>
      <c r="W64" s="62"/>
      <c r="X64" s="62"/>
      <c r="Y64" s="62"/>
      <c r="Z64" s="62"/>
    </row>
    <row r="65">
      <c r="A65" s="62"/>
      <c r="B65" s="62" t="str">
        <f>IFERROR(__xludf.DUMMYFUNCTION("""COMPUTED_VALUE"""),"合計")</f>
        <v>合計</v>
      </c>
      <c r="C65" s="62">
        <f>IFERROR(__xludf.DUMMYFUNCTION("""COMPUTED_VALUE"""),0.0)</f>
        <v>0</v>
      </c>
      <c r="D65" s="62">
        <f>IFERROR(__xludf.DUMMYFUNCTION("""COMPUTED_VALUE"""),86.0)</f>
        <v>86</v>
      </c>
      <c r="E65" s="62">
        <f>IFERROR(__xludf.DUMMYFUNCTION("""COMPUTED_VALUE"""),0.0)</f>
        <v>0</v>
      </c>
      <c r="F65" s="62">
        <f>IFERROR(__xludf.DUMMYFUNCTION("""COMPUTED_VALUE"""),62.0)</f>
        <v>62</v>
      </c>
      <c r="G65" s="504">
        <f>IFERROR(__xludf.DUMMYFUNCTION("""COMPUTED_VALUE"""),0.0)</f>
        <v>0</v>
      </c>
      <c r="H65" s="62">
        <f>IFERROR(__xludf.DUMMYFUNCTION("""COMPUTED_VALUE"""),3.0)</f>
        <v>3</v>
      </c>
      <c r="I65" s="62">
        <f>IFERROR(__xludf.DUMMYFUNCTION("""COMPUTED_VALUE"""),3.0)</f>
        <v>3</v>
      </c>
      <c r="J65" s="552">
        <f>IFERROR(__xludf.DUMMYFUNCTION("""COMPUTED_VALUE"""),180000.0)</f>
        <v>180000</v>
      </c>
      <c r="K65" s="62">
        <f>IFERROR(__xludf.DUMMYFUNCTION("""COMPUTED_VALUE"""),0.0)</f>
        <v>0</v>
      </c>
      <c r="L65" s="504">
        <f>IFERROR(__xludf.DUMMYFUNCTION("""COMPUTED_VALUE"""),0.0)</f>
        <v>0</v>
      </c>
      <c r="M65" s="504">
        <f>IFERROR(__xludf.DUMMYFUNCTION("""COMPUTED_VALUE"""),0.0)</f>
        <v>0</v>
      </c>
      <c r="N65" s="504">
        <f>IFERROR(__xludf.DUMMYFUNCTION("""COMPUTED_VALUE"""),1.0)</f>
        <v>1</v>
      </c>
      <c r="O65" s="62"/>
      <c r="P65" s="62"/>
      <c r="Q65" s="62"/>
      <c r="R65" s="62"/>
      <c r="S65" s="62"/>
      <c r="T65" s="62"/>
      <c r="U65" s="62"/>
      <c r="V65" s="62"/>
      <c r="W65" s="62"/>
      <c r="X65" s="62"/>
      <c r="Y65" s="62"/>
      <c r="Z65" s="62"/>
    </row>
    <row r="66">
      <c r="A66" s="62" t="str">
        <f>IFERROR(__xludf.DUMMYFUNCTION("""COMPUTED_VALUE"""),"日付")</f>
        <v>日付</v>
      </c>
      <c r="B66" s="62" t="str">
        <f>IFERROR(__xludf.DUMMYFUNCTION("""COMPUTED_VALUE"""),"名前")</f>
        <v>名前</v>
      </c>
      <c r="C66" s="62" t="str">
        <f>IFERROR(__xludf.DUMMYFUNCTION("""COMPUTED_VALUE"""),"打電件数")</f>
        <v>打電件数</v>
      </c>
      <c r="D66" s="62" t="str">
        <f>IFERROR(__xludf.DUMMYFUNCTION("""COMPUTED_VALUE"""),"着電件数")</f>
        <v>着電件数</v>
      </c>
      <c r="E66" s="62" t="str">
        <f>IFERROR(__xludf.DUMMYFUNCTION("""COMPUTED_VALUE"""),"折り返し件数")</f>
        <v>折り返し件数</v>
      </c>
      <c r="F66" s="62" t="str">
        <f>IFERROR(__xludf.DUMMYFUNCTION("""COMPUTED_VALUE"""),"拒否")</f>
        <v>拒否</v>
      </c>
      <c r="G66" s="62" t="str">
        <f>IFERROR(__xludf.DUMMYFUNCTION("""COMPUTED_VALUE"""),"着電率")</f>
        <v>着電率</v>
      </c>
      <c r="H66" s="62" t="str">
        <f>IFERROR(__xludf.DUMMYFUNCTION("""COMPUTED_VALUE"""),"LINE登録")</f>
        <v>LINE登録</v>
      </c>
      <c r="I66" s="62" t="str">
        <f>IFERROR(__xludf.DUMMYFUNCTION("""COMPUTED_VALUE"""),"アカウント作成")</f>
        <v>アカウント作成</v>
      </c>
      <c r="J66" s="552" t="str">
        <f>IFERROR(__xludf.DUMMYFUNCTION("""COMPUTED_VALUE"""),"新規信用枠額")</f>
        <v>新規信用枠額</v>
      </c>
      <c r="K66" s="62" t="str">
        <f>IFERROR(__xludf.DUMMYFUNCTION("""COMPUTED_VALUE"""),"リスト死回線数")</f>
        <v>リスト死回線数</v>
      </c>
      <c r="L66" s="62" t="str">
        <f>IFERROR(__xludf.DUMMYFUNCTION("""COMPUTED_VALUE"""),"LINE率(打電から)")</f>
        <v>LINE率(打電から)</v>
      </c>
      <c r="M66" s="62" t="str">
        <f>IFERROR(__xludf.DUMMYFUNCTION("""COMPUTED_VALUE"""),"アカウント作成率(打電から)")</f>
        <v>アカウント作成率(打電から)</v>
      </c>
      <c r="N66" s="62" t="str">
        <f>IFERROR(__xludf.DUMMYFUNCTION("""COMPUTED_VALUE"""),"アカウント作成率(LINEから)")</f>
        <v>アカウント作成率(LINEから)</v>
      </c>
      <c r="O66" s="62" t="str">
        <f>IFERROR(__xludf.DUMMYFUNCTION("""COMPUTED_VALUE"""),"リスト名")</f>
        <v>リスト名</v>
      </c>
      <c r="P66" s="553" t="str">
        <f>IFERROR(__xludf.DUMMYFUNCTION("""COMPUTED_VALUE"""),"日本基準")</f>
        <v>日本基準</v>
      </c>
      <c r="Q66" s="62" t="str">
        <f>IFERROR(__xludf.DUMMYFUNCTION("""COMPUTED_VALUE"""),"リストE")</f>
        <v>リストE</v>
      </c>
      <c r="R66" s="504">
        <f>IFERROR(__xludf.DUMMYFUNCTION("""COMPUTED_VALUE"""),0.1941461047874322)</f>
        <v>0.1941461048</v>
      </c>
      <c r="S66" s="504">
        <f>IFERROR(__xludf.DUMMYFUNCTION("""COMPUTED_VALUE"""),0.020414853106897154)</f>
        <v>0.02041485311</v>
      </c>
      <c r="T66" s="504">
        <f>IFERROR(__xludf.DUMMYFUNCTION("""COMPUTED_VALUE"""),0.022778919300750586)</f>
        <v>0.0227789193</v>
      </c>
      <c r="U66" s="62"/>
      <c r="V66" s="62"/>
      <c r="W66" s="62"/>
      <c r="X66" s="62"/>
      <c r="Y66" s="62"/>
      <c r="Z66" s="62"/>
    </row>
    <row r="67">
      <c r="A67" s="556">
        <f>IFERROR(__xludf.DUMMYFUNCTION("""COMPUTED_VALUE"""),45904.0)</f>
        <v>45904</v>
      </c>
      <c r="B67" s="62" t="str">
        <f>IFERROR(__xludf.DUMMYFUNCTION("""COMPUTED_VALUE"""),"あり")</f>
        <v>あり</v>
      </c>
      <c r="C67" s="62"/>
      <c r="D67" s="62"/>
      <c r="E67" s="62"/>
      <c r="F67" s="62"/>
      <c r="G67" s="504">
        <f>IFERROR(__xludf.DUMMYFUNCTION("""COMPUTED_VALUE"""),0.0)</f>
        <v>0</v>
      </c>
      <c r="H67" s="62">
        <f>IFERROR(__xludf.DUMMYFUNCTION("""COMPUTED_VALUE"""),2.0)</f>
        <v>2</v>
      </c>
      <c r="I67" s="62">
        <f>IFERROR(__xludf.DUMMYFUNCTION("""COMPUTED_VALUE"""),2.0)</f>
        <v>2</v>
      </c>
      <c r="J67" s="552">
        <f>IFERROR(__xludf.DUMMYFUNCTION("""COMPUTED_VALUE"""),0.0)</f>
        <v>0</v>
      </c>
      <c r="K67" s="62"/>
      <c r="L67" s="504">
        <f>IFERROR(__xludf.DUMMYFUNCTION("""COMPUTED_VALUE"""),0.0)</f>
        <v>0</v>
      </c>
      <c r="M67" s="504">
        <f>IFERROR(__xludf.DUMMYFUNCTION("""COMPUTED_VALUE"""),0.0)</f>
        <v>0</v>
      </c>
      <c r="N67" s="504">
        <f>IFERROR(__xludf.DUMMYFUNCTION("""COMPUTED_VALUE"""),1.0)</f>
        <v>1</v>
      </c>
      <c r="O67" s="62"/>
      <c r="P67" s="62"/>
      <c r="Q67" s="62"/>
      <c r="R67" s="62"/>
      <c r="S67" s="62"/>
      <c r="T67" s="62"/>
      <c r="U67" s="62"/>
      <c r="V67" s="62"/>
      <c r="W67" s="62"/>
      <c r="X67" s="62"/>
      <c r="Y67" s="62"/>
      <c r="Z67" s="62"/>
    </row>
    <row r="68">
      <c r="A68" s="62"/>
      <c r="B68" s="62" t="str">
        <f>IFERROR(__xludf.DUMMYFUNCTION("""COMPUTED_VALUE"""),"しょうま")</f>
        <v>しょうま</v>
      </c>
      <c r="C68" s="62"/>
      <c r="D68" s="62"/>
      <c r="E68" s="62"/>
      <c r="F68" s="62"/>
      <c r="G68" s="504">
        <f>IFERROR(__xludf.DUMMYFUNCTION("""COMPUTED_VALUE"""),0.0)</f>
        <v>0</v>
      </c>
      <c r="H68" s="62"/>
      <c r="I68" s="62"/>
      <c r="J68" s="62"/>
      <c r="K68" s="62"/>
      <c r="L68" s="504">
        <f>IFERROR(__xludf.DUMMYFUNCTION("""COMPUTED_VALUE"""),0.0)</f>
        <v>0</v>
      </c>
      <c r="M68" s="504">
        <f>IFERROR(__xludf.DUMMYFUNCTION("""COMPUTED_VALUE"""),0.0)</f>
        <v>0</v>
      </c>
      <c r="N68" s="504">
        <f>IFERROR(__xludf.DUMMYFUNCTION("""COMPUTED_VALUE"""),0.0)</f>
        <v>0</v>
      </c>
      <c r="O68" s="62"/>
      <c r="P68" s="62"/>
      <c r="Q68" s="62" t="str">
        <f>IFERROR(__xludf.DUMMYFUNCTION("""COMPUTED_VALUE"""),"リストBE")</f>
        <v>リストBE</v>
      </c>
      <c r="R68" s="504">
        <f>IFERROR(__xludf.DUMMYFUNCTION("""COMPUTED_VALUE"""),0.0)</f>
        <v>0</v>
      </c>
      <c r="S68" s="504">
        <f>IFERROR(__xludf.DUMMYFUNCTION("""COMPUTED_VALUE"""),0.0)</f>
        <v>0</v>
      </c>
      <c r="T68" s="504">
        <f>IFERROR(__xludf.DUMMYFUNCTION("""COMPUTED_VALUE"""),0.0)</f>
        <v>0</v>
      </c>
      <c r="U68" s="62"/>
      <c r="V68" s="62"/>
      <c r="W68" s="62"/>
      <c r="X68" s="62"/>
      <c r="Y68" s="62"/>
      <c r="Z68" s="62"/>
    </row>
    <row r="69">
      <c r="A69" s="62"/>
      <c r="B69" s="62"/>
      <c r="C69" s="62"/>
      <c r="D69" s="62"/>
      <c r="E69" s="62"/>
      <c r="F69" s="62"/>
      <c r="G69" s="504">
        <f>IFERROR(__xludf.DUMMYFUNCTION("""COMPUTED_VALUE"""),0.0)</f>
        <v>0</v>
      </c>
      <c r="H69" s="62"/>
      <c r="I69" s="62"/>
      <c r="J69" s="62"/>
      <c r="K69" s="62"/>
      <c r="L69" s="504">
        <f>IFERROR(__xludf.DUMMYFUNCTION("""COMPUTED_VALUE"""),0.0)</f>
        <v>0</v>
      </c>
      <c r="M69" s="504">
        <f>IFERROR(__xludf.DUMMYFUNCTION("""COMPUTED_VALUE"""),0.0)</f>
        <v>0</v>
      </c>
      <c r="N69" s="504">
        <f>IFERROR(__xludf.DUMMYFUNCTION("""COMPUTED_VALUE"""),0.0)</f>
        <v>0</v>
      </c>
      <c r="O69" s="62"/>
      <c r="P69" s="62"/>
      <c r="Q69" s="62"/>
      <c r="R69" s="62"/>
      <c r="S69" s="62"/>
      <c r="T69" s="62"/>
      <c r="U69" s="62"/>
      <c r="V69" s="62"/>
      <c r="W69" s="62"/>
      <c r="X69" s="62"/>
      <c r="Y69" s="62"/>
      <c r="Z69" s="62"/>
    </row>
    <row r="70">
      <c r="A70" s="62"/>
      <c r="B70" s="62" t="str">
        <f>IFERROR(__xludf.DUMMYFUNCTION("""COMPUTED_VALUE"""),"ジョーナ")</f>
        <v>ジョーナ</v>
      </c>
      <c r="C70" s="62"/>
      <c r="D70" s="62"/>
      <c r="E70" s="62"/>
      <c r="F70" s="62"/>
      <c r="G70" s="504">
        <f>IFERROR(__xludf.DUMMYFUNCTION("""COMPUTED_VALUE"""),0.0)</f>
        <v>0</v>
      </c>
      <c r="H70" s="62"/>
      <c r="I70" s="62"/>
      <c r="J70" s="62"/>
      <c r="K70" s="62"/>
      <c r="L70" s="504">
        <f>IFERROR(__xludf.DUMMYFUNCTION("""COMPUTED_VALUE"""),0.0)</f>
        <v>0</v>
      </c>
      <c r="M70" s="504">
        <f>IFERROR(__xludf.DUMMYFUNCTION("""COMPUTED_VALUE"""),0.0)</f>
        <v>0</v>
      </c>
      <c r="N70" s="504">
        <f>IFERROR(__xludf.DUMMYFUNCTION("""COMPUTED_VALUE"""),0.0)</f>
        <v>0</v>
      </c>
      <c r="O70" s="62"/>
      <c r="P70" s="62"/>
      <c r="Q70" s="62" t="str">
        <f>IFERROR(__xludf.DUMMYFUNCTION("""COMPUTED_VALUE"""),"リストC")</f>
        <v>リストC</v>
      </c>
      <c r="R70" s="504">
        <f>IFERROR(__xludf.DUMMYFUNCTION("""COMPUTED_VALUE"""),0.12929428840387683)</f>
        <v>0.1292942884</v>
      </c>
      <c r="S70" s="504">
        <f>IFERROR(__xludf.DUMMYFUNCTION("""COMPUTED_VALUE"""),0.00973711306371647)</f>
        <v>0.009737113064</v>
      </c>
      <c r="T70" s="504">
        <f>IFERROR(__xludf.DUMMYFUNCTION("""COMPUTED_VALUE"""),0.010920716968745409)</f>
        <v>0.01092071697</v>
      </c>
      <c r="U70" s="62"/>
      <c r="V70" s="62"/>
      <c r="W70" s="62"/>
      <c r="X70" s="62"/>
      <c r="Y70" s="62"/>
      <c r="Z70" s="62"/>
    </row>
    <row r="71">
      <c r="A71" s="62"/>
      <c r="B71" s="62" t="str">
        <f>IFERROR(__xludf.DUMMYFUNCTION("""COMPUTED_VALUE"""),"武田")</f>
        <v>武田</v>
      </c>
      <c r="C71" s="62"/>
      <c r="D71" s="62"/>
      <c r="E71" s="62"/>
      <c r="F71" s="62"/>
      <c r="G71" s="504">
        <f>IFERROR(__xludf.DUMMYFUNCTION("""COMPUTED_VALUE"""),0.0)</f>
        <v>0</v>
      </c>
      <c r="H71" s="62"/>
      <c r="I71" s="62"/>
      <c r="J71" s="62"/>
      <c r="K71" s="62"/>
      <c r="L71" s="504">
        <f>IFERROR(__xludf.DUMMYFUNCTION("""COMPUTED_VALUE"""),0.0)</f>
        <v>0</v>
      </c>
      <c r="M71" s="504">
        <f>IFERROR(__xludf.DUMMYFUNCTION("""COMPUTED_VALUE"""),0.0)</f>
        <v>0</v>
      </c>
      <c r="N71" s="504">
        <f>IFERROR(__xludf.DUMMYFUNCTION("""COMPUTED_VALUE"""),0.0)</f>
        <v>0</v>
      </c>
      <c r="O71" s="62"/>
      <c r="P71" s="62"/>
      <c r="Q71" s="62"/>
      <c r="R71" s="62"/>
      <c r="S71" s="62"/>
      <c r="T71" s="62"/>
      <c r="U71" s="62"/>
      <c r="V71" s="62"/>
      <c r="W71" s="62"/>
      <c r="X71" s="62"/>
      <c r="Y71" s="62"/>
      <c r="Z71" s="62"/>
    </row>
    <row r="72">
      <c r="A72" s="62"/>
      <c r="B72" s="62" t="str">
        <f>IFERROR(__xludf.DUMMYFUNCTION("""COMPUTED_VALUE"""),"高木")</f>
        <v>高木</v>
      </c>
      <c r="C72" s="62"/>
      <c r="D72" s="62">
        <f>IFERROR(__xludf.DUMMYFUNCTION("""COMPUTED_VALUE"""),86.0)</f>
        <v>86</v>
      </c>
      <c r="E72" s="62"/>
      <c r="F72" s="62">
        <f>IFERROR(__xludf.DUMMYFUNCTION("""COMPUTED_VALUE"""),78.0)</f>
        <v>78</v>
      </c>
      <c r="G72" s="504">
        <f>IFERROR(__xludf.DUMMYFUNCTION("""COMPUTED_VALUE"""),0.0)</f>
        <v>0</v>
      </c>
      <c r="H72" s="62"/>
      <c r="I72" s="62"/>
      <c r="J72" s="62"/>
      <c r="K72" s="62"/>
      <c r="L72" s="504">
        <f>IFERROR(__xludf.DUMMYFUNCTION("""COMPUTED_VALUE"""),0.0)</f>
        <v>0</v>
      </c>
      <c r="M72" s="504">
        <f>IFERROR(__xludf.DUMMYFUNCTION("""COMPUTED_VALUE"""),0.0)</f>
        <v>0</v>
      </c>
      <c r="N72" s="504">
        <f>IFERROR(__xludf.DUMMYFUNCTION("""COMPUTED_VALUE"""),0.0)</f>
        <v>0</v>
      </c>
      <c r="O72" s="62"/>
      <c r="P72" s="62"/>
      <c r="Q72" s="62"/>
      <c r="R72" s="62"/>
      <c r="S72" s="62"/>
      <c r="T72" s="62"/>
      <c r="U72" s="62"/>
      <c r="V72" s="62"/>
      <c r="W72" s="62"/>
      <c r="X72" s="62"/>
      <c r="Y72" s="62"/>
      <c r="Z72" s="62"/>
    </row>
    <row r="73">
      <c r="A73" s="62"/>
      <c r="B73" s="62"/>
      <c r="C73" s="62"/>
      <c r="D73" s="62"/>
      <c r="E73" s="62"/>
      <c r="F73" s="62"/>
      <c r="G73" s="504">
        <f>IFERROR(__xludf.DUMMYFUNCTION("""COMPUTED_VALUE"""),0.0)</f>
        <v>0</v>
      </c>
      <c r="H73" s="62"/>
      <c r="I73" s="62"/>
      <c r="J73" s="62"/>
      <c r="K73" s="62"/>
      <c r="L73" s="504">
        <f>IFERROR(__xludf.DUMMYFUNCTION("""COMPUTED_VALUE"""),0.0)</f>
        <v>0</v>
      </c>
      <c r="M73" s="504">
        <f>IFERROR(__xludf.DUMMYFUNCTION("""COMPUTED_VALUE"""),0.0)</f>
        <v>0</v>
      </c>
      <c r="N73" s="504">
        <f>IFERROR(__xludf.DUMMYFUNCTION("""COMPUTED_VALUE"""),0.0)</f>
        <v>0</v>
      </c>
      <c r="O73" s="62"/>
      <c r="P73" s="62"/>
      <c r="Q73" s="62" t="str">
        <f>IFERROR(__xludf.DUMMYFUNCTION("""COMPUTED_VALUE"""),"土日祝")</f>
        <v>土日祝</v>
      </c>
      <c r="R73" s="62" t="str">
        <f>IFERROR(__xludf.DUMMYFUNCTION("""COMPUTED_VALUE"""),"着電率")</f>
        <v>着電率</v>
      </c>
      <c r="S73" s="62" t="str">
        <f>IFERROR(__xludf.DUMMYFUNCTION("""COMPUTED_VALUE"""),"LINE登録")</f>
        <v>LINE登録</v>
      </c>
      <c r="T73" s="62" t="str">
        <f>IFERROR(__xludf.DUMMYFUNCTION("""COMPUTED_VALUE"""),"アカウント作成")</f>
        <v>アカウント作成</v>
      </c>
      <c r="U73" s="62"/>
      <c r="V73" s="62"/>
      <c r="W73" s="62"/>
      <c r="X73" s="62"/>
      <c r="Y73" s="62"/>
      <c r="Z73" s="62"/>
    </row>
    <row r="74">
      <c r="A74" s="62"/>
      <c r="B74" s="62" t="str">
        <f>IFERROR(__xludf.DUMMYFUNCTION("""COMPUTED_VALUE"""),"大谷")</f>
        <v>大谷</v>
      </c>
      <c r="C74" s="62"/>
      <c r="D74" s="62"/>
      <c r="E74" s="62"/>
      <c r="F74" s="62"/>
      <c r="G74" s="504">
        <f>IFERROR(__xludf.DUMMYFUNCTION("""COMPUTED_VALUE"""),0.0)</f>
        <v>0</v>
      </c>
      <c r="H74" s="62"/>
      <c r="I74" s="62"/>
      <c r="J74" s="62"/>
      <c r="K74" s="62"/>
      <c r="L74" s="504">
        <f>IFERROR(__xludf.DUMMYFUNCTION("""COMPUTED_VALUE"""),0.0)</f>
        <v>0</v>
      </c>
      <c r="M74" s="504">
        <f>IFERROR(__xludf.DUMMYFUNCTION("""COMPUTED_VALUE"""),0.0)</f>
        <v>0</v>
      </c>
      <c r="N74" s="504">
        <f>IFERROR(__xludf.DUMMYFUNCTION("""COMPUTED_VALUE"""),0.0)</f>
        <v>0</v>
      </c>
      <c r="O74" s="62"/>
      <c r="P74" s="62"/>
      <c r="Q74" s="62"/>
      <c r="R74" s="504">
        <f>IFERROR(__xludf.DUMMYFUNCTION("""COMPUTED_VALUE"""),0.1520694643783284)</f>
        <v>0.1520694644</v>
      </c>
      <c r="S74" s="504">
        <f>IFERROR(__xludf.DUMMYFUNCTION("""COMPUTED_VALUE"""),0.02330260666136799)</f>
        <v>0.02330260666</v>
      </c>
      <c r="T74" s="504">
        <f>IFERROR(__xludf.DUMMYFUNCTION("""COMPUTED_VALUE"""),0.01237100515754609)</f>
        <v>0.01237100516</v>
      </c>
      <c r="U74" s="62"/>
      <c r="V74" s="62"/>
      <c r="W74" s="62"/>
      <c r="X74" s="62"/>
      <c r="Y74" s="62"/>
      <c r="Z74" s="62"/>
    </row>
    <row r="75">
      <c r="A75" s="62"/>
      <c r="B75" s="62"/>
      <c r="C75" s="62"/>
      <c r="D75" s="62"/>
      <c r="E75" s="62"/>
      <c r="F75" s="62"/>
      <c r="G75" s="504">
        <f>IFERROR(__xludf.DUMMYFUNCTION("""COMPUTED_VALUE"""),0.0)</f>
        <v>0</v>
      </c>
      <c r="H75" s="62"/>
      <c r="I75" s="62"/>
      <c r="J75" s="62"/>
      <c r="K75" s="62"/>
      <c r="L75" s="504">
        <f>IFERROR(__xludf.DUMMYFUNCTION("""COMPUTED_VALUE"""),0.0)</f>
        <v>0</v>
      </c>
      <c r="M75" s="504">
        <f>IFERROR(__xludf.DUMMYFUNCTION("""COMPUTED_VALUE"""),0.0)</f>
        <v>0</v>
      </c>
      <c r="N75" s="504">
        <f>IFERROR(__xludf.DUMMYFUNCTION("""COMPUTED_VALUE"""),0.0)</f>
        <v>0</v>
      </c>
      <c r="O75" s="62"/>
      <c r="P75" s="62"/>
      <c r="Q75" s="62" t="str">
        <f>IFERROR(__xludf.DUMMYFUNCTION("""COMPUTED_VALUE"""),"リストS")</f>
        <v>リストS</v>
      </c>
      <c r="R75" s="504">
        <f>IFERROR(__xludf.DUMMYFUNCTION("""COMPUTED_VALUE"""),0.19383138128396157)</f>
        <v>0.1938313813</v>
      </c>
      <c r="S75" s="504">
        <f>IFERROR(__xludf.DUMMYFUNCTION("""COMPUTED_VALUE"""),0.022421856979755232)</f>
        <v>0.02242185698</v>
      </c>
      <c r="T75" s="504">
        <f>IFERROR(__xludf.DUMMYFUNCTION("""COMPUTED_VALUE"""),0.011620555526970725)</f>
        <v>0.01162055553</v>
      </c>
      <c r="U75" s="62"/>
      <c r="V75" s="62"/>
      <c r="W75" s="62"/>
      <c r="X75" s="62"/>
      <c r="Y75" s="62"/>
      <c r="Z75" s="62"/>
    </row>
    <row r="76">
      <c r="A76" s="62"/>
      <c r="B76" s="62" t="str">
        <f>IFERROR(__xludf.DUMMYFUNCTION("""COMPUTED_VALUE"""),"森")</f>
        <v>森</v>
      </c>
      <c r="C76" s="62"/>
      <c r="D76" s="62"/>
      <c r="E76" s="62"/>
      <c r="F76" s="62"/>
      <c r="G76" s="504">
        <f>IFERROR(__xludf.DUMMYFUNCTION("""COMPUTED_VALUE"""),0.0)</f>
        <v>0</v>
      </c>
      <c r="H76" s="62"/>
      <c r="I76" s="62"/>
      <c r="J76" s="62"/>
      <c r="K76" s="62"/>
      <c r="L76" s="504">
        <f>IFERROR(__xludf.DUMMYFUNCTION("""COMPUTED_VALUE"""),0.0)</f>
        <v>0</v>
      </c>
      <c r="M76" s="504">
        <f>IFERROR(__xludf.DUMMYFUNCTION("""COMPUTED_VALUE"""),0.0)</f>
        <v>0</v>
      </c>
      <c r="N76" s="504">
        <f>IFERROR(__xludf.DUMMYFUNCTION("""COMPUTED_VALUE"""),0.0)</f>
        <v>0</v>
      </c>
      <c r="O76" s="62"/>
      <c r="P76" s="62"/>
      <c r="Q76" s="62"/>
      <c r="R76" s="62"/>
      <c r="S76" s="62"/>
      <c r="T76" s="62"/>
      <c r="U76" s="62"/>
      <c r="V76" s="62"/>
      <c r="W76" s="62"/>
      <c r="X76" s="62"/>
      <c r="Y76" s="62"/>
      <c r="Z76" s="62"/>
    </row>
    <row r="77">
      <c r="A77" s="62"/>
      <c r="B77" s="552" t="str">
        <f>IFERROR(__xludf.DUMMYFUNCTION("""COMPUTED_VALUE"""),"SMS")</f>
        <v>SMS</v>
      </c>
      <c r="C77" s="62"/>
      <c r="D77" s="62"/>
      <c r="E77" s="62"/>
      <c r="F77" s="62"/>
      <c r="G77" s="504">
        <f>IFERROR(__xludf.DUMMYFUNCTION("""COMPUTED_VALUE"""),0.0)</f>
        <v>0</v>
      </c>
      <c r="H77" s="62"/>
      <c r="I77" s="62"/>
      <c r="J77" s="62"/>
      <c r="K77" s="62"/>
      <c r="L77" s="504">
        <f>IFERROR(__xludf.DUMMYFUNCTION("""COMPUTED_VALUE"""),0.0)</f>
        <v>0</v>
      </c>
      <c r="M77" s="504">
        <f>IFERROR(__xludf.DUMMYFUNCTION("""COMPUTED_VALUE"""),0.0)</f>
        <v>0</v>
      </c>
      <c r="N77" s="504">
        <f>IFERROR(__xludf.DUMMYFUNCTION("""COMPUTED_VALUE"""),0.0)</f>
        <v>0</v>
      </c>
      <c r="O77" s="62"/>
      <c r="P77" s="62"/>
      <c r="Q77" s="62" t="str">
        <f>IFERROR(__xludf.DUMMYFUNCTION("""COMPUTED_VALUE"""),"リストE")</f>
        <v>リストE</v>
      </c>
      <c r="R77" s="504">
        <f>IFERROR(__xludf.DUMMYFUNCTION("""COMPUTED_VALUE"""),0.11030754747269522)</f>
        <v>0.1103075475</v>
      </c>
      <c r="S77" s="504">
        <f>IFERROR(__xludf.DUMMYFUNCTION("""COMPUTED_VALUE"""),0.024183356342980755)</f>
        <v>0.02418335634</v>
      </c>
      <c r="T77" s="504">
        <f>IFERROR(__xludf.DUMMYFUNCTION("""COMPUTED_VALUE"""),0.013121454788121455)</f>
        <v>0.01312145479</v>
      </c>
      <c r="U77" s="62"/>
      <c r="V77" s="62"/>
      <c r="W77" s="62"/>
      <c r="X77" s="62"/>
      <c r="Y77" s="62"/>
      <c r="Z77" s="62"/>
    </row>
    <row r="78">
      <c r="A78" s="62"/>
      <c r="B78" s="62" t="str">
        <f>IFERROR(__xludf.DUMMYFUNCTION("""COMPUTED_VALUE"""),"金子")</f>
        <v>金子</v>
      </c>
      <c r="C78" s="62"/>
      <c r="D78" s="62"/>
      <c r="E78" s="62"/>
      <c r="F78" s="62"/>
      <c r="G78" s="504">
        <f>IFERROR(__xludf.DUMMYFUNCTION("""COMPUTED_VALUE"""),0.0)</f>
        <v>0</v>
      </c>
      <c r="H78" s="62"/>
      <c r="I78" s="62"/>
      <c r="J78" s="62"/>
      <c r="K78" s="62"/>
      <c r="L78" s="504">
        <f>IFERROR(__xludf.DUMMYFUNCTION("""COMPUTED_VALUE"""),0.0)</f>
        <v>0</v>
      </c>
      <c r="M78" s="504">
        <f>IFERROR(__xludf.DUMMYFUNCTION("""COMPUTED_VALUE"""),0.0)</f>
        <v>0</v>
      </c>
      <c r="N78" s="504">
        <f>IFERROR(__xludf.DUMMYFUNCTION("""COMPUTED_VALUE"""),0.0)</f>
        <v>0</v>
      </c>
      <c r="O78" s="62"/>
      <c r="P78" s="62"/>
      <c r="Q78" s="62"/>
      <c r="R78" s="62"/>
      <c r="S78" s="62"/>
      <c r="T78" s="62"/>
      <c r="U78" s="62"/>
      <c r="V78" s="62"/>
      <c r="W78" s="62"/>
      <c r="X78" s="62"/>
      <c r="Y78" s="62"/>
      <c r="Z78" s="62"/>
    </row>
    <row r="79">
      <c r="A79" s="62"/>
      <c r="B79" s="62"/>
      <c r="C79" s="62"/>
      <c r="D79" s="62"/>
      <c r="E79" s="62"/>
      <c r="F79" s="62"/>
      <c r="G79" s="504">
        <f>IFERROR(__xludf.DUMMYFUNCTION("""COMPUTED_VALUE"""),0.0)</f>
        <v>0</v>
      </c>
      <c r="H79" s="62"/>
      <c r="I79" s="62"/>
      <c r="J79" s="62"/>
      <c r="K79" s="62"/>
      <c r="L79" s="504">
        <f>IFERROR(__xludf.DUMMYFUNCTION("""COMPUTED_VALUE"""),0.0)</f>
        <v>0</v>
      </c>
      <c r="M79" s="504">
        <f>IFERROR(__xludf.DUMMYFUNCTION("""COMPUTED_VALUE"""),0.0)</f>
        <v>0</v>
      </c>
      <c r="N79" s="504">
        <f>IFERROR(__xludf.DUMMYFUNCTION("""COMPUTED_VALUE"""),0.0)</f>
        <v>0</v>
      </c>
      <c r="O79" s="62"/>
      <c r="P79" s="62"/>
      <c r="Q79" s="62" t="str">
        <f>IFERROR(__xludf.DUMMYFUNCTION("""COMPUTED_VALUE"""),"リストBE")</f>
        <v>リストBE</v>
      </c>
      <c r="R79" s="504">
        <f>IFERROR(__xludf.DUMMYFUNCTION("""COMPUTED_VALUE"""),0.0)</f>
        <v>0</v>
      </c>
      <c r="S79" s="504">
        <f>IFERROR(__xludf.DUMMYFUNCTION("""COMPUTED_VALUE"""),0.0)</f>
        <v>0</v>
      </c>
      <c r="T79" s="504">
        <f>IFERROR(__xludf.DUMMYFUNCTION("""COMPUTED_VALUE"""),0.0)</f>
        <v>0</v>
      </c>
      <c r="U79" s="62"/>
      <c r="V79" s="62"/>
      <c r="W79" s="62"/>
      <c r="X79" s="62"/>
      <c r="Y79" s="62"/>
      <c r="Z79" s="62"/>
    </row>
    <row r="80">
      <c r="A80" s="62"/>
      <c r="B80" s="552" t="str">
        <f>IFERROR(__xludf.DUMMYFUNCTION("""COMPUTED_VALUE"""),"SMS")</f>
        <v>SMS</v>
      </c>
      <c r="C80" s="62"/>
      <c r="D80" s="62"/>
      <c r="E80" s="62"/>
      <c r="F80" s="62"/>
      <c r="G80" s="504">
        <f>IFERROR(__xludf.DUMMYFUNCTION("""COMPUTED_VALUE"""),0.0)</f>
        <v>0</v>
      </c>
      <c r="H80" s="62"/>
      <c r="I80" s="62">
        <f>IFERROR(__xludf.DUMMYFUNCTION("""COMPUTED_VALUE"""),1.0)</f>
        <v>1</v>
      </c>
      <c r="J80" s="552">
        <f>IFERROR(__xludf.DUMMYFUNCTION("""COMPUTED_VALUE"""),50000.0)</f>
        <v>50000</v>
      </c>
      <c r="K80" s="62"/>
      <c r="L80" s="504">
        <f>IFERROR(__xludf.DUMMYFUNCTION("""COMPUTED_VALUE"""),0.0)</f>
        <v>0</v>
      </c>
      <c r="M80" s="504">
        <f>IFERROR(__xludf.DUMMYFUNCTION("""COMPUTED_VALUE"""),0.0)</f>
        <v>0</v>
      </c>
      <c r="N80" s="504">
        <f>IFERROR(__xludf.DUMMYFUNCTION("""COMPUTED_VALUE"""),0.0)</f>
        <v>0</v>
      </c>
      <c r="O80" s="62"/>
      <c r="P80" s="62"/>
      <c r="Q80" s="62"/>
      <c r="R80" s="62"/>
      <c r="S80" s="62"/>
      <c r="T80" s="62"/>
      <c r="U80" s="62"/>
      <c r="V80" s="62"/>
      <c r="W80" s="62"/>
      <c r="X80" s="62"/>
      <c r="Y80" s="62"/>
      <c r="Z80" s="62"/>
    </row>
    <row r="81">
      <c r="A81" s="62"/>
      <c r="B81" s="62" t="str">
        <f>IFERROR(__xludf.DUMMYFUNCTION("""COMPUTED_VALUE"""),"紹介")</f>
        <v>紹介</v>
      </c>
      <c r="C81" s="62"/>
      <c r="D81" s="62"/>
      <c r="E81" s="62"/>
      <c r="F81" s="62"/>
      <c r="G81" s="504">
        <f>IFERROR(__xludf.DUMMYFUNCTION("""COMPUTED_VALUE"""),0.0)</f>
        <v>0</v>
      </c>
      <c r="H81" s="62"/>
      <c r="I81" s="62"/>
      <c r="J81" s="62"/>
      <c r="K81" s="62"/>
      <c r="L81" s="504">
        <f>IFERROR(__xludf.DUMMYFUNCTION("""COMPUTED_VALUE"""),0.0)</f>
        <v>0</v>
      </c>
      <c r="M81" s="504">
        <f>IFERROR(__xludf.DUMMYFUNCTION("""COMPUTED_VALUE"""),0.0)</f>
        <v>0</v>
      </c>
      <c r="N81" s="504">
        <f>IFERROR(__xludf.DUMMYFUNCTION("""COMPUTED_VALUE"""),0.0)</f>
        <v>0</v>
      </c>
      <c r="O81" s="62"/>
      <c r="P81" s="62"/>
      <c r="Q81" s="62" t="str">
        <f>IFERROR(__xludf.DUMMYFUNCTION("""COMPUTED_VALUE"""),"リストC")</f>
        <v>リストC</v>
      </c>
      <c r="R81" s="504">
        <f>IFERROR(__xludf.DUMMYFUNCTION("""COMPUTED_VALUE"""),0.11877046562318683)</f>
        <v>0.1187704656</v>
      </c>
      <c r="S81" s="504">
        <f>IFERROR(__xludf.DUMMYFUNCTION("""COMPUTED_VALUE"""),0.005181128813978183)</f>
        <v>0.005181128814</v>
      </c>
      <c r="T81" s="504">
        <f>IFERROR(__xludf.DUMMYFUNCTION("""COMPUTED_VALUE"""),0.00841737476867074)</f>
        <v>0.008417374769</v>
      </c>
      <c r="U81" s="62"/>
      <c r="V81" s="62"/>
      <c r="W81" s="62"/>
      <c r="X81" s="62"/>
      <c r="Y81" s="62"/>
      <c r="Z81" s="62"/>
    </row>
    <row r="82">
      <c r="A82" s="62"/>
      <c r="B82" s="62" t="str">
        <f>IFERROR(__xludf.DUMMYFUNCTION("""COMPUTED_VALUE"""),"仁子")</f>
        <v>仁子</v>
      </c>
      <c r="C82" s="62"/>
      <c r="D82" s="62"/>
      <c r="E82" s="62"/>
      <c r="F82" s="62"/>
      <c r="G82" s="504">
        <f>IFERROR(__xludf.DUMMYFUNCTION("""COMPUTED_VALUE"""),0.0)</f>
        <v>0</v>
      </c>
      <c r="H82" s="62"/>
      <c r="I82" s="62"/>
      <c r="J82" s="62"/>
      <c r="K82" s="62"/>
      <c r="L82" s="504">
        <f>IFERROR(__xludf.DUMMYFUNCTION("""COMPUTED_VALUE"""),0.0)</f>
        <v>0</v>
      </c>
      <c r="M82" s="504">
        <f>IFERROR(__xludf.DUMMYFUNCTION("""COMPUTED_VALUE"""),0.0)</f>
        <v>0</v>
      </c>
      <c r="N82" s="504">
        <f>IFERROR(__xludf.DUMMYFUNCTION("""COMPUTED_VALUE"""),0.0)</f>
        <v>0</v>
      </c>
      <c r="O82" s="62"/>
      <c r="P82" s="62"/>
      <c r="Q82" s="62"/>
      <c r="R82" s="62"/>
      <c r="S82" s="62"/>
      <c r="T82" s="62"/>
      <c r="U82" s="62"/>
      <c r="V82" s="62"/>
      <c r="W82" s="62"/>
      <c r="X82" s="62"/>
      <c r="Y82" s="62"/>
      <c r="Z82" s="62"/>
    </row>
    <row r="83">
      <c r="A83" s="62"/>
      <c r="B83" s="62" t="str">
        <f>IFERROR(__xludf.DUMMYFUNCTION("""COMPUTED_VALUE"""),"鈴木")</f>
        <v>鈴木</v>
      </c>
      <c r="C83" s="62"/>
      <c r="D83" s="62"/>
      <c r="E83" s="62"/>
      <c r="F83" s="62"/>
      <c r="G83" s="504">
        <f>IFERROR(__xludf.DUMMYFUNCTION("""COMPUTED_VALUE"""),0.0)</f>
        <v>0</v>
      </c>
      <c r="H83" s="62"/>
      <c r="I83" s="62"/>
      <c r="J83" s="62"/>
      <c r="K83" s="62"/>
      <c r="L83" s="504">
        <f>IFERROR(__xludf.DUMMYFUNCTION("""COMPUTED_VALUE"""),0.0)</f>
        <v>0</v>
      </c>
      <c r="M83" s="504">
        <f>IFERROR(__xludf.DUMMYFUNCTION("""COMPUTED_VALUE"""),0.0)</f>
        <v>0</v>
      </c>
      <c r="N83" s="504">
        <f>IFERROR(__xludf.DUMMYFUNCTION("""COMPUTED_VALUE"""),0.0)</f>
        <v>0</v>
      </c>
      <c r="O83" s="62"/>
      <c r="P83" s="62"/>
      <c r="Q83" s="62"/>
      <c r="R83" s="62"/>
      <c r="S83" s="62"/>
      <c r="T83" s="62"/>
      <c r="U83" s="62"/>
      <c r="V83" s="62"/>
      <c r="W83" s="62"/>
      <c r="X83" s="62"/>
      <c r="Y83" s="62"/>
      <c r="Z83" s="62"/>
    </row>
    <row r="84">
      <c r="A84" s="62"/>
      <c r="B84" s="62" t="str">
        <f>IFERROR(__xludf.DUMMYFUNCTION("""COMPUTED_VALUE"""),"仲間")</f>
        <v>仲間</v>
      </c>
      <c r="C84" s="62"/>
      <c r="D84" s="62"/>
      <c r="E84" s="62"/>
      <c r="F84" s="62"/>
      <c r="G84" s="504">
        <f>IFERROR(__xludf.DUMMYFUNCTION("""COMPUTED_VALUE"""),0.0)</f>
        <v>0</v>
      </c>
      <c r="H84" s="62"/>
      <c r="I84" s="62"/>
      <c r="J84" s="62"/>
      <c r="K84" s="62"/>
      <c r="L84" s="504">
        <f>IFERROR(__xludf.DUMMYFUNCTION("""COMPUTED_VALUE"""),0.0)</f>
        <v>0</v>
      </c>
      <c r="M84" s="504">
        <f>IFERROR(__xludf.DUMMYFUNCTION("""COMPUTED_VALUE"""),0.0)</f>
        <v>0</v>
      </c>
      <c r="N84" s="504">
        <f>IFERROR(__xludf.DUMMYFUNCTION("""COMPUTED_VALUE"""),0.0)</f>
        <v>0</v>
      </c>
      <c r="O84" s="62"/>
      <c r="P84" s="62"/>
      <c r="Q84" s="62"/>
      <c r="R84" s="62" t="str">
        <f>IFERROR(__xludf.DUMMYFUNCTION("""COMPUTED_VALUE"""),"打電件数")</f>
        <v>打電件数</v>
      </c>
      <c r="S84" s="62" t="str">
        <f>IFERROR(__xludf.DUMMYFUNCTION("""COMPUTED_VALUE"""),"着電件数")</f>
        <v>着電件数</v>
      </c>
      <c r="T84" s="62" t="str">
        <f>IFERROR(__xludf.DUMMYFUNCTION("""COMPUTED_VALUE"""),"アポ(LINE)")</f>
        <v>アポ(LINE)</v>
      </c>
      <c r="U84" s="62" t="str">
        <f>IFERROR(__xludf.DUMMYFUNCTION("""COMPUTED_VALUE"""),"LINE誘導数")</f>
        <v>LINE誘導数</v>
      </c>
      <c r="V84" s="62"/>
      <c r="W84" s="62"/>
      <c r="X84" s="62"/>
      <c r="Y84" s="62"/>
      <c r="Z84" s="62"/>
    </row>
    <row r="85">
      <c r="A85" s="62"/>
      <c r="B85" s="62"/>
      <c r="C85" s="62"/>
      <c r="D85" s="62"/>
      <c r="E85" s="62"/>
      <c r="F85" s="62"/>
      <c r="G85" s="504">
        <f>IFERROR(__xludf.DUMMYFUNCTION("""COMPUTED_VALUE"""),0.0)</f>
        <v>0</v>
      </c>
      <c r="H85" s="62"/>
      <c r="I85" s="62"/>
      <c r="J85" s="62"/>
      <c r="K85" s="62"/>
      <c r="L85" s="504">
        <f>IFERROR(__xludf.DUMMYFUNCTION("""COMPUTED_VALUE"""),0.0)</f>
        <v>0</v>
      </c>
      <c r="M85" s="504">
        <f>IFERROR(__xludf.DUMMYFUNCTION("""COMPUTED_VALUE"""),0.0)</f>
        <v>0</v>
      </c>
      <c r="N85" s="504">
        <f>IFERROR(__xludf.DUMMYFUNCTION("""COMPUTED_VALUE"""),0.0)</f>
        <v>0</v>
      </c>
      <c r="O85" s="62"/>
      <c r="P85" s="62"/>
      <c r="Q85" s="62" t="str">
        <f>IFERROR(__xludf.DUMMYFUNCTION("""COMPUTED_VALUE"""),"あり")</f>
        <v>あり</v>
      </c>
      <c r="R85" s="62">
        <f>IFERROR(__xludf.DUMMYFUNCTION("""COMPUTED_VALUE"""),1094.0)</f>
        <v>1094</v>
      </c>
      <c r="S85" s="62">
        <f>IFERROR(__xludf.DUMMYFUNCTION("""COMPUTED_VALUE"""),288.0)</f>
        <v>288</v>
      </c>
      <c r="T85" s="62">
        <f>IFERROR(__xludf.DUMMYFUNCTION("""COMPUTED_VALUE"""),47.0)</f>
        <v>47</v>
      </c>
      <c r="U85" s="62">
        <f>IFERROR(__xludf.DUMMYFUNCTION("""COMPUTED_VALUE"""),69.0)</f>
        <v>69</v>
      </c>
      <c r="V85" s="62"/>
      <c r="W85" s="62"/>
      <c r="X85" s="62"/>
      <c r="Y85" s="62"/>
      <c r="Z85" s="62"/>
    </row>
    <row r="86">
      <c r="A86" s="62"/>
      <c r="B86" s="62" t="str">
        <f>IFERROR(__xludf.DUMMYFUNCTION("""COMPUTED_VALUE"""),"合計")</f>
        <v>合計</v>
      </c>
      <c r="C86" s="62">
        <f>IFERROR(__xludf.DUMMYFUNCTION("""COMPUTED_VALUE"""),0.0)</f>
        <v>0</v>
      </c>
      <c r="D86" s="62">
        <f>IFERROR(__xludf.DUMMYFUNCTION("""COMPUTED_VALUE"""),86.0)</f>
        <v>86</v>
      </c>
      <c r="E86" s="62">
        <f>IFERROR(__xludf.DUMMYFUNCTION("""COMPUTED_VALUE"""),0.0)</f>
        <v>0</v>
      </c>
      <c r="F86" s="62">
        <f>IFERROR(__xludf.DUMMYFUNCTION("""COMPUTED_VALUE"""),78.0)</f>
        <v>78</v>
      </c>
      <c r="G86" s="504">
        <f>IFERROR(__xludf.DUMMYFUNCTION("""COMPUTED_VALUE"""),0.0)</f>
        <v>0</v>
      </c>
      <c r="H86" s="62">
        <f>IFERROR(__xludf.DUMMYFUNCTION("""COMPUTED_VALUE"""),2.0)</f>
        <v>2</v>
      </c>
      <c r="I86" s="62">
        <f>IFERROR(__xludf.DUMMYFUNCTION("""COMPUTED_VALUE"""),3.0)</f>
        <v>3</v>
      </c>
      <c r="J86" s="552">
        <f>IFERROR(__xludf.DUMMYFUNCTION("""COMPUTED_VALUE"""),50000.0)</f>
        <v>50000</v>
      </c>
      <c r="K86" s="62">
        <f>IFERROR(__xludf.DUMMYFUNCTION("""COMPUTED_VALUE"""),0.0)</f>
        <v>0</v>
      </c>
      <c r="L86" s="504">
        <f>IFERROR(__xludf.DUMMYFUNCTION("""COMPUTED_VALUE"""),0.0)</f>
        <v>0</v>
      </c>
      <c r="M86" s="504">
        <f>IFERROR(__xludf.DUMMYFUNCTION("""COMPUTED_VALUE"""),0.0)</f>
        <v>0</v>
      </c>
      <c r="N86" s="504">
        <f>IFERROR(__xludf.DUMMYFUNCTION("""COMPUTED_VALUE"""),1.5)</f>
        <v>1.5</v>
      </c>
      <c r="O86" s="62"/>
      <c r="P86" s="62"/>
      <c r="Q86" s="62" t="str">
        <f>IFERROR(__xludf.DUMMYFUNCTION("""COMPUTED_VALUE"""),"しょうま")</f>
        <v>しょうま</v>
      </c>
      <c r="R86" s="62">
        <f>IFERROR(__xludf.DUMMYFUNCTION("""COMPUTED_VALUE"""),4103.0)</f>
        <v>4103</v>
      </c>
      <c r="S86" s="62">
        <f>IFERROR(__xludf.DUMMYFUNCTION("""COMPUTED_VALUE"""),448.0)</f>
        <v>448</v>
      </c>
      <c r="T86" s="62">
        <f>IFERROR(__xludf.DUMMYFUNCTION("""COMPUTED_VALUE"""),45.0)</f>
        <v>45</v>
      </c>
      <c r="U86" s="62">
        <f>IFERROR(__xludf.DUMMYFUNCTION("""COMPUTED_VALUE"""),42.0)</f>
        <v>42</v>
      </c>
      <c r="V86" s="62"/>
      <c r="W86" s="62"/>
      <c r="X86" s="62"/>
      <c r="Y86" s="62"/>
      <c r="Z86" s="62"/>
    </row>
    <row r="87">
      <c r="A87" s="62" t="str">
        <f>IFERROR(__xludf.DUMMYFUNCTION("""COMPUTED_VALUE"""),"日付")</f>
        <v>日付</v>
      </c>
      <c r="B87" s="62" t="str">
        <f>IFERROR(__xludf.DUMMYFUNCTION("""COMPUTED_VALUE"""),"名前")</f>
        <v>名前</v>
      </c>
      <c r="C87" s="62" t="str">
        <f>IFERROR(__xludf.DUMMYFUNCTION("""COMPUTED_VALUE"""),"打電件数")</f>
        <v>打電件数</v>
      </c>
      <c r="D87" s="62" t="str">
        <f>IFERROR(__xludf.DUMMYFUNCTION("""COMPUTED_VALUE"""),"着電件数")</f>
        <v>着電件数</v>
      </c>
      <c r="E87" s="62" t="str">
        <f>IFERROR(__xludf.DUMMYFUNCTION("""COMPUTED_VALUE"""),"折り返し件数")</f>
        <v>折り返し件数</v>
      </c>
      <c r="F87" s="62" t="str">
        <f>IFERROR(__xludf.DUMMYFUNCTION("""COMPUTED_VALUE"""),"拒否")</f>
        <v>拒否</v>
      </c>
      <c r="G87" s="62" t="str">
        <f>IFERROR(__xludf.DUMMYFUNCTION("""COMPUTED_VALUE"""),"着電率")</f>
        <v>着電率</v>
      </c>
      <c r="H87" s="62" t="str">
        <f>IFERROR(__xludf.DUMMYFUNCTION("""COMPUTED_VALUE"""),"LINE登録")</f>
        <v>LINE登録</v>
      </c>
      <c r="I87" s="62" t="str">
        <f>IFERROR(__xludf.DUMMYFUNCTION("""COMPUTED_VALUE"""),"アカウント作成")</f>
        <v>アカウント作成</v>
      </c>
      <c r="J87" s="552" t="str">
        <f>IFERROR(__xludf.DUMMYFUNCTION("""COMPUTED_VALUE"""),"新規信用枠額")</f>
        <v>新規信用枠額</v>
      </c>
      <c r="K87" s="62" t="str">
        <f>IFERROR(__xludf.DUMMYFUNCTION("""COMPUTED_VALUE"""),"リスト死回線数")</f>
        <v>リスト死回線数</v>
      </c>
      <c r="L87" s="62" t="str">
        <f>IFERROR(__xludf.DUMMYFUNCTION("""COMPUTED_VALUE"""),"LINE率(打電から)")</f>
        <v>LINE率(打電から)</v>
      </c>
      <c r="M87" s="62" t="str">
        <f>IFERROR(__xludf.DUMMYFUNCTION("""COMPUTED_VALUE"""),"アカウント作成率(打電から)")</f>
        <v>アカウント作成率(打電から)</v>
      </c>
      <c r="N87" s="62" t="str">
        <f>IFERROR(__xludf.DUMMYFUNCTION("""COMPUTED_VALUE"""),"アカウント作成率(LINEから)")</f>
        <v>アカウント作成率(LINEから)</v>
      </c>
      <c r="O87" s="62" t="str">
        <f>IFERROR(__xludf.DUMMYFUNCTION("""COMPUTED_VALUE"""),"リスト名")</f>
        <v>リスト名</v>
      </c>
      <c r="P87" s="553" t="str">
        <f>IFERROR(__xludf.DUMMYFUNCTION("""COMPUTED_VALUE"""),"日本基準")</f>
        <v>日本基準</v>
      </c>
      <c r="Q87" s="62" t="str">
        <f>IFERROR(__xludf.DUMMYFUNCTION("""COMPUTED_VALUE"""),"みわ")</f>
        <v>みわ</v>
      </c>
      <c r="R87" s="62">
        <f>IFERROR(__xludf.DUMMYFUNCTION("""COMPUTED_VALUE"""),0.0)</f>
        <v>0</v>
      </c>
      <c r="S87" s="62">
        <f>IFERROR(__xludf.DUMMYFUNCTION("""COMPUTED_VALUE"""),0.0)</f>
        <v>0</v>
      </c>
      <c r="T87" s="62">
        <f>IFERROR(__xludf.DUMMYFUNCTION("""COMPUTED_VALUE"""),0.0)</f>
        <v>0</v>
      </c>
      <c r="U87" s="62">
        <f>IFERROR(__xludf.DUMMYFUNCTION("""COMPUTED_VALUE"""),0.0)</f>
        <v>0</v>
      </c>
      <c r="V87" s="62"/>
      <c r="W87" s="62"/>
      <c r="X87" s="62"/>
      <c r="Y87" s="62"/>
      <c r="Z87" s="62"/>
    </row>
    <row r="88">
      <c r="A88" s="556">
        <f>IFERROR(__xludf.DUMMYFUNCTION("""COMPUTED_VALUE"""),45905.0)</f>
        <v>45905</v>
      </c>
      <c r="B88" s="62" t="str">
        <f>IFERROR(__xludf.DUMMYFUNCTION("""COMPUTED_VALUE"""),"あり")</f>
        <v>あり</v>
      </c>
      <c r="C88" s="62"/>
      <c r="D88" s="62"/>
      <c r="E88" s="62"/>
      <c r="F88" s="62"/>
      <c r="G88" s="504">
        <f>IFERROR(__xludf.DUMMYFUNCTION("""COMPUTED_VALUE"""),0.0)</f>
        <v>0</v>
      </c>
      <c r="H88" s="62"/>
      <c r="I88" s="62"/>
      <c r="J88" s="62"/>
      <c r="K88" s="62"/>
      <c r="L88" s="504">
        <f>IFERROR(__xludf.DUMMYFUNCTION("""COMPUTED_VALUE"""),0.0)</f>
        <v>0</v>
      </c>
      <c r="M88" s="504">
        <f>IFERROR(__xludf.DUMMYFUNCTION("""COMPUTED_VALUE"""),0.0)</f>
        <v>0</v>
      </c>
      <c r="N88" s="504">
        <f>IFERROR(__xludf.DUMMYFUNCTION("""COMPUTED_VALUE"""),0.0)</f>
        <v>0</v>
      </c>
      <c r="O88" s="62"/>
      <c r="P88" s="62"/>
      <c r="Q88" s="62" t="str">
        <f>IFERROR(__xludf.DUMMYFUNCTION("""COMPUTED_VALUE"""),"ジョーナ")</f>
        <v>ジョーナ</v>
      </c>
      <c r="R88" s="62">
        <f>IFERROR(__xludf.DUMMYFUNCTION("""COMPUTED_VALUE"""),0.0)</f>
        <v>0</v>
      </c>
      <c r="S88" s="62">
        <f>IFERROR(__xludf.DUMMYFUNCTION("""COMPUTED_VALUE"""),0.0)</f>
        <v>0</v>
      </c>
      <c r="T88" s="62">
        <f>IFERROR(__xludf.DUMMYFUNCTION("""COMPUTED_VALUE"""),0.0)</f>
        <v>0</v>
      </c>
      <c r="U88" s="62">
        <f>IFERROR(__xludf.DUMMYFUNCTION("""COMPUTED_VALUE"""),0.0)</f>
        <v>0</v>
      </c>
      <c r="V88" s="62"/>
      <c r="W88" s="62"/>
      <c r="X88" s="62"/>
      <c r="Y88" s="62"/>
      <c r="Z88" s="62"/>
    </row>
    <row r="89">
      <c r="A89" s="62"/>
      <c r="B89" s="62" t="str">
        <f>IFERROR(__xludf.DUMMYFUNCTION("""COMPUTED_VALUE"""),"しょうま")</f>
        <v>しょうま</v>
      </c>
      <c r="C89" s="62"/>
      <c r="D89" s="62"/>
      <c r="E89" s="62"/>
      <c r="F89" s="62"/>
      <c r="G89" s="504">
        <f>IFERROR(__xludf.DUMMYFUNCTION("""COMPUTED_VALUE"""),0.0)</f>
        <v>0</v>
      </c>
      <c r="H89" s="62"/>
      <c r="I89" s="62"/>
      <c r="J89" s="62"/>
      <c r="K89" s="62"/>
      <c r="L89" s="504">
        <f>IFERROR(__xludf.DUMMYFUNCTION("""COMPUTED_VALUE"""),0.0)</f>
        <v>0</v>
      </c>
      <c r="M89" s="504">
        <f>IFERROR(__xludf.DUMMYFUNCTION("""COMPUTED_VALUE"""),0.0)</f>
        <v>0</v>
      </c>
      <c r="N89" s="504">
        <f>IFERROR(__xludf.DUMMYFUNCTION("""COMPUTED_VALUE"""),0.0)</f>
        <v>0</v>
      </c>
      <c r="O89" s="62"/>
      <c r="P89" s="62"/>
      <c r="Q89" s="62" t="str">
        <f>IFERROR(__xludf.DUMMYFUNCTION("""COMPUTED_VALUE"""),"武田")</f>
        <v>武田</v>
      </c>
      <c r="R89" s="62">
        <f>IFERROR(__xludf.DUMMYFUNCTION("""COMPUTED_VALUE"""),0.0)</f>
        <v>0</v>
      </c>
      <c r="S89" s="62">
        <f>IFERROR(__xludf.DUMMYFUNCTION("""COMPUTED_VALUE"""),0.0)</f>
        <v>0</v>
      </c>
      <c r="T89" s="62">
        <f>IFERROR(__xludf.DUMMYFUNCTION("""COMPUTED_VALUE"""),0.0)</f>
        <v>0</v>
      </c>
      <c r="U89" s="62">
        <f>IFERROR(__xludf.DUMMYFUNCTION("""COMPUTED_VALUE"""),0.0)</f>
        <v>0</v>
      </c>
      <c r="V89" s="62"/>
      <c r="W89" s="62"/>
      <c r="X89" s="62"/>
      <c r="Y89" s="62"/>
      <c r="Z89" s="62"/>
    </row>
    <row r="90">
      <c r="A90" s="62"/>
      <c r="B90" s="62"/>
      <c r="C90" s="62"/>
      <c r="D90" s="62"/>
      <c r="E90" s="62"/>
      <c r="F90" s="62"/>
      <c r="G90" s="504">
        <f>IFERROR(__xludf.DUMMYFUNCTION("""COMPUTED_VALUE"""),0.0)</f>
        <v>0</v>
      </c>
      <c r="H90" s="62"/>
      <c r="I90" s="62"/>
      <c r="J90" s="62"/>
      <c r="K90" s="62"/>
      <c r="L90" s="504">
        <f>IFERROR(__xludf.DUMMYFUNCTION("""COMPUTED_VALUE"""),0.0)</f>
        <v>0</v>
      </c>
      <c r="M90" s="504">
        <f>IFERROR(__xludf.DUMMYFUNCTION("""COMPUTED_VALUE"""),0.0)</f>
        <v>0</v>
      </c>
      <c r="N90" s="504">
        <f>IFERROR(__xludf.DUMMYFUNCTION("""COMPUTED_VALUE"""),0.0)</f>
        <v>0</v>
      </c>
      <c r="O90" s="62"/>
      <c r="P90" s="62"/>
      <c r="Q90" s="62" t="str">
        <f>IFERROR(__xludf.DUMMYFUNCTION("""COMPUTED_VALUE"""),"山本")</f>
        <v>山本</v>
      </c>
      <c r="R90" s="62">
        <f>IFERROR(__xludf.DUMMYFUNCTION("""COMPUTED_VALUE"""),0.0)</f>
        <v>0</v>
      </c>
      <c r="S90" s="62">
        <f>IFERROR(__xludf.DUMMYFUNCTION("""COMPUTED_VALUE"""),0.0)</f>
        <v>0</v>
      </c>
      <c r="T90" s="62">
        <f>IFERROR(__xludf.DUMMYFUNCTION("""COMPUTED_VALUE"""),0.0)</f>
        <v>0</v>
      </c>
      <c r="U90" s="62">
        <f>IFERROR(__xludf.DUMMYFUNCTION("""COMPUTED_VALUE"""),0.0)</f>
        <v>0</v>
      </c>
      <c r="V90" s="62"/>
      <c r="W90" s="62"/>
      <c r="X90" s="62"/>
      <c r="Y90" s="62"/>
      <c r="Z90" s="62"/>
    </row>
    <row r="91">
      <c r="A91" s="62"/>
      <c r="B91" s="62" t="str">
        <f>IFERROR(__xludf.DUMMYFUNCTION("""COMPUTED_VALUE"""),"ジョーナ")</f>
        <v>ジョーナ</v>
      </c>
      <c r="C91" s="62"/>
      <c r="D91" s="62"/>
      <c r="E91" s="62"/>
      <c r="F91" s="62"/>
      <c r="G91" s="504">
        <f>IFERROR(__xludf.DUMMYFUNCTION("""COMPUTED_VALUE"""),0.0)</f>
        <v>0</v>
      </c>
      <c r="H91" s="62"/>
      <c r="I91" s="62"/>
      <c r="J91" s="62"/>
      <c r="K91" s="62"/>
      <c r="L91" s="504">
        <f>IFERROR(__xludf.DUMMYFUNCTION("""COMPUTED_VALUE"""),0.0)</f>
        <v>0</v>
      </c>
      <c r="M91" s="504">
        <f>IFERROR(__xludf.DUMMYFUNCTION("""COMPUTED_VALUE"""),0.0)</f>
        <v>0</v>
      </c>
      <c r="N91" s="504">
        <f>IFERROR(__xludf.DUMMYFUNCTION("""COMPUTED_VALUE"""),0.0)</f>
        <v>0</v>
      </c>
      <c r="O91" s="62"/>
      <c r="P91" s="62"/>
      <c r="Q91" s="62" t="str">
        <f>IFERROR(__xludf.DUMMYFUNCTION("""COMPUTED_VALUE"""),"大谷")</f>
        <v>大谷</v>
      </c>
      <c r="R91" s="62">
        <f>IFERROR(__xludf.DUMMYFUNCTION("""COMPUTED_VALUE"""),0.0)</f>
        <v>0</v>
      </c>
      <c r="S91" s="62">
        <f>IFERROR(__xludf.DUMMYFUNCTION("""COMPUTED_VALUE"""),0.0)</f>
        <v>0</v>
      </c>
      <c r="T91" s="62">
        <f>IFERROR(__xludf.DUMMYFUNCTION("""COMPUTED_VALUE"""),0.0)</f>
        <v>0</v>
      </c>
      <c r="U91" s="62">
        <f>IFERROR(__xludf.DUMMYFUNCTION("""COMPUTED_VALUE"""),0.0)</f>
        <v>0</v>
      </c>
      <c r="V91" s="62"/>
      <c r="W91" s="62"/>
      <c r="X91" s="62"/>
      <c r="Y91" s="62"/>
      <c r="Z91" s="62"/>
    </row>
    <row r="92">
      <c r="A92" s="62"/>
      <c r="B92" s="62" t="str">
        <f>IFERROR(__xludf.DUMMYFUNCTION("""COMPUTED_VALUE"""),"武田")</f>
        <v>武田</v>
      </c>
      <c r="C92" s="62"/>
      <c r="D92" s="62"/>
      <c r="E92" s="62"/>
      <c r="F92" s="62"/>
      <c r="G92" s="504">
        <f>IFERROR(__xludf.DUMMYFUNCTION("""COMPUTED_VALUE"""),0.0)</f>
        <v>0</v>
      </c>
      <c r="H92" s="62"/>
      <c r="I92" s="62"/>
      <c r="J92" s="62"/>
      <c r="K92" s="62"/>
      <c r="L92" s="504">
        <f>IFERROR(__xludf.DUMMYFUNCTION("""COMPUTED_VALUE"""),0.0)</f>
        <v>0</v>
      </c>
      <c r="M92" s="504">
        <f>IFERROR(__xludf.DUMMYFUNCTION("""COMPUTED_VALUE"""),0.0)</f>
        <v>0</v>
      </c>
      <c r="N92" s="504">
        <f>IFERROR(__xludf.DUMMYFUNCTION("""COMPUTED_VALUE"""),0.0)</f>
        <v>0</v>
      </c>
      <c r="O92" s="62"/>
      <c r="P92" s="62"/>
      <c r="Q92" s="62" t="str">
        <f>IFERROR(__xludf.DUMMYFUNCTION("""COMPUTED_VALUE"""),"高木")</f>
        <v>高木</v>
      </c>
      <c r="R92" s="62">
        <f>IFERROR(__xludf.DUMMYFUNCTION("""COMPUTED_VALUE"""),3224.0)</f>
        <v>3224</v>
      </c>
      <c r="S92" s="62">
        <f>IFERROR(__xludf.DUMMYFUNCTION("""COMPUTED_VALUE"""),796.0)</f>
        <v>796</v>
      </c>
      <c r="T92" s="62">
        <f>IFERROR(__xludf.DUMMYFUNCTION("""COMPUTED_VALUE"""),23.0)</f>
        <v>23</v>
      </c>
      <c r="U92" s="62">
        <f>IFERROR(__xludf.DUMMYFUNCTION("""COMPUTED_VALUE"""),29.0)</f>
        <v>29</v>
      </c>
      <c r="V92" s="62"/>
      <c r="W92" s="62"/>
      <c r="X92" s="62"/>
      <c r="Y92" s="62"/>
      <c r="Z92" s="62"/>
    </row>
    <row r="93">
      <c r="A93" s="62"/>
      <c r="B93" s="62" t="str">
        <f>IFERROR(__xludf.DUMMYFUNCTION("""COMPUTED_VALUE"""),"高木")</f>
        <v>高木</v>
      </c>
      <c r="C93" s="62">
        <f>IFERROR(__xludf.DUMMYFUNCTION("""COMPUTED_VALUE"""),79.0)</f>
        <v>79</v>
      </c>
      <c r="D93" s="62">
        <f>IFERROR(__xludf.DUMMYFUNCTION("""COMPUTED_VALUE"""),14.0)</f>
        <v>14</v>
      </c>
      <c r="E93" s="62"/>
      <c r="F93" s="62">
        <f>IFERROR(__xludf.DUMMYFUNCTION("""COMPUTED_VALUE"""),11.0)</f>
        <v>11</v>
      </c>
      <c r="G93" s="504">
        <f>IFERROR(__xludf.DUMMYFUNCTION("""COMPUTED_VALUE"""),0.17721518987341772)</f>
        <v>0.1772151899</v>
      </c>
      <c r="H93" s="62">
        <f>IFERROR(__xludf.DUMMYFUNCTION("""COMPUTED_VALUE"""),1.0)</f>
        <v>1</v>
      </c>
      <c r="I93" s="62"/>
      <c r="J93" s="62"/>
      <c r="K93" s="62"/>
      <c r="L93" s="504">
        <f>IFERROR(__xludf.DUMMYFUNCTION("""COMPUTED_VALUE"""),0.012658227848101266)</f>
        <v>0.01265822785</v>
      </c>
      <c r="M93" s="504">
        <f>IFERROR(__xludf.DUMMYFUNCTION("""COMPUTED_VALUE"""),0.0)</f>
        <v>0</v>
      </c>
      <c r="N93" s="504">
        <f>IFERROR(__xludf.DUMMYFUNCTION("""COMPUTED_VALUE"""),0.0)</f>
        <v>0</v>
      </c>
      <c r="O93" s="62"/>
      <c r="P93" s="62"/>
      <c r="Q93" s="62" t="str">
        <f>IFERROR(__xludf.DUMMYFUNCTION("""COMPUTED_VALUE"""),"サラ")</f>
        <v>サラ</v>
      </c>
      <c r="R93" s="62">
        <f>IFERROR(__xludf.DUMMYFUNCTION("""COMPUTED_VALUE"""),0.0)</f>
        <v>0</v>
      </c>
      <c r="S93" s="62">
        <f>IFERROR(__xludf.DUMMYFUNCTION("""COMPUTED_VALUE"""),0.0)</f>
        <v>0</v>
      </c>
      <c r="T93" s="62">
        <f>IFERROR(__xludf.DUMMYFUNCTION("""COMPUTED_VALUE"""),0.0)</f>
        <v>0</v>
      </c>
      <c r="U93" s="62">
        <f>IFERROR(__xludf.DUMMYFUNCTION("""COMPUTED_VALUE"""),0.0)</f>
        <v>0</v>
      </c>
      <c r="V93" s="62"/>
      <c r="W93" s="62"/>
      <c r="X93" s="62"/>
      <c r="Y93" s="62"/>
      <c r="Z93" s="62"/>
    </row>
    <row r="94">
      <c r="A94" s="62"/>
      <c r="B94" s="552" t="str">
        <f>IFERROR(__xludf.DUMMYFUNCTION("""COMPUTED_VALUE"""),"SMS")</f>
        <v>SMS</v>
      </c>
      <c r="C94" s="62"/>
      <c r="D94" s="62"/>
      <c r="E94" s="62"/>
      <c r="F94" s="62"/>
      <c r="G94" s="504">
        <f>IFERROR(__xludf.DUMMYFUNCTION("""COMPUTED_VALUE"""),0.0)</f>
        <v>0</v>
      </c>
      <c r="H94" s="62"/>
      <c r="I94" s="62"/>
      <c r="J94" s="62"/>
      <c r="K94" s="62"/>
      <c r="L94" s="504">
        <f>IFERROR(__xludf.DUMMYFUNCTION("""COMPUTED_VALUE"""),0.0)</f>
        <v>0</v>
      </c>
      <c r="M94" s="504">
        <f>IFERROR(__xludf.DUMMYFUNCTION("""COMPUTED_VALUE"""),0.0)</f>
        <v>0</v>
      </c>
      <c r="N94" s="504">
        <f>IFERROR(__xludf.DUMMYFUNCTION("""COMPUTED_VALUE"""),0.0)</f>
        <v>0</v>
      </c>
      <c r="O94" s="62"/>
      <c r="P94" s="62"/>
      <c r="Q94" s="62" t="str">
        <f>IFERROR(__xludf.DUMMYFUNCTION("""COMPUTED_VALUE"""),"小西")</f>
        <v>小西</v>
      </c>
      <c r="R94" s="62">
        <f>IFERROR(__xludf.DUMMYFUNCTION("""COMPUTED_VALUE"""),0.0)</f>
        <v>0</v>
      </c>
      <c r="S94" s="62">
        <f>IFERROR(__xludf.DUMMYFUNCTION("""COMPUTED_VALUE"""),0.0)</f>
        <v>0</v>
      </c>
      <c r="T94" s="62">
        <f>IFERROR(__xludf.DUMMYFUNCTION("""COMPUTED_VALUE"""),0.0)</f>
        <v>0</v>
      </c>
      <c r="U94" s="62">
        <f>IFERROR(__xludf.DUMMYFUNCTION("""COMPUTED_VALUE"""),0.0)</f>
        <v>0</v>
      </c>
      <c r="V94" s="62"/>
      <c r="W94" s="62"/>
      <c r="X94" s="62"/>
      <c r="Y94" s="62"/>
      <c r="Z94" s="62"/>
    </row>
    <row r="95">
      <c r="A95" s="62"/>
      <c r="B95" s="62" t="str">
        <f>IFERROR(__xludf.DUMMYFUNCTION("""COMPUTED_VALUE"""),"大谷")</f>
        <v>大谷</v>
      </c>
      <c r="C95" s="62"/>
      <c r="D95" s="62"/>
      <c r="E95" s="62"/>
      <c r="F95" s="62"/>
      <c r="G95" s="504">
        <f>IFERROR(__xludf.DUMMYFUNCTION("""COMPUTED_VALUE"""),0.0)</f>
        <v>0</v>
      </c>
      <c r="H95" s="62"/>
      <c r="I95" s="62"/>
      <c r="J95" s="62"/>
      <c r="K95" s="62"/>
      <c r="L95" s="504">
        <f>IFERROR(__xludf.DUMMYFUNCTION("""COMPUTED_VALUE"""),0.0)</f>
        <v>0</v>
      </c>
      <c r="M95" s="504">
        <f>IFERROR(__xludf.DUMMYFUNCTION("""COMPUTED_VALUE"""),0.0)</f>
        <v>0</v>
      </c>
      <c r="N95" s="504">
        <f>IFERROR(__xludf.DUMMYFUNCTION("""COMPUTED_VALUE"""),0.0)</f>
        <v>0</v>
      </c>
      <c r="O95" s="62"/>
      <c r="P95" s="62"/>
      <c r="Q95" s="62" t="str">
        <f>IFERROR(__xludf.DUMMYFUNCTION("""COMPUTED_VALUE"""),"森")</f>
        <v>森</v>
      </c>
      <c r="R95" s="62">
        <f>IFERROR(__xludf.DUMMYFUNCTION("""COMPUTED_VALUE"""),0.0)</f>
        <v>0</v>
      </c>
      <c r="S95" s="62">
        <f>IFERROR(__xludf.DUMMYFUNCTION("""COMPUTED_VALUE"""),0.0)</f>
        <v>0</v>
      </c>
      <c r="T95" s="62">
        <f>IFERROR(__xludf.DUMMYFUNCTION("""COMPUTED_VALUE"""),0.0)</f>
        <v>0</v>
      </c>
      <c r="U95" s="62">
        <f>IFERROR(__xludf.DUMMYFUNCTION("""COMPUTED_VALUE"""),0.0)</f>
        <v>0</v>
      </c>
      <c r="V95" s="62"/>
      <c r="W95" s="62"/>
      <c r="X95" s="62"/>
      <c r="Y95" s="62"/>
      <c r="Z95" s="62"/>
    </row>
    <row r="96">
      <c r="A96" s="62"/>
      <c r="B96" s="62"/>
      <c r="C96" s="62"/>
      <c r="D96" s="62"/>
      <c r="E96" s="62"/>
      <c r="F96" s="62"/>
      <c r="G96" s="504">
        <f>IFERROR(__xludf.DUMMYFUNCTION("""COMPUTED_VALUE"""),0.0)</f>
        <v>0</v>
      </c>
      <c r="H96" s="62"/>
      <c r="I96" s="62"/>
      <c r="J96" s="62"/>
      <c r="K96" s="62"/>
      <c r="L96" s="504">
        <f>IFERROR(__xludf.DUMMYFUNCTION("""COMPUTED_VALUE"""),0.0)</f>
        <v>0</v>
      </c>
      <c r="M96" s="504">
        <f>IFERROR(__xludf.DUMMYFUNCTION("""COMPUTED_VALUE"""),0.0)</f>
        <v>0</v>
      </c>
      <c r="N96" s="504">
        <f>IFERROR(__xludf.DUMMYFUNCTION("""COMPUTED_VALUE"""),0.0)</f>
        <v>0</v>
      </c>
      <c r="O96" s="62"/>
      <c r="P96" s="62"/>
      <c r="Q96" s="62" t="str">
        <f>IFERROR(__xludf.DUMMYFUNCTION("""COMPUTED_VALUE"""),"村田")</f>
        <v>村田</v>
      </c>
      <c r="R96" s="62">
        <f>IFERROR(__xludf.DUMMYFUNCTION("""COMPUTED_VALUE"""),0.0)</f>
        <v>0</v>
      </c>
      <c r="S96" s="62">
        <f>IFERROR(__xludf.DUMMYFUNCTION("""COMPUTED_VALUE"""),0.0)</f>
        <v>0</v>
      </c>
      <c r="T96" s="62">
        <f>IFERROR(__xludf.DUMMYFUNCTION("""COMPUTED_VALUE"""),0.0)</f>
        <v>0</v>
      </c>
      <c r="U96" s="62"/>
      <c r="V96" s="62"/>
      <c r="W96" s="62"/>
      <c r="X96" s="62"/>
      <c r="Y96" s="62"/>
      <c r="Z96" s="62"/>
    </row>
    <row r="97">
      <c r="A97" s="62"/>
      <c r="B97" s="62" t="str">
        <f>IFERROR(__xludf.DUMMYFUNCTION("""COMPUTED_VALUE"""),"森")</f>
        <v>森</v>
      </c>
      <c r="C97" s="62"/>
      <c r="D97" s="62"/>
      <c r="E97" s="62"/>
      <c r="F97" s="62"/>
      <c r="G97" s="504">
        <f>IFERROR(__xludf.DUMMYFUNCTION("""COMPUTED_VALUE"""),0.0)</f>
        <v>0</v>
      </c>
      <c r="H97" s="62"/>
      <c r="I97" s="62"/>
      <c r="J97" s="62"/>
      <c r="K97" s="62"/>
      <c r="L97" s="504">
        <f>IFERROR(__xludf.DUMMYFUNCTION("""COMPUTED_VALUE"""),0.0)</f>
        <v>0</v>
      </c>
      <c r="M97" s="504">
        <f>IFERROR(__xludf.DUMMYFUNCTION("""COMPUTED_VALUE"""),0.0)</f>
        <v>0</v>
      </c>
      <c r="N97" s="504">
        <f>IFERROR(__xludf.DUMMYFUNCTION("""COMPUTED_VALUE"""),0.0)</f>
        <v>0</v>
      </c>
      <c r="O97" s="62"/>
      <c r="P97" s="62"/>
      <c r="Q97" s="62" t="str">
        <f>IFERROR(__xludf.DUMMYFUNCTION("""COMPUTED_VALUE"""),"金子")</f>
        <v>金子</v>
      </c>
      <c r="R97" s="62">
        <f>IFERROR(__xludf.DUMMYFUNCTION("""COMPUTED_VALUE"""),0.0)</f>
        <v>0</v>
      </c>
      <c r="S97" s="62">
        <f>IFERROR(__xludf.DUMMYFUNCTION("""COMPUTED_VALUE"""),0.0)</f>
        <v>0</v>
      </c>
      <c r="T97" s="62">
        <f>IFERROR(__xludf.DUMMYFUNCTION("""COMPUTED_VALUE"""),0.0)</f>
        <v>0</v>
      </c>
      <c r="U97" s="62"/>
      <c r="V97" s="62"/>
      <c r="W97" s="62"/>
      <c r="X97" s="62"/>
      <c r="Y97" s="62"/>
      <c r="Z97" s="62"/>
    </row>
    <row r="98">
      <c r="A98" s="62"/>
      <c r="B98" s="62"/>
      <c r="C98" s="62"/>
      <c r="D98" s="62"/>
      <c r="E98" s="62"/>
      <c r="F98" s="62"/>
      <c r="G98" s="504">
        <f>IFERROR(__xludf.DUMMYFUNCTION("""COMPUTED_VALUE"""),0.0)</f>
        <v>0</v>
      </c>
      <c r="H98" s="62"/>
      <c r="I98" s="62"/>
      <c r="J98" s="62"/>
      <c r="K98" s="62"/>
      <c r="L98" s="504">
        <f>IFERROR(__xludf.DUMMYFUNCTION("""COMPUTED_VALUE"""),0.0)</f>
        <v>0</v>
      </c>
      <c r="M98" s="504">
        <f>IFERROR(__xludf.DUMMYFUNCTION("""COMPUTED_VALUE"""),0.0)</f>
        <v>0</v>
      </c>
      <c r="N98" s="504">
        <f>IFERROR(__xludf.DUMMYFUNCTION("""COMPUTED_VALUE"""),0.0)</f>
        <v>0</v>
      </c>
      <c r="O98" s="62"/>
      <c r="P98" s="62"/>
      <c r="Q98" s="62" t="str">
        <f>IFERROR(__xludf.DUMMYFUNCTION("""COMPUTED_VALUE"""),"ハタ")</f>
        <v>ハタ</v>
      </c>
      <c r="R98" s="62">
        <f>IFERROR(__xludf.DUMMYFUNCTION("""COMPUTED_VALUE"""),0.0)</f>
        <v>0</v>
      </c>
      <c r="S98" s="62">
        <f>IFERROR(__xludf.DUMMYFUNCTION("""COMPUTED_VALUE"""),0.0)</f>
        <v>0</v>
      </c>
      <c r="T98" s="62">
        <f>IFERROR(__xludf.DUMMYFUNCTION("""COMPUTED_VALUE"""),0.0)</f>
        <v>0</v>
      </c>
      <c r="U98" s="62">
        <f>IFERROR(__xludf.DUMMYFUNCTION("""COMPUTED_VALUE"""),0.0)</f>
        <v>0</v>
      </c>
      <c r="V98" s="62"/>
      <c r="W98" s="62"/>
      <c r="X98" s="62"/>
      <c r="Y98" s="62"/>
      <c r="Z98" s="62"/>
    </row>
    <row r="99">
      <c r="A99" s="62"/>
      <c r="B99" s="62" t="str">
        <f>IFERROR(__xludf.DUMMYFUNCTION("""COMPUTED_VALUE"""),"金子")</f>
        <v>金子</v>
      </c>
      <c r="C99" s="62"/>
      <c r="D99" s="62"/>
      <c r="E99" s="62"/>
      <c r="F99" s="62"/>
      <c r="G99" s="504">
        <f>IFERROR(__xludf.DUMMYFUNCTION("""COMPUTED_VALUE"""),0.0)</f>
        <v>0</v>
      </c>
      <c r="H99" s="62"/>
      <c r="I99" s="62"/>
      <c r="J99" s="62"/>
      <c r="K99" s="62"/>
      <c r="L99" s="504">
        <f>IFERROR(__xludf.DUMMYFUNCTION("""COMPUTED_VALUE"""),0.0)</f>
        <v>0</v>
      </c>
      <c r="M99" s="504">
        <f>IFERROR(__xludf.DUMMYFUNCTION("""COMPUTED_VALUE"""),0.0)</f>
        <v>0</v>
      </c>
      <c r="N99" s="504">
        <f>IFERROR(__xludf.DUMMYFUNCTION("""COMPUTED_VALUE"""),0.0)</f>
        <v>0</v>
      </c>
      <c r="O99" s="62"/>
      <c r="P99" s="62"/>
      <c r="Q99" s="62" t="str">
        <f>IFERROR(__xludf.DUMMYFUNCTION("""COMPUTED_VALUE"""),"小川")</f>
        <v>小川</v>
      </c>
      <c r="R99" s="62">
        <f>IFERROR(__xludf.DUMMYFUNCTION("""COMPUTED_VALUE"""),0.0)</f>
        <v>0</v>
      </c>
      <c r="S99" s="62">
        <f>IFERROR(__xludf.DUMMYFUNCTION("""COMPUTED_VALUE"""),0.0)</f>
        <v>0</v>
      </c>
      <c r="T99" s="62">
        <f>IFERROR(__xludf.DUMMYFUNCTION("""COMPUTED_VALUE"""),0.0)</f>
        <v>0</v>
      </c>
      <c r="U99" s="62">
        <f>IFERROR(__xludf.DUMMYFUNCTION("""COMPUTED_VALUE"""),0.0)</f>
        <v>0</v>
      </c>
      <c r="V99" s="62"/>
      <c r="W99" s="62"/>
      <c r="X99" s="62"/>
      <c r="Y99" s="62"/>
      <c r="Z99" s="62"/>
    </row>
    <row r="100">
      <c r="A100" s="62"/>
      <c r="B100" s="62"/>
      <c r="C100" s="62"/>
      <c r="D100" s="62"/>
      <c r="E100" s="62"/>
      <c r="F100" s="62"/>
      <c r="G100" s="504">
        <f>IFERROR(__xludf.DUMMYFUNCTION("""COMPUTED_VALUE"""),0.0)</f>
        <v>0</v>
      </c>
      <c r="H100" s="62"/>
      <c r="I100" s="62"/>
      <c r="J100" s="62"/>
      <c r="K100" s="62"/>
      <c r="L100" s="504">
        <f>IFERROR(__xludf.DUMMYFUNCTION("""COMPUTED_VALUE"""),0.0)</f>
        <v>0</v>
      </c>
      <c r="M100" s="504">
        <f>IFERROR(__xludf.DUMMYFUNCTION("""COMPUTED_VALUE"""),0.0)</f>
        <v>0</v>
      </c>
      <c r="N100" s="504">
        <f>IFERROR(__xludf.DUMMYFUNCTION("""COMPUTED_VALUE"""),0.0)</f>
        <v>0</v>
      </c>
      <c r="O100" s="62"/>
      <c r="P100" s="62"/>
      <c r="Q100" s="62" t="str">
        <f>IFERROR(__xludf.DUMMYFUNCTION("""COMPUTED_VALUE"""),"仁子")</f>
        <v>仁子</v>
      </c>
      <c r="R100" s="62">
        <f>IFERROR(__xludf.DUMMYFUNCTION("""COMPUTED_VALUE"""),0.0)</f>
        <v>0</v>
      </c>
      <c r="S100" s="62">
        <f>IFERROR(__xludf.DUMMYFUNCTION("""COMPUTED_VALUE"""),0.0)</f>
        <v>0</v>
      </c>
      <c r="T100" s="62">
        <f>IFERROR(__xludf.DUMMYFUNCTION("""COMPUTED_VALUE"""),29.0)</f>
        <v>29</v>
      </c>
      <c r="U100" s="62">
        <f>IFERROR(__xludf.DUMMYFUNCTION("""COMPUTED_VALUE"""),0.0)</f>
        <v>0</v>
      </c>
      <c r="V100" s="62"/>
      <c r="W100" s="62"/>
      <c r="X100" s="62"/>
      <c r="Y100" s="62"/>
      <c r="Z100" s="62"/>
    </row>
    <row r="101">
      <c r="A101" s="62"/>
      <c r="B101" s="552" t="str">
        <f>IFERROR(__xludf.DUMMYFUNCTION("""COMPUTED_VALUE"""),"SMS")</f>
        <v>SMS</v>
      </c>
      <c r="C101" s="62"/>
      <c r="D101" s="62"/>
      <c r="E101" s="62"/>
      <c r="F101" s="62"/>
      <c r="G101" s="504">
        <f>IFERROR(__xludf.DUMMYFUNCTION("""COMPUTED_VALUE"""),0.0)</f>
        <v>0</v>
      </c>
      <c r="H101" s="62"/>
      <c r="I101" s="62">
        <f>IFERROR(__xludf.DUMMYFUNCTION("""COMPUTED_VALUE"""),4.0)</f>
        <v>4</v>
      </c>
      <c r="J101" s="552">
        <f>IFERROR(__xludf.DUMMYFUNCTION("""COMPUTED_VALUE"""),140000.0)</f>
        <v>140000</v>
      </c>
      <c r="K101" s="62"/>
      <c r="L101" s="504">
        <f>IFERROR(__xludf.DUMMYFUNCTION("""COMPUTED_VALUE"""),0.0)</f>
        <v>0</v>
      </c>
      <c r="M101" s="504">
        <f>IFERROR(__xludf.DUMMYFUNCTION("""COMPUTED_VALUE"""),0.0)</f>
        <v>0</v>
      </c>
      <c r="N101" s="504">
        <f>IFERROR(__xludf.DUMMYFUNCTION("""COMPUTED_VALUE"""),0.0)</f>
        <v>0</v>
      </c>
      <c r="O101" s="62"/>
      <c r="P101" s="62"/>
      <c r="Q101" s="62" t="str">
        <f>IFERROR(__xludf.DUMMYFUNCTION("""COMPUTED_VALUE"""),"鈴木")</f>
        <v>鈴木</v>
      </c>
      <c r="R101" s="62">
        <f>IFERROR(__xludf.DUMMYFUNCTION("""COMPUTED_VALUE"""),1533.0)</f>
        <v>1533</v>
      </c>
      <c r="S101" s="62">
        <f>IFERROR(__xludf.DUMMYFUNCTION("""COMPUTED_VALUE"""),326.0)</f>
        <v>326</v>
      </c>
      <c r="T101" s="62">
        <f>IFERROR(__xludf.DUMMYFUNCTION("""COMPUTED_VALUE"""),19.0)</f>
        <v>19</v>
      </c>
      <c r="U101" s="62">
        <f>IFERROR(__xludf.DUMMYFUNCTION("""COMPUTED_VALUE"""),7.0)</f>
        <v>7</v>
      </c>
      <c r="V101" s="62"/>
      <c r="W101" s="62"/>
      <c r="X101" s="62"/>
      <c r="Y101" s="62"/>
      <c r="Z101" s="62"/>
    </row>
    <row r="102">
      <c r="A102" s="62"/>
      <c r="B102" s="62" t="str">
        <f>IFERROR(__xludf.DUMMYFUNCTION("""COMPUTED_VALUE"""),"紹介")</f>
        <v>紹介</v>
      </c>
      <c r="C102" s="62"/>
      <c r="D102" s="62"/>
      <c r="E102" s="62"/>
      <c r="F102" s="62"/>
      <c r="G102" s="504">
        <f>IFERROR(__xludf.DUMMYFUNCTION("""COMPUTED_VALUE"""),0.0)</f>
        <v>0</v>
      </c>
      <c r="H102" s="62"/>
      <c r="I102" s="62"/>
      <c r="J102" s="62"/>
      <c r="K102" s="62"/>
      <c r="L102" s="504">
        <f>IFERROR(__xludf.DUMMYFUNCTION("""COMPUTED_VALUE"""),0.0)</f>
        <v>0</v>
      </c>
      <c r="M102" s="504">
        <f>IFERROR(__xludf.DUMMYFUNCTION("""COMPUTED_VALUE"""),0.0)</f>
        <v>0</v>
      </c>
      <c r="N102" s="504">
        <f>IFERROR(__xludf.DUMMYFUNCTION("""COMPUTED_VALUE"""),0.0)</f>
        <v>0</v>
      </c>
      <c r="O102" s="62"/>
      <c r="P102" s="62"/>
      <c r="Q102" s="62" t="str">
        <f>IFERROR(__xludf.DUMMYFUNCTION("""COMPUTED_VALUE"""),"仲間")</f>
        <v>仲間</v>
      </c>
      <c r="R102" s="62">
        <f>IFERROR(__xludf.DUMMYFUNCTION("""COMPUTED_VALUE"""),2517.0)</f>
        <v>2517</v>
      </c>
      <c r="S102" s="62">
        <f>IFERROR(__xludf.DUMMYFUNCTION("""COMPUTED_VALUE"""),560.0)</f>
        <v>560</v>
      </c>
      <c r="T102" s="62">
        <f>IFERROR(__xludf.DUMMYFUNCTION("""COMPUTED_VALUE"""),9.0)</f>
        <v>9</v>
      </c>
      <c r="U102" s="62">
        <f>IFERROR(__xludf.DUMMYFUNCTION("""COMPUTED_VALUE"""),14.0)</f>
        <v>14</v>
      </c>
      <c r="V102" s="62"/>
      <c r="W102" s="62"/>
      <c r="X102" s="62"/>
      <c r="Y102" s="62"/>
      <c r="Z102" s="62"/>
    </row>
    <row r="103">
      <c r="A103" s="62"/>
      <c r="B103" s="62" t="str">
        <f>IFERROR(__xludf.DUMMYFUNCTION("""COMPUTED_VALUE"""),"仁子")</f>
        <v>仁子</v>
      </c>
      <c r="C103" s="62"/>
      <c r="D103" s="62"/>
      <c r="E103" s="62"/>
      <c r="F103" s="62"/>
      <c r="G103" s="504">
        <f>IFERROR(__xludf.DUMMYFUNCTION("""COMPUTED_VALUE"""),0.0)</f>
        <v>0</v>
      </c>
      <c r="H103" s="62"/>
      <c r="I103" s="62"/>
      <c r="J103" s="62"/>
      <c r="K103" s="62"/>
      <c r="L103" s="504">
        <f>IFERROR(__xludf.DUMMYFUNCTION("""COMPUTED_VALUE"""),0.0)</f>
        <v>0</v>
      </c>
      <c r="M103" s="504">
        <f>IFERROR(__xludf.DUMMYFUNCTION("""COMPUTED_VALUE"""),0.0)</f>
        <v>0</v>
      </c>
      <c r="N103" s="504">
        <f>IFERROR(__xludf.DUMMYFUNCTION("""COMPUTED_VALUE"""),0.0)</f>
        <v>0</v>
      </c>
      <c r="O103" s="62"/>
      <c r="P103" s="62"/>
      <c r="Q103" s="62"/>
      <c r="R103" s="62"/>
      <c r="S103" s="62"/>
      <c r="T103" s="62"/>
      <c r="U103" s="62">
        <f>IFERROR(__xludf.DUMMYFUNCTION("""COMPUTED_VALUE"""),0.0)</f>
        <v>0</v>
      </c>
      <c r="V103" s="62"/>
      <c r="W103" s="62"/>
      <c r="X103" s="62"/>
      <c r="Y103" s="62"/>
      <c r="Z103" s="62"/>
    </row>
    <row r="104">
      <c r="A104" s="62"/>
      <c r="B104" s="62" t="str">
        <f>IFERROR(__xludf.DUMMYFUNCTION("""COMPUTED_VALUE"""),"鈴木")</f>
        <v>鈴木</v>
      </c>
      <c r="C104" s="62"/>
      <c r="D104" s="62"/>
      <c r="E104" s="62"/>
      <c r="F104" s="62"/>
      <c r="G104" s="504">
        <f>IFERROR(__xludf.DUMMYFUNCTION("""COMPUTED_VALUE"""),0.0)</f>
        <v>0</v>
      </c>
      <c r="H104" s="62"/>
      <c r="I104" s="62"/>
      <c r="J104" s="62"/>
      <c r="K104" s="62"/>
      <c r="L104" s="504">
        <f>IFERROR(__xludf.DUMMYFUNCTION("""COMPUTED_VALUE"""),0.0)</f>
        <v>0</v>
      </c>
      <c r="M104" s="504">
        <f>IFERROR(__xludf.DUMMYFUNCTION("""COMPUTED_VALUE"""),0.0)</f>
        <v>0</v>
      </c>
      <c r="N104" s="504">
        <f>IFERROR(__xludf.DUMMYFUNCTION("""COMPUTED_VALUE"""),0.0)</f>
        <v>0</v>
      </c>
      <c r="O104" s="62"/>
      <c r="P104" s="62"/>
      <c r="Q104" s="62" t="str">
        <f>IFERROR(__xludf.DUMMYFUNCTION("""COMPUTED_VALUE"""),"`")</f>
        <v>`</v>
      </c>
      <c r="R104" s="62"/>
      <c r="S104" s="62"/>
      <c r="T104" s="62"/>
      <c r="U104" s="62">
        <f>IFERROR(__xludf.DUMMYFUNCTION("""COMPUTED_VALUE"""),0.0)</f>
        <v>0</v>
      </c>
      <c r="V104" s="62"/>
      <c r="W104" s="62"/>
      <c r="X104" s="62"/>
      <c r="Y104" s="62"/>
      <c r="Z104" s="62"/>
    </row>
    <row r="105">
      <c r="A105" s="62"/>
      <c r="B105" s="62" t="str">
        <f>IFERROR(__xludf.DUMMYFUNCTION("""COMPUTED_VALUE"""),"仲間")</f>
        <v>仲間</v>
      </c>
      <c r="C105" s="62"/>
      <c r="D105" s="62"/>
      <c r="E105" s="62"/>
      <c r="F105" s="62"/>
      <c r="G105" s="504">
        <f>IFERROR(__xludf.DUMMYFUNCTION("""COMPUTED_VALUE"""),0.0)</f>
        <v>0</v>
      </c>
      <c r="H105" s="62"/>
      <c r="I105" s="62"/>
      <c r="J105" s="62"/>
      <c r="K105" s="62"/>
      <c r="L105" s="504">
        <f>IFERROR(__xludf.DUMMYFUNCTION("""COMPUTED_VALUE"""),0.0)</f>
        <v>0</v>
      </c>
      <c r="M105" s="504">
        <f>IFERROR(__xludf.DUMMYFUNCTION("""COMPUTED_VALUE"""),0.0)</f>
        <v>0</v>
      </c>
      <c r="N105" s="504">
        <f>IFERROR(__xludf.DUMMYFUNCTION("""COMPUTED_VALUE"""),0.0)</f>
        <v>0</v>
      </c>
      <c r="O105" s="62"/>
      <c r="P105" s="62"/>
      <c r="Q105" s="62"/>
      <c r="R105" s="62"/>
      <c r="S105" s="62"/>
      <c r="T105" s="62"/>
      <c r="U105" s="62"/>
      <c r="V105" s="62"/>
      <c r="W105" s="62"/>
      <c r="X105" s="62"/>
      <c r="Y105" s="62"/>
      <c r="Z105" s="62"/>
    </row>
    <row r="106">
      <c r="A106" s="62"/>
      <c r="B106" s="62"/>
      <c r="C106" s="62"/>
      <c r="D106" s="62"/>
      <c r="E106" s="62"/>
      <c r="F106" s="62"/>
      <c r="G106" s="504">
        <f>IFERROR(__xludf.DUMMYFUNCTION("""COMPUTED_VALUE"""),0.0)</f>
        <v>0</v>
      </c>
      <c r="H106" s="62"/>
      <c r="I106" s="62"/>
      <c r="J106" s="62"/>
      <c r="K106" s="62"/>
      <c r="L106" s="504">
        <f>IFERROR(__xludf.DUMMYFUNCTION("""COMPUTED_VALUE"""),0.0)</f>
        <v>0</v>
      </c>
      <c r="M106" s="504">
        <f>IFERROR(__xludf.DUMMYFUNCTION("""COMPUTED_VALUE"""),0.0)</f>
        <v>0</v>
      </c>
      <c r="N106" s="504">
        <f>IFERROR(__xludf.DUMMYFUNCTION("""COMPUTED_VALUE"""),0.0)</f>
        <v>0</v>
      </c>
      <c r="O106" s="62"/>
      <c r="P106" s="62"/>
      <c r="Q106" s="62"/>
      <c r="R106" s="62"/>
      <c r="S106" s="62"/>
      <c r="T106" s="62"/>
      <c r="U106" s="62"/>
      <c r="V106" s="62"/>
      <c r="W106" s="62"/>
      <c r="X106" s="62"/>
      <c r="Y106" s="62"/>
      <c r="Z106" s="62"/>
    </row>
    <row r="107">
      <c r="A107" s="62"/>
      <c r="B107" s="62" t="str">
        <f>IFERROR(__xludf.DUMMYFUNCTION("""COMPUTED_VALUE"""),"合計")</f>
        <v>合計</v>
      </c>
      <c r="C107" s="62">
        <f>IFERROR(__xludf.DUMMYFUNCTION("""COMPUTED_VALUE"""),79.0)</f>
        <v>79</v>
      </c>
      <c r="D107" s="62">
        <f>IFERROR(__xludf.DUMMYFUNCTION("""COMPUTED_VALUE"""),14.0)</f>
        <v>14</v>
      </c>
      <c r="E107" s="62">
        <f>IFERROR(__xludf.DUMMYFUNCTION("""COMPUTED_VALUE"""),0.0)</f>
        <v>0</v>
      </c>
      <c r="F107" s="62">
        <f>IFERROR(__xludf.DUMMYFUNCTION("""COMPUTED_VALUE"""),11.0)</f>
        <v>11</v>
      </c>
      <c r="G107" s="504">
        <f>IFERROR(__xludf.DUMMYFUNCTION("""COMPUTED_VALUE"""),0.17721518987341772)</f>
        <v>0.1772151899</v>
      </c>
      <c r="H107" s="62">
        <f>IFERROR(__xludf.DUMMYFUNCTION("""COMPUTED_VALUE"""),1.0)</f>
        <v>1</v>
      </c>
      <c r="I107" s="62">
        <f>IFERROR(__xludf.DUMMYFUNCTION("""COMPUTED_VALUE"""),4.0)</f>
        <v>4</v>
      </c>
      <c r="J107" s="552">
        <f>IFERROR(__xludf.DUMMYFUNCTION("""COMPUTED_VALUE"""),140000.0)</f>
        <v>140000</v>
      </c>
      <c r="K107" s="62">
        <f>IFERROR(__xludf.DUMMYFUNCTION("""COMPUTED_VALUE"""),0.0)</f>
        <v>0</v>
      </c>
      <c r="L107" s="504">
        <f>IFERROR(__xludf.DUMMYFUNCTION("""COMPUTED_VALUE"""),0.012658227848101266)</f>
        <v>0.01265822785</v>
      </c>
      <c r="M107" s="504">
        <f>IFERROR(__xludf.DUMMYFUNCTION("""COMPUTED_VALUE"""),0.05063291139240506)</f>
        <v>0.05063291139</v>
      </c>
      <c r="N107" s="504">
        <f>IFERROR(__xludf.DUMMYFUNCTION("""COMPUTED_VALUE"""),4.0)</f>
        <v>4</v>
      </c>
      <c r="O107" s="62"/>
      <c r="P107" s="62"/>
      <c r="Q107" s="62"/>
      <c r="R107" s="62"/>
      <c r="S107" s="62"/>
      <c r="T107" s="62"/>
      <c r="U107" s="62"/>
      <c r="V107" s="62"/>
      <c r="W107" s="62"/>
      <c r="X107" s="62"/>
      <c r="Y107" s="62"/>
      <c r="Z107" s="62"/>
    </row>
    <row r="108">
      <c r="A108" s="62" t="str">
        <f>IFERROR(__xludf.DUMMYFUNCTION("""COMPUTED_VALUE"""),"日付")</f>
        <v>日付</v>
      </c>
      <c r="B108" s="62" t="str">
        <f>IFERROR(__xludf.DUMMYFUNCTION("""COMPUTED_VALUE"""),"名前")</f>
        <v>名前</v>
      </c>
      <c r="C108" s="62" t="str">
        <f>IFERROR(__xludf.DUMMYFUNCTION("""COMPUTED_VALUE"""),"打電件数")</f>
        <v>打電件数</v>
      </c>
      <c r="D108" s="62" t="str">
        <f>IFERROR(__xludf.DUMMYFUNCTION("""COMPUTED_VALUE"""),"着電件数")</f>
        <v>着電件数</v>
      </c>
      <c r="E108" s="62" t="str">
        <f>IFERROR(__xludf.DUMMYFUNCTION("""COMPUTED_VALUE"""),"折り返し件数")</f>
        <v>折り返し件数</v>
      </c>
      <c r="F108" s="62" t="str">
        <f>IFERROR(__xludf.DUMMYFUNCTION("""COMPUTED_VALUE"""),"拒否")</f>
        <v>拒否</v>
      </c>
      <c r="G108" s="62" t="str">
        <f>IFERROR(__xludf.DUMMYFUNCTION("""COMPUTED_VALUE"""),"着電率")</f>
        <v>着電率</v>
      </c>
      <c r="H108" s="62" t="str">
        <f>IFERROR(__xludf.DUMMYFUNCTION("""COMPUTED_VALUE"""),"LINE登録")</f>
        <v>LINE登録</v>
      </c>
      <c r="I108" s="62" t="str">
        <f>IFERROR(__xludf.DUMMYFUNCTION("""COMPUTED_VALUE"""),"アカウント作成")</f>
        <v>アカウント作成</v>
      </c>
      <c r="J108" s="552" t="str">
        <f>IFERROR(__xludf.DUMMYFUNCTION("""COMPUTED_VALUE"""),"新規信用枠額")</f>
        <v>新規信用枠額</v>
      </c>
      <c r="K108" s="62" t="str">
        <f>IFERROR(__xludf.DUMMYFUNCTION("""COMPUTED_VALUE"""),"リスト死回線数")</f>
        <v>リスト死回線数</v>
      </c>
      <c r="L108" s="62" t="str">
        <f>IFERROR(__xludf.DUMMYFUNCTION("""COMPUTED_VALUE"""),"LINE率(打電から)")</f>
        <v>LINE率(打電から)</v>
      </c>
      <c r="M108" s="62" t="str">
        <f>IFERROR(__xludf.DUMMYFUNCTION("""COMPUTED_VALUE"""),"アカウント作成率(打電から)")</f>
        <v>アカウント作成率(打電から)</v>
      </c>
      <c r="N108" s="62" t="str">
        <f>IFERROR(__xludf.DUMMYFUNCTION("""COMPUTED_VALUE"""),"アカウント作成率(LINEから)")</f>
        <v>アカウント作成率(LINEから)</v>
      </c>
      <c r="O108" s="62" t="str">
        <f>IFERROR(__xludf.DUMMYFUNCTION("""COMPUTED_VALUE"""),"リスト名")</f>
        <v>リスト名</v>
      </c>
      <c r="P108" s="553" t="str">
        <f>IFERROR(__xludf.DUMMYFUNCTION("""COMPUTED_VALUE"""),"日本基準")</f>
        <v>日本基準</v>
      </c>
      <c r="Q108" s="62"/>
      <c r="R108" s="62"/>
      <c r="S108" s="62"/>
      <c r="T108" s="62"/>
      <c r="U108" s="62"/>
      <c r="V108" s="62"/>
      <c r="W108" s="62"/>
      <c r="X108" s="62"/>
      <c r="Y108" s="62"/>
      <c r="Z108" s="62"/>
    </row>
    <row r="109">
      <c r="A109" s="556">
        <f>IFERROR(__xludf.DUMMYFUNCTION("""COMPUTED_VALUE"""),45906.0)</f>
        <v>45906</v>
      </c>
      <c r="B109" s="62" t="str">
        <f>IFERROR(__xludf.DUMMYFUNCTION("""COMPUTED_VALUE"""),"あり")</f>
        <v>あり</v>
      </c>
      <c r="C109" s="62">
        <f>IFERROR(__xludf.DUMMYFUNCTION("""COMPUTED_VALUE"""),185.0)</f>
        <v>185</v>
      </c>
      <c r="D109" s="62">
        <f>IFERROR(__xludf.DUMMYFUNCTION("""COMPUTED_VALUE"""),24.0)</f>
        <v>24</v>
      </c>
      <c r="E109" s="62">
        <f>IFERROR(__xludf.DUMMYFUNCTION("""COMPUTED_VALUE"""),3.0)</f>
        <v>3</v>
      </c>
      <c r="F109" s="62">
        <f>IFERROR(__xludf.DUMMYFUNCTION("""COMPUTED_VALUE"""),14.0)</f>
        <v>14</v>
      </c>
      <c r="G109" s="504">
        <f>IFERROR(__xludf.DUMMYFUNCTION("""COMPUTED_VALUE"""),0.12972972972972974)</f>
        <v>0.1297297297</v>
      </c>
      <c r="H109" s="62"/>
      <c r="I109" s="62">
        <f>IFERROR(__xludf.DUMMYFUNCTION("""COMPUTED_VALUE"""),1.0)</f>
        <v>1</v>
      </c>
      <c r="J109" s="552">
        <f>IFERROR(__xludf.DUMMYFUNCTION("""COMPUTED_VALUE"""),0.0)</f>
        <v>0</v>
      </c>
      <c r="K109" s="62"/>
      <c r="L109" s="504">
        <f>IFERROR(__xludf.DUMMYFUNCTION("""COMPUTED_VALUE"""),0.0)</f>
        <v>0</v>
      </c>
      <c r="M109" s="504">
        <f>IFERROR(__xludf.DUMMYFUNCTION("""COMPUTED_VALUE"""),0.005405405405405406)</f>
        <v>0.005405405405</v>
      </c>
      <c r="N109" s="504">
        <f>IFERROR(__xludf.DUMMYFUNCTION("""COMPUTED_VALUE"""),0.0)</f>
        <v>0</v>
      </c>
      <c r="O109" s="62" t="str">
        <f>IFERROR(__xludf.DUMMYFUNCTION("""COMPUTED_VALUE"""),"リストE")</f>
        <v>リストE</v>
      </c>
      <c r="P109" s="553" t="str">
        <f>IFERROR(__xludf.DUMMYFUNCTION("""COMPUTED_VALUE"""),"祝日")</f>
        <v>祝日</v>
      </c>
      <c r="Q109" s="62"/>
      <c r="R109" s="62"/>
      <c r="S109" s="62"/>
      <c r="T109" s="62"/>
      <c r="U109" s="62"/>
      <c r="V109" s="62"/>
      <c r="W109" s="62"/>
      <c r="X109" s="62"/>
      <c r="Y109" s="62"/>
      <c r="Z109" s="62"/>
    </row>
    <row r="110">
      <c r="A110" s="62"/>
      <c r="B110" s="62" t="str">
        <f>IFERROR(__xludf.DUMMYFUNCTION("""COMPUTED_VALUE"""),"しょうま")</f>
        <v>しょうま</v>
      </c>
      <c r="C110" s="62">
        <f>IFERROR(__xludf.DUMMYFUNCTION("""COMPUTED_VALUE"""),232.0)</f>
        <v>232</v>
      </c>
      <c r="D110" s="62">
        <f>IFERROR(__xludf.DUMMYFUNCTION("""COMPUTED_VALUE"""),18.0)</f>
        <v>18</v>
      </c>
      <c r="E110" s="62">
        <f>IFERROR(__xludf.DUMMYFUNCTION("""COMPUTED_VALUE"""),3.0)</f>
        <v>3</v>
      </c>
      <c r="F110" s="62">
        <f>IFERROR(__xludf.DUMMYFUNCTION("""COMPUTED_VALUE"""),16.0)</f>
        <v>16</v>
      </c>
      <c r="G110" s="504">
        <f>IFERROR(__xludf.DUMMYFUNCTION("""COMPUTED_VALUE"""),0.07758620689655173)</f>
        <v>0.0775862069</v>
      </c>
      <c r="H110" s="62">
        <f>IFERROR(__xludf.DUMMYFUNCTION("""COMPUTED_VALUE"""),3.0)</f>
        <v>3</v>
      </c>
      <c r="I110" s="62">
        <f>IFERROR(__xludf.DUMMYFUNCTION("""COMPUTED_VALUE"""),3.0)</f>
        <v>3</v>
      </c>
      <c r="J110" s="552">
        <f>IFERROR(__xludf.DUMMYFUNCTION("""COMPUTED_VALUE"""),110000.0)</f>
        <v>110000</v>
      </c>
      <c r="K110" s="62">
        <f>IFERROR(__xludf.DUMMYFUNCTION("""COMPUTED_VALUE"""),7.0)</f>
        <v>7</v>
      </c>
      <c r="L110" s="504">
        <f>IFERROR(__xludf.DUMMYFUNCTION("""COMPUTED_VALUE"""),0.01293103448275862)</f>
        <v>0.01293103448</v>
      </c>
      <c r="M110" s="504">
        <f>IFERROR(__xludf.DUMMYFUNCTION("""COMPUTED_VALUE"""),0.01293103448275862)</f>
        <v>0.01293103448</v>
      </c>
      <c r="N110" s="504">
        <f>IFERROR(__xludf.DUMMYFUNCTION("""COMPUTED_VALUE"""),1.0)</f>
        <v>1</v>
      </c>
      <c r="O110" s="62" t="str">
        <f>IFERROR(__xludf.DUMMYFUNCTION("""COMPUTED_VALUE"""),"リストS")</f>
        <v>リストS</v>
      </c>
      <c r="P110" s="553" t="str">
        <f>IFERROR(__xludf.DUMMYFUNCTION("""COMPUTED_VALUE"""),"祝日")</f>
        <v>祝日</v>
      </c>
      <c r="Q110" s="62"/>
      <c r="R110" s="62"/>
      <c r="S110" s="62"/>
      <c r="T110" s="62"/>
      <c r="U110" s="62"/>
      <c r="V110" s="62"/>
      <c r="W110" s="62"/>
      <c r="X110" s="62"/>
      <c r="Y110" s="62"/>
      <c r="Z110" s="62"/>
    </row>
    <row r="111">
      <c r="A111" s="62"/>
      <c r="B111" s="62"/>
      <c r="C111" s="62"/>
      <c r="D111" s="62"/>
      <c r="E111" s="62"/>
      <c r="F111" s="62"/>
      <c r="G111" s="504">
        <f>IFERROR(__xludf.DUMMYFUNCTION("""COMPUTED_VALUE"""),0.0)</f>
        <v>0</v>
      </c>
      <c r="H111" s="62"/>
      <c r="I111" s="62"/>
      <c r="J111" s="62"/>
      <c r="K111" s="62"/>
      <c r="L111" s="504">
        <f>IFERROR(__xludf.DUMMYFUNCTION("""COMPUTED_VALUE"""),0.0)</f>
        <v>0</v>
      </c>
      <c r="M111" s="504">
        <f>IFERROR(__xludf.DUMMYFUNCTION("""COMPUTED_VALUE"""),0.0)</f>
        <v>0</v>
      </c>
      <c r="N111" s="504">
        <f>IFERROR(__xludf.DUMMYFUNCTION("""COMPUTED_VALUE"""),0.0)</f>
        <v>0</v>
      </c>
      <c r="O111" s="62"/>
      <c r="P111" s="62"/>
      <c r="Q111" s="62"/>
      <c r="R111" s="62"/>
      <c r="S111" s="62"/>
      <c r="T111" s="62"/>
      <c r="U111" s="62"/>
      <c r="V111" s="62"/>
      <c r="W111" s="62"/>
      <c r="X111" s="62"/>
      <c r="Y111" s="62"/>
      <c r="Z111" s="62"/>
    </row>
    <row r="112">
      <c r="A112" s="62"/>
      <c r="B112" s="62" t="str">
        <f>IFERROR(__xludf.DUMMYFUNCTION("""COMPUTED_VALUE"""),"ジョーナ")</f>
        <v>ジョーナ</v>
      </c>
      <c r="C112" s="62"/>
      <c r="D112" s="62"/>
      <c r="E112" s="62"/>
      <c r="F112" s="62"/>
      <c r="G112" s="504">
        <f>IFERROR(__xludf.DUMMYFUNCTION("""COMPUTED_VALUE"""),0.0)</f>
        <v>0</v>
      </c>
      <c r="H112" s="62"/>
      <c r="I112" s="62"/>
      <c r="J112" s="62"/>
      <c r="K112" s="62"/>
      <c r="L112" s="504">
        <f>IFERROR(__xludf.DUMMYFUNCTION("""COMPUTED_VALUE"""),0.0)</f>
        <v>0</v>
      </c>
      <c r="M112" s="504">
        <f>IFERROR(__xludf.DUMMYFUNCTION("""COMPUTED_VALUE"""),0.0)</f>
        <v>0</v>
      </c>
      <c r="N112" s="504">
        <f>IFERROR(__xludf.DUMMYFUNCTION("""COMPUTED_VALUE"""),0.0)</f>
        <v>0</v>
      </c>
      <c r="O112" s="62"/>
      <c r="P112" s="62"/>
      <c r="Q112" s="62"/>
      <c r="R112" s="62"/>
      <c r="S112" s="62"/>
      <c r="T112" s="62"/>
      <c r="U112" s="62"/>
      <c r="V112" s="62"/>
      <c r="W112" s="62"/>
      <c r="X112" s="62"/>
      <c r="Y112" s="62"/>
      <c r="Z112" s="62"/>
    </row>
    <row r="113">
      <c r="A113" s="62"/>
      <c r="B113" s="62" t="str">
        <f>IFERROR(__xludf.DUMMYFUNCTION("""COMPUTED_VALUE"""),"武田")</f>
        <v>武田</v>
      </c>
      <c r="C113" s="62"/>
      <c r="D113" s="62"/>
      <c r="E113" s="62"/>
      <c r="F113" s="62"/>
      <c r="G113" s="504">
        <f>IFERROR(__xludf.DUMMYFUNCTION("""COMPUTED_VALUE"""),0.0)</f>
        <v>0</v>
      </c>
      <c r="H113" s="62"/>
      <c r="I113" s="62"/>
      <c r="J113" s="62"/>
      <c r="K113" s="62"/>
      <c r="L113" s="504">
        <f>IFERROR(__xludf.DUMMYFUNCTION("""COMPUTED_VALUE"""),0.0)</f>
        <v>0</v>
      </c>
      <c r="M113" s="504">
        <f>IFERROR(__xludf.DUMMYFUNCTION("""COMPUTED_VALUE"""),0.0)</f>
        <v>0</v>
      </c>
      <c r="N113" s="504">
        <f>IFERROR(__xludf.DUMMYFUNCTION("""COMPUTED_VALUE"""),0.0)</f>
        <v>0</v>
      </c>
      <c r="O113" s="62"/>
      <c r="P113" s="62"/>
      <c r="Q113" s="62"/>
      <c r="R113" s="62"/>
      <c r="S113" s="62"/>
      <c r="T113" s="62"/>
      <c r="U113" s="62"/>
      <c r="V113" s="62"/>
      <c r="W113" s="62"/>
      <c r="X113" s="62"/>
      <c r="Y113" s="62"/>
      <c r="Z113" s="62"/>
    </row>
    <row r="114">
      <c r="A114" s="62"/>
      <c r="B114" s="62" t="str">
        <f>IFERROR(__xludf.DUMMYFUNCTION("""COMPUTED_VALUE"""),"高木")</f>
        <v>高木</v>
      </c>
      <c r="C114" s="62">
        <f>IFERROR(__xludf.DUMMYFUNCTION("""COMPUTED_VALUE"""),187.0)</f>
        <v>187</v>
      </c>
      <c r="D114" s="62">
        <f>IFERROR(__xludf.DUMMYFUNCTION("""COMPUTED_VALUE"""),25.0)</f>
        <v>25</v>
      </c>
      <c r="E114" s="62"/>
      <c r="F114" s="62">
        <f>IFERROR(__xludf.DUMMYFUNCTION("""COMPUTED_VALUE"""),21.0)</f>
        <v>21</v>
      </c>
      <c r="G114" s="504">
        <f>IFERROR(__xludf.DUMMYFUNCTION("""COMPUTED_VALUE"""),0.13368983957219252)</f>
        <v>0.1336898396</v>
      </c>
      <c r="H114" s="62"/>
      <c r="I114" s="62"/>
      <c r="J114" s="62"/>
      <c r="K114" s="62"/>
      <c r="L114" s="504">
        <f>IFERROR(__xludf.DUMMYFUNCTION("""COMPUTED_VALUE"""),0.0)</f>
        <v>0</v>
      </c>
      <c r="M114" s="504">
        <f>IFERROR(__xludf.DUMMYFUNCTION("""COMPUTED_VALUE"""),0.0)</f>
        <v>0</v>
      </c>
      <c r="N114" s="504">
        <f>IFERROR(__xludf.DUMMYFUNCTION("""COMPUTED_VALUE"""),0.0)</f>
        <v>0</v>
      </c>
      <c r="O114" s="62"/>
      <c r="P114" s="62"/>
      <c r="Q114" s="62"/>
      <c r="R114" s="62"/>
      <c r="S114" s="62"/>
      <c r="T114" s="62"/>
      <c r="U114" s="62"/>
      <c r="V114" s="62"/>
      <c r="W114" s="62"/>
      <c r="X114" s="62"/>
      <c r="Y114" s="62"/>
      <c r="Z114" s="62"/>
    </row>
    <row r="115">
      <c r="A115" s="62"/>
      <c r="B115" s="62"/>
      <c r="C115" s="62"/>
      <c r="D115" s="62"/>
      <c r="E115" s="62"/>
      <c r="F115" s="62"/>
      <c r="G115" s="504">
        <f>IFERROR(__xludf.DUMMYFUNCTION("""COMPUTED_VALUE"""),0.0)</f>
        <v>0</v>
      </c>
      <c r="H115" s="62"/>
      <c r="I115" s="62"/>
      <c r="J115" s="62"/>
      <c r="K115" s="62"/>
      <c r="L115" s="504">
        <f>IFERROR(__xludf.DUMMYFUNCTION("""COMPUTED_VALUE"""),0.0)</f>
        <v>0</v>
      </c>
      <c r="M115" s="504">
        <f>IFERROR(__xludf.DUMMYFUNCTION("""COMPUTED_VALUE"""),0.0)</f>
        <v>0</v>
      </c>
      <c r="N115" s="504">
        <f>IFERROR(__xludf.DUMMYFUNCTION("""COMPUTED_VALUE"""),0.0)</f>
        <v>0</v>
      </c>
      <c r="O115" s="62"/>
      <c r="P115" s="62"/>
      <c r="Q115" s="62"/>
      <c r="R115" s="62"/>
      <c r="S115" s="62"/>
      <c r="T115" s="62"/>
      <c r="U115" s="62"/>
      <c r="V115" s="62"/>
      <c r="W115" s="62"/>
      <c r="X115" s="62"/>
      <c r="Y115" s="62"/>
      <c r="Z115" s="62"/>
    </row>
    <row r="116">
      <c r="A116" s="62"/>
      <c r="B116" s="62" t="str">
        <f>IFERROR(__xludf.DUMMYFUNCTION("""COMPUTED_VALUE"""),"大谷")</f>
        <v>大谷</v>
      </c>
      <c r="C116" s="62"/>
      <c r="D116" s="62"/>
      <c r="E116" s="62"/>
      <c r="F116" s="62"/>
      <c r="G116" s="504">
        <f>IFERROR(__xludf.DUMMYFUNCTION("""COMPUTED_VALUE"""),0.0)</f>
        <v>0</v>
      </c>
      <c r="H116" s="62"/>
      <c r="I116" s="62"/>
      <c r="J116" s="62"/>
      <c r="K116" s="62"/>
      <c r="L116" s="504">
        <f>IFERROR(__xludf.DUMMYFUNCTION("""COMPUTED_VALUE"""),0.0)</f>
        <v>0</v>
      </c>
      <c r="M116" s="504">
        <f>IFERROR(__xludf.DUMMYFUNCTION("""COMPUTED_VALUE"""),0.0)</f>
        <v>0</v>
      </c>
      <c r="N116" s="504">
        <f>IFERROR(__xludf.DUMMYFUNCTION("""COMPUTED_VALUE"""),0.0)</f>
        <v>0</v>
      </c>
      <c r="O116" s="62"/>
      <c r="P116" s="62"/>
      <c r="Q116" s="62"/>
      <c r="R116" s="62"/>
      <c r="S116" s="62"/>
      <c r="T116" s="62"/>
      <c r="U116" s="62"/>
      <c r="V116" s="62"/>
      <c r="W116" s="62"/>
      <c r="X116" s="62"/>
      <c r="Y116" s="62"/>
      <c r="Z116" s="62"/>
    </row>
    <row r="117">
      <c r="A117" s="62"/>
      <c r="B117" s="62"/>
      <c r="C117" s="62"/>
      <c r="D117" s="62"/>
      <c r="E117" s="62"/>
      <c r="F117" s="62"/>
      <c r="G117" s="504">
        <f>IFERROR(__xludf.DUMMYFUNCTION("""COMPUTED_VALUE"""),0.0)</f>
        <v>0</v>
      </c>
      <c r="H117" s="62"/>
      <c r="I117" s="62"/>
      <c r="J117" s="62"/>
      <c r="K117" s="62"/>
      <c r="L117" s="504">
        <f>IFERROR(__xludf.DUMMYFUNCTION("""COMPUTED_VALUE"""),0.0)</f>
        <v>0</v>
      </c>
      <c r="M117" s="504">
        <f>IFERROR(__xludf.DUMMYFUNCTION("""COMPUTED_VALUE"""),0.0)</f>
        <v>0</v>
      </c>
      <c r="N117" s="504">
        <f>IFERROR(__xludf.DUMMYFUNCTION("""COMPUTED_VALUE"""),0.0)</f>
        <v>0</v>
      </c>
      <c r="O117" s="62"/>
      <c r="P117" s="62"/>
      <c r="Q117" s="62"/>
      <c r="R117" s="62"/>
      <c r="S117" s="62"/>
      <c r="T117" s="62"/>
      <c r="U117" s="62"/>
      <c r="V117" s="62"/>
      <c r="W117" s="62"/>
      <c r="X117" s="62"/>
      <c r="Y117" s="62"/>
      <c r="Z117" s="62"/>
    </row>
    <row r="118">
      <c r="A118" s="62"/>
      <c r="B118" s="62" t="str">
        <f>IFERROR(__xludf.DUMMYFUNCTION("""COMPUTED_VALUE"""),"森")</f>
        <v>森</v>
      </c>
      <c r="C118" s="62"/>
      <c r="D118" s="62"/>
      <c r="E118" s="62"/>
      <c r="F118" s="62"/>
      <c r="G118" s="504">
        <f>IFERROR(__xludf.DUMMYFUNCTION("""COMPUTED_VALUE"""),0.0)</f>
        <v>0</v>
      </c>
      <c r="H118" s="62"/>
      <c r="I118" s="62"/>
      <c r="J118" s="62"/>
      <c r="K118" s="62"/>
      <c r="L118" s="504">
        <f>IFERROR(__xludf.DUMMYFUNCTION("""COMPUTED_VALUE"""),0.0)</f>
        <v>0</v>
      </c>
      <c r="M118" s="504">
        <f>IFERROR(__xludf.DUMMYFUNCTION("""COMPUTED_VALUE"""),0.0)</f>
        <v>0</v>
      </c>
      <c r="N118" s="504">
        <f>IFERROR(__xludf.DUMMYFUNCTION("""COMPUTED_VALUE"""),0.0)</f>
        <v>0</v>
      </c>
      <c r="O118" s="62"/>
      <c r="P118" s="62"/>
      <c r="Q118" s="62"/>
      <c r="R118" s="62"/>
      <c r="S118" s="62"/>
      <c r="T118" s="62"/>
      <c r="U118" s="62"/>
      <c r="V118" s="62"/>
      <c r="W118" s="62"/>
      <c r="X118" s="62"/>
      <c r="Y118" s="62"/>
      <c r="Z118" s="62"/>
    </row>
    <row r="119">
      <c r="A119" s="62"/>
      <c r="B119" s="62"/>
      <c r="C119" s="62"/>
      <c r="D119" s="62"/>
      <c r="E119" s="62"/>
      <c r="F119" s="62"/>
      <c r="G119" s="504">
        <f>IFERROR(__xludf.DUMMYFUNCTION("""COMPUTED_VALUE"""),0.0)</f>
        <v>0</v>
      </c>
      <c r="H119" s="62"/>
      <c r="I119" s="62"/>
      <c r="J119" s="62"/>
      <c r="K119" s="62"/>
      <c r="L119" s="504">
        <f>IFERROR(__xludf.DUMMYFUNCTION("""COMPUTED_VALUE"""),0.0)</f>
        <v>0</v>
      </c>
      <c r="M119" s="504">
        <f>IFERROR(__xludf.DUMMYFUNCTION("""COMPUTED_VALUE"""),0.0)</f>
        <v>0</v>
      </c>
      <c r="N119" s="504">
        <f>IFERROR(__xludf.DUMMYFUNCTION("""COMPUTED_VALUE"""),0.0)</f>
        <v>0</v>
      </c>
      <c r="O119" s="62"/>
      <c r="P119" s="62"/>
      <c r="Q119" s="62"/>
      <c r="R119" s="62"/>
      <c r="S119" s="62"/>
      <c r="T119" s="62"/>
      <c r="U119" s="62"/>
      <c r="V119" s="62"/>
      <c r="W119" s="62"/>
      <c r="X119" s="62"/>
      <c r="Y119" s="62"/>
      <c r="Z119" s="62"/>
    </row>
    <row r="120">
      <c r="A120" s="62"/>
      <c r="B120" s="62" t="str">
        <f>IFERROR(__xludf.DUMMYFUNCTION("""COMPUTED_VALUE"""),"金子")</f>
        <v>金子</v>
      </c>
      <c r="C120" s="62"/>
      <c r="D120" s="62"/>
      <c r="E120" s="62"/>
      <c r="F120" s="62"/>
      <c r="G120" s="504">
        <f>IFERROR(__xludf.DUMMYFUNCTION("""COMPUTED_VALUE"""),0.0)</f>
        <v>0</v>
      </c>
      <c r="H120" s="62"/>
      <c r="I120" s="62"/>
      <c r="J120" s="62"/>
      <c r="K120" s="62"/>
      <c r="L120" s="504">
        <f>IFERROR(__xludf.DUMMYFUNCTION("""COMPUTED_VALUE"""),0.0)</f>
        <v>0</v>
      </c>
      <c r="M120" s="504">
        <f>IFERROR(__xludf.DUMMYFUNCTION("""COMPUTED_VALUE"""),0.0)</f>
        <v>0</v>
      </c>
      <c r="N120" s="504">
        <f>IFERROR(__xludf.DUMMYFUNCTION("""COMPUTED_VALUE"""),0.0)</f>
        <v>0</v>
      </c>
      <c r="O120" s="62"/>
      <c r="P120" s="62"/>
      <c r="Q120" s="62"/>
      <c r="R120" s="62"/>
      <c r="S120" s="62"/>
      <c r="T120" s="62"/>
      <c r="U120" s="62"/>
      <c r="V120" s="62"/>
      <c r="W120" s="62"/>
      <c r="X120" s="62"/>
      <c r="Y120" s="62"/>
      <c r="Z120" s="62"/>
    </row>
    <row r="121">
      <c r="A121" s="62"/>
      <c r="B121" s="62"/>
      <c r="C121" s="62"/>
      <c r="D121" s="62"/>
      <c r="E121" s="62"/>
      <c r="F121" s="62"/>
      <c r="G121" s="504">
        <f>IFERROR(__xludf.DUMMYFUNCTION("""COMPUTED_VALUE"""),0.0)</f>
        <v>0</v>
      </c>
      <c r="H121" s="62"/>
      <c r="I121" s="62"/>
      <c r="J121" s="62"/>
      <c r="K121" s="62"/>
      <c r="L121" s="504">
        <f>IFERROR(__xludf.DUMMYFUNCTION("""COMPUTED_VALUE"""),0.0)</f>
        <v>0</v>
      </c>
      <c r="M121" s="504">
        <f>IFERROR(__xludf.DUMMYFUNCTION("""COMPUTED_VALUE"""),0.0)</f>
        <v>0</v>
      </c>
      <c r="N121" s="504">
        <f>IFERROR(__xludf.DUMMYFUNCTION("""COMPUTED_VALUE"""),0.0)</f>
        <v>0</v>
      </c>
      <c r="O121" s="62"/>
      <c r="P121" s="62"/>
      <c r="Q121" s="62"/>
      <c r="R121" s="62"/>
      <c r="S121" s="62"/>
      <c r="T121" s="62"/>
      <c r="U121" s="62"/>
      <c r="V121" s="62"/>
      <c r="W121" s="62"/>
      <c r="X121" s="62"/>
      <c r="Y121" s="62"/>
      <c r="Z121" s="62"/>
    </row>
    <row r="122">
      <c r="A122" s="62"/>
      <c r="B122" s="552" t="str">
        <f>IFERROR(__xludf.DUMMYFUNCTION("""COMPUTED_VALUE"""),"SMS")</f>
        <v>SMS</v>
      </c>
      <c r="C122" s="62"/>
      <c r="D122" s="62"/>
      <c r="E122" s="62"/>
      <c r="F122" s="62"/>
      <c r="G122" s="504">
        <f>IFERROR(__xludf.DUMMYFUNCTION("""COMPUTED_VALUE"""),0.0)</f>
        <v>0</v>
      </c>
      <c r="H122" s="62"/>
      <c r="I122" s="62">
        <f>IFERROR(__xludf.DUMMYFUNCTION("""COMPUTED_VALUE"""),2.0)</f>
        <v>2</v>
      </c>
      <c r="J122" s="552">
        <f>IFERROR(__xludf.DUMMYFUNCTION("""COMPUTED_VALUE"""),80000.0)</f>
        <v>80000</v>
      </c>
      <c r="K122" s="62"/>
      <c r="L122" s="504">
        <f>IFERROR(__xludf.DUMMYFUNCTION("""COMPUTED_VALUE"""),0.0)</f>
        <v>0</v>
      </c>
      <c r="M122" s="504">
        <f>IFERROR(__xludf.DUMMYFUNCTION("""COMPUTED_VALUE"""),0.0)</f>
        <v>0</v>
      </c>
      <c r="N122" s="504">
        <f>IFERROR(__xludf.DUMMYFUNCTION("""COMPUTED_VALUE"""),0.0)</f>
        <v>0</v>
      </c>
      <c r="O122" s="62"/>
      <c r="P122" s="62"/>
      <c r="Q122" s="62"/>
      <c r="R122" s="62"/>
      <c r="S122" s="62"/>
      <c r="T122" s="62"/>
      <c r="U122" s="62"/>
      <c r="V122" s="62"/>
      <c r="W122" s="62"/>
      <c r="X122" s="62"/>
      <c r="Y122" s="62"/>
      <c r="Z122" s="62"/>
    </row>
    <row r="123">
      <c r="A123" s="62"/>
      <c r="B123" s="62" t="str">
        <f>IFERROR(__xludf.DUMMYFUNCTION("""COMPUTED_VALUE"""),"紹介")</f>
        <v>紹介</v>
      </c>
      <c r="C123" s="62"/>
      <c r="D123" s="62"/>
      <c r="E123" s="62"/>
      <c r="F123" s="62"/>
      <c r="G123" s="504">
        <f>IFERROR(__xludf.DUMMYFUNCTION("""COMPUTED_VALUE"""),0.0)</f>
        <v>0</v>
      </c>
      <c r="H123" s="62"/>
      <c r="I123" s="62"/>
      <c r="J123" s="62"/>
      <c r="K123" s="62"/>
      <c r="L123" s="504">
        <f>IFERROR(__xludf.DUMMYFUNCTION("""COMPUTED_VALUE"""),0.0)</f>
        <v>0</v>
      </c>
      <c r="M123" s="504">
        <f>IFERROR(__xludf.DUMMYFUNCTION("""COMPUTED_VALUE"""),0.0)</f>
        <v>0</v>
      </c>
      <c r="N123" s="504">
        <f>IFERROR(__xludf.DUMMYFUNCTION("""COMPUTED_VALUE"""),0.0)</f>
        <v>0</v>
      </c>
      <c r="O123" s="62"/>
      <c r="P123" s="62"/>
      <c r="Q123" s="62"/>
      <c r="R123" s="62"/>
      <c r="S123" s="62"/>
      <c r="T123" s="62"/>
      <c r="U123" s="62"/>
      <c r="V123" s="62"/>
      <c r="W123" s="62"/>
      <c r="X123" s="62"/>
      <c r="Y123" s="62"/>
      <c r="Z123" s="62"/>
    </row>
    <row r="124">
      <c r="A124" s="62"/>
      <c r="B124" s="62" t="str">
        <f>IFERROR(__xludf.DUMMYFUNCTION("""COMPUTED_VALUE"""),"仁子")</f>
        <v>仁子</v>
      </c>
      <c r="C124" s="62"/>
      <c r="D124" s="62"/>
      <c r="E124" s="62"/>
      <c r="F124" s="62"/>
      <c r="G124" s="504">
        <f>IFERROR(__xludf.DUMMYFUNCTION("""COMPUTED_VALUE"""),0.0)</f>
        <v>0</v>
      </c>
      <c r="H124" s="62"/>
      <c r="I124" s="62"/>
      <c r="J124" s="62"/>
      <c r="K124" s="62"/>
      <c r="L124" s="504">
        <f>IFERROR(__xludf.DUMMYFUNCTION("""COMPUTED_VALUE"""),0.0)</f>
        <v>0</v>
      </c>
      <c r="M124" s="504">
        <f>IFERROR(__xludf.DUMMYFUNCTION("""COMPUTED_VALUE"""),0.0)</f>
        <v>0</v>
      </c>
      <c r="N124" s="504">
        <f>IFERROR(__xludf.DUMMYFUNCTION("""COMPUTED_VALUE"""),0.0)</f>
        <v>0</v>
      </c>
      <c r="O124" s="62"/>
      <c r="P124" s="62"/>
      <c r="Q124" s="62"/>
      <c r="R124" s="62"/>
      <c r="S124" s="62"/>
      <c r="T124" s="62"/>
      <c r="U124" s="62"/>
      <c r="V124" s="62"/>
      <c r="W124" s="62"/>
      <c r="X124" s="62"/>
      <c r="Y124" s="62"/>
      <c r="Z124" s="62"/>
    </row>
    <row r="125">
      <c r="A125" s="62"/>
      <c r="B125" s="62" t="str">
        <f>IFERROR(__xludf.DUMMYFUNCTION("""COMPUTED_VALUE"""),"鈴木")</f>
        <v>鈴木</v>
      </c>
      <c r="C125" s="62"/>
      <c r="D125" s="62"/>
      <c r="E125" s="62"/>
      <c r="F125" s="62"/>
      <c r="G125" s="504">
        <f>IFERROR(__xludf.DUMMYFUNCTION("""COMPUTED_VALUE"""),0.0)</f>
        <v>0</v>
      </c>
      <c r="H125" s="62"/>
      <c r="I125" s="62"/>
      <c r="J125" s="62"/>
      <c r="K125" s="62"/>
      <c r="L125" s="504">
        <f>IFERROR(__xludf.DUMMYFUNCTION("""COMPUTED_VALUE"""),0.0)</f>
        <v>0</v>
      </c>
      <c r="M125" s="504">
        <f>IFERROR(__xludf.DUMMYFUNCTION("""COMPUTED_VALUE"""),0.0)</f>
        <v>0</v>
      </c>
      <c r="N125" s="504">
        <f>IFERROR(__xludf.DUMMYFUNCTION("""COMPUTED_VALUE"""),0.0)</f>
        <v>0</v>
      </c>
      <c r="O125" s="62"/>
      <c r="P125" s="62"/>
      <c r="Q125" s="62"/>
      <c r="R125" s="62"/>
      <c r="S125" s="62"/>
      <c r="T125" s="62"/>
      <c r="U125" s="62"/>
      <c r="V125" s="62"/>
      <c r="W125" s="62"/>
      <c r="X125" s="62"/>
      <c r="Y125" s="62"/>
      <c r="Z125" s="62"/>
    </row>
    <row r="126">
      <c r="A126" s="62"/>
      <c r="B126" s="62" t="str">
        <f>IFERROR(__xludf.DUMMYFUNCTION("""COMPUTED_VALUE"""),"仲間")</f>
        <v>仲間</v>
      </c>
      <c r="C126" s="62">
        <f>IFERROR(__xludf.DUMMYFUNCTION("""COMPUTED_VALUE"""),136.0)</f>
        <v>136</v>
      </c>
      <c r="D126" s="62">
        <f>IFERROR(__xludf.DUMMYFUNCTION("""COMPUTED_VALUE"""),22.0)</f>
        <v>22</v>
      </c>
      <c r="E126" s="62"/>
      <c r="F126" s="62">
        <f>IFERROR(__xludf.DUMMYFUNCTION("""COMPUTED_VALUE"""),18.0)</f>
        <v>18</v>
      </c>
      <c r="G126" s="504">
        <f>IFERROR(__xludf.DUMMYFUNCTION("""COMPUTED_VALUE"""),0.16176470588235295)</f>
        <v>0.1617647059</v>
      </c>
      <c r="H126" s="62"/>
      <c r="I126" s="62"/>
      <c r="J126" s="62"/>
      <c r="K126" s="62"/>
      <c r="L126" s="504">
        <f>IFERROR(__xludf.DUMMYFUNCTION("""COMPUTED_VALUE"""),0.0)</f>
        <v>0</v>
      </c>
      <c r="M126" s="504">
        <f>IFERROR(__xludf.DUMMYFUNCTION("""COMPUTED_VALUE"""),0.0)</f>
        <v>0</v>
      </c>
      <c r="N126" s="504">
        <f>IFERROR(__xludf.DUMMYFUNCTION("""COMPUTED_VALUE"""),0.0)</f>
        <v>0</v>
      </c>
      <c r="O126" s="62" t="str">
        <f>IFERROR(__xludf.DUMMYFUNCTION("""COMPUTED_VALUE"""),"リストE")</f>
        <v>リストE</v>
      </c>
      <c r="P126" s="553" t="str">
        <f>IFERROR(__xludf.DUMMYFUNCTION("""COMPUTED_VALUE"""),"祝日")</f>
        <v>祝日</v>
      </c>
      <c r="Q126" s="62"/>
      <c r="R126" s="62"/>
      <c r="S126" s="62"/>
      <c r="T126" s="62"/>
      <c r="U126" s="62"/>
      <c r="V126" s="62"/>
      <c r="W126" s="62"/>
      <c r="X126" s="62"/>
      <c r="Y126" s="62"/>
      <c r="Z126" s="62"/>
    </row>
    <row r="127">
      <c r="A127" s="62"/>
      <c r="B127" s="62"/>
      <c r="C127" s="62"/>
      <c r="D127" s="62"/>
      <c r="E127" s="62"/>
      <c r="F127" s="62"/>
      <c r="G127" s="504">
        <f>IFERROR(__xludf.DUMMYFUNCTION("""COMPUTED_VALUE"""),0.0)</f>
        <v>0</v>
      </c>
      <c r="H127" s="62"/>
      <c r="I127" s="62"/>
      <c r="J127" s="62"/>
      <c r="K127" s="62"/>
      <c r="L127" s="504">
        <f>IFERROR(__xludf.DUMMYFUNCTION("""COMPUTED_VALUE"""),0.0)</f>
        <v>0</v>
      </c>
      <c r="M127" s="504">
        <f>IFERROR(__xludf.DUMMYFUNCTION("""COMPUTED_VALUE"""),0.0)</f>
        <v>0</v>
      </c>
      <c r="N127" s="504">
        <f>IFERROR(__xludf.DUMMYFUNCTION("""COMPUTED_VALUE"""),0.0)</f>
        <v>0</v>
      </c>
      <c r="O127" s="62"/>
      <c r="P127" s="62"/>
      <c r="Q127" s="62"/>
      <c r="R127" s="62"/>
      <c r="S127" s="62"/>
      <c r="T127" s="62"/>
      <c r="U127" s="62"/>
      <c r="V127" s="62"/>
      <c r="W127" s="62"/>
      <c r="X127" s="62"/>
      <c r="Y127" s="62"/>
      <c r="Z127" s="62"/>
    </row>
    <row r="128">
      <c r="A128" s="62"/>
      <c r="B128" s="62" t="str">
        <f>IFERROR(__xludf.DUMMYFUNCTION("""COMPUTED_VALUE"""),"合計")</f>
        <v>合計</v>
      </c>
      <c r="C128" s="62">
        <f>IFERROR(__xludf.DUMMYFUNCTION("""COMPUTED_VALUE"""),740.0)</f>
        <v>740</v>
      </c>
      <c r="D128" s="62">
        <f>IFERROR(__xludf.DUMMYFUNCTION("""COMPUTED_VALUE"""),89.0)</f>
        <v>89</v>
      </c>
      <c r="E128" s="62">
        <f>IFERROR(__xludf.DUMMYFUNCTION("""COMPUTED_VALUE"""),6.0)</f>
        <v>6</v>
      </c>
      <c r="F128" s="62">
        <f>IFERROR(__xludf.DUMMYFUNCTION("""COMPUTED_VALUE"""),69.0)</f>
        <v>69</v>
      </c>
      <c r="G128" s="504">
        <f>IFERROR(__xludf.DUMMYFUNCTION("""COMPUTED_VALUE"""),0.12027027027027028)</f>
        <v>0.1202702703</v>
      </c>
      <c r="H128" s="62">
        <f>IFERROR(__xludf.DUMMYFUNCTION("""COMPUTED_VALUE"""),3.0)</f>
        <v>3</v>
      </c>
      <c r="I128" s="62">
        <f>IFERROR(__xludf.DUMMYFUNCTION("""COMPUTED_VALUE"""),6.0)</f>
        <v>6</v>
      </c>
      <c r="J128" s="552">
        <f>IFERROR(__xludf.DUMMYFUNCTION("""COMPUTED_VALUE"""),190000.0)</f>
        <v>190000</v>
      </c>
      <c r="K128" s="62">
        <f>IFERROR(__xludf.DUMMYFUNCTION("""COMPUTED_VALUE"""),7.0)</f>
        <v>7</v>
      </c>
      <c r="L128" s="504">
        <f>IFERROR(__xludf.DUMMYFUNCTION("""COMPUTED_VALUE"""),0.004054054054054054)</f>
        <v>0.004054054054</v>
      </c>
      <c r="M128" s="504">
        <f>IFERROR(__xludf.DUMMYFUNCTION("""COMPUTED_VALUE"""),0.008108108108108109)</f>
        <v>0.008108108108</v>
      </c>
      <c r="N128" s="504">
        <f>IFERROR(__xludf.DUMMYFUNCTION("""COMPUTED_VALUE"""),2.0)</f>
        <v>2</v>
      </c>
      <c r="O128" s="62"/>
      <c r="P128" s="62"/>
      <c r="Q128" s="62"/>
      <c r="R128" s="62"/>
      <c r="S128" s="62"/>
      <c r="T128" s="62"/>
      <c r="U128" s="62"/>
      <c r="V128" s="62"/>
      <c r="W128" s="62"/>
      <c r="X128" s="62"/>
      <c r="Y128" s="62"/>
      <c r="Z128" s="62"/>
    </row>
    <row r="129">
      <c r="A129" s="62" t="str">
        <f>IFERROR(__xludf.DUMMYFUNCTION("""COMPUTED_VALUE"""),"日付")</f>
        <v>日付</v>
      </c>
      <c r="B129" s="62" t="str">
        <f>IFERROR(__xludf.DUMMYFUNCTION("""COMPUTED_VALUE"""),"名前")</f>
        <v>名前</v>
      </c>
      <c r="C129" s="62" t="str">
        <f>IFERROR(__xludf.DUMMYFUNCTION("""COMPUTED_VALUE"""),"打電件数")</f>
        <v>打電件数</v>
      </c>
      <c r="D129" s="62" t="str">
        <f>IFERROR(__xludf.DUMMYFUNCTION("""COMPUTED_VALUE"""),"着電件数")</f>
        <v>着電件数</v>
      </c>
      <c r="E129" s="62" t="str">
        <f>IFERROR(__xludf.DUMMYFUNCTION("""COMPUTED_VALUE"""),"折り返し件数")</f>
        <v>折り返し件数</v>
      </c>
      <c r="F129" s="62" t="str">
        <f>IFERROR(__xludf.DUMMYFUNCTION("""COMPUTED_VALUE"""),"拒否")</f>
        <v>拒否</v>
      </c>
      <c r="G129" s="62" t="str">
        <f>IFERROR(__xludf.DUMMYFUNCTION("""COMPUTED_VALUE"""),"着電率")</f>
        <v>着電率</v>
      </c>
      <c r="H129" s="62" t="str">
        <f>IFERROR(__xludf.DUMMYFUNCTION("""COMPUTED_VALUE"""),"LINE登録")</f>
        <v>LINE登録</v>
      </c>
      <c r="I129" s="62" t="str">
        <f>IFERROR(__xludf.DUMMYFUNCTION("""COMPUTED_VALUE"""),"アカウント作成")</f>
        <v>アカウント作成</v>
      </c>
      <c r="J129" s="552" t="str">
        <f>IFERROR(__xludf.DUMMYFUNCTION("""COMPUTED_VALUE"""),"新規信用枠額")</f>
        <v>新規信用枠額</v>
      </c>
      <c r="K129" s="62" t="str">
        <f>IFERROR(__xludf.DUMMYFUNCTION("""COMPUTED_VALUE"""),"リスト死回線数")</f>
        <v>リスト死回線数</v>
      </c>
      <c r="L129" s="62" t="str">
        <f>IFERROR(__xludf.DUMMYFUNCTION("""COMPUTED_VALUE"""),"LINE率(打電から)")</f>
        <v>LINE率(打電から)</v>
      </c>
      <c r="M129" s="62" t="str">
        <f>IFERROR(__xludf.DUMMYFUNCTION("""COMPUTED_VALUE"""),"アカウント作成率(打電から)")</f>
        <v>アカウント作成率(打電から)</v>
      </c>
      <c r="N129" s="62" t="str">
        <f>IFERROR(__xludf.DUMMYFUNCTION("""COMPUTED_VALUE"""),"アカウント作成率(LINEから)")</f>
        <v>アカウント作成率(LINEから)</v>
      </c>
      <c r="O129" s="62" t="str">
        <f>IFERROR(__xludf.DUMMYFUNCTION("""COMPUTED_VALUE"""),"リスト名")</f>
        <v>リスト名</v>
      </c>
      <c r="P129" s="553" t="str">
        <f>IFERROR(__xludf.DUMMYFUNCTION("""COMPUTED_VALUE"""),"日本基準")</f>
        <v>日本基準</v>
      </c>
      <c r="Q129" s="62"/>
      <c r="R129" s="62"/>
      <c r="S129" s="62"/>
      <c r="T129" s="62"/>
      <c r="U129" s="62"/>
      <c r="V129" s="62"/>
      <c r="W129" s="62"/>
      <c r="X129" s="62"/>
      <c r="Y129" s="62"/>
      <c r="Z129" s="62"/>
    </row>
    <row r="130">
      <c r="A130" s="556">
        <f>IFERROR(__xludf.DUMMYFUNCTION("""COMPUTED_VALUE"""),45907.0)</f>
        <v>45907</v>
      </c>
      <c r="B130" s="62" t="str">
        <f>IFERROR(__xludf.DUMMYFUNCTION("""COMPUTED_VALUE"""),"あり")</f>
        <v>あり</v>
      </c>
      <c r="C130" s="62">
        <f>IFERROR(__xludf.DUMMYFUNCTION("""COMPUTED_VALUE"""),85.0)</f>
        <v>85</v>
      </c>
      <c r="D130" s="62">
        <f>IFERROR(__xludf.DUMMYFUNCTION("""COMPUTED_VALUE"""),23.0)</f>
        <v>23</v>
      </c>
      <c r="E130" s="62">
        <f>IFERROR(__xludf.DUMMYFUNCTION("""COMPUTED_VALUE"""),3.0)</f>
        <v>3</v>
      </c>
      <c r="F130" s="62">
        <f>IFERROR(__xludf.DUMMYFUNCTION("""COMPUTED_VALUE"""),11.0)</f>
        <v>11</v>
      </c>
      <c r="G130" s="504">
        <f>IFERROR(__xludf.DUMMYFUNCTION("""COMPUTED_VALUE"""),0.27058823529411763)</f>
        <v>0.2705882353</v>
      </c>
      <c r="H130" s="62"/>
      <c r="I130" s="62"/>
      <c r="J130" s="62"/>
      <c r="K130" s="62"/>
      <c r="L130" s="504">
        <f>IFERROR(__xludf.DUMMYFUNCTION("""COMPUTED_VALUE"""),0.0)</f>
        <v>0</v>
      </c>
      <c r="M130" s="504">
        <f>IFERROR(__xludf.DUMMYFUNCTION("""COMPUTED_VALUE"""),0.0)</f>
        <v>0</v>
      </c>
      <c r="N130" s="504">
        <f>IFERROR(__xludf.DUMMYFUNCTION("""COMPUTED_VALUE"""),0.0)</f>
        <v>0</v>
      </c>
      <c r="O130" s="62" t="str">
        <f>IFERROR(__xludf.DUMMYFUNCTION("""COMPUTED_VALUE"""),"リストS")</f>
        <v>リストS</v>
      </c>
      <c r="P130" s="553" t="str">
        <f>IFERROR(__xludf.DUMMYFUNCTION("""COMPUTED_VALUE"""),"祝日")</f>
        <v>祝日</v>
      </c>
      <c r="Q130" s="62"/>
      <c r="R130" s="62"/>
      <c r="S130" s="62"/>
      <c r="T130" s="62"/>
      <c r="U130" s="62"/>
      <c r="V130" s="62"/>
      <c r="W130" s="62"/>
      <c r="X130" s="62"/>
      <c r="Y130" s="62"/>
      <c r="Z130" s="62"/>
    </row>
    <row r="131">
      <c r="A131" s="62"/>
      <c r="B131" s="62" t="str">
        <f>IFERROR(__xludf.DUMMYFUNCTION("""COMPUTED_VALUE"""),"しょうま")</f>
        <v>しょうま</v>
      </c>
      <c r="C131" s="62">
        <f>IFERROR(__xludf.DUMMYFUNCTION("""COMPUTED_VALUE"""),267.0)</f>
        <v>267</v>
      </c>
      <c r="D131" s="62">
        <f>IFERROR(__xludf.DUMMYFUNCTION("""COMPUTED_VALUE"""),43.0)</f>
        <v>43</v>
      </c>
      <c r="E131" s="62">
        <f>IFERROR(__xludf.DUMMYFUNCTION("""COMPUTED_VALUE"""),5.0)</f>
        <v>5</v>
      </c>
      <c r="F131" s="62">
        <f>IFERROR(__xludf.DUMMYFUNCTION("""COMPUTED_VALUE"""),39.0)</f>
        <v>39</v>
      </c>
      <c r="G131" s="504">
        <f>IFERROR(__xludf.DUMMYFUNCTION("""COMPUTED_VALUE"""),0.16104868913857678)</f>
        <v>0.1610486891</v>
      </c>
      <c r="H131" s="62">
        <f>IFERROR(__xludf.DUMMYFUNCTION("""COMPUTED_VALUE"""),1.0)</f>
        <v>1</v>
      </c>
      <c r="I131" s="62">
        <f>IFERROR(__xludf.DUMMYFUNCTION("""COMPUTED_VALUE"""),1.0)</f>
        <v>1</v>
      </c>
      <c r="J131" s="552">
        <f>IFERROR(__xludf.DUMMYFUNCTION("""COMPUTED_VALUE"""),30000.0)</f>
        <v>30000</v>
      </c>
      <c r="K131" s="62">
        <f>IFERROR(__xludf.DUMMYFUNCTION("""COMPUTED_VALUE"""),28.0)</f>
        <v>28</v>
      </c>
      <c r="L131" s="504">
        <f>IFERROR(__xludf.DUMMYFUNCTION("""COMPUTED_VALUE"""),0.003745318352059925)</f>
        <v>0.003745318352</v>
      </c>
      <c r="M131" s="504">
        <f>IFERROR(__xludf.DUMMYFUNCTION("""COMPUTED_VALUE"""),0.003745318352059925)</f>
        <v>0.003745318352</v>
      </c>
      <c r="N131" s="504">
        <f>IFERROR(__xludf.DUMMYFUNCTION("""COMPUTED_VALUE"""),1.0)</f>
        <v>1</v>
      </c>
      <c r="O131" s="62" t="str">
        <f>IFERROR(__xludf.DUMMYFUNCTION("""COMPUTED_VALUE"""),"リストS")</f>
        <v>リストS</v>
      </c>
      <c r="P131" s="553" t="str">
        <f>IFERROR(__xludf.DUMMYFUNCTION("""COMPUTED_VALUE"""),"祝日")</f>
        <v>祝日</v>
      </c>
      <c r="Q131" s="62"/>
      <c r="R131" s="62"/>
      <c r="S131" s="62"/>
      <c r="T131" s="62"/>
      <c r="U131" s="62"/>
      <c r="V131" s="62"/>
      <c r="W131" s="62"/>
      <c r="X131" s="62"/>
      <c r="Y131" s="62"/>
      <c r="Z131" s="62"/>
    </row>
    <row r="132">
      <c r="A132" s="62"/>
      <c r="B132" s="62"/>
      <c r="C132" s="62"/>
      <c r="D132" s="62"/>
      <c r="E132" s="62"/>
      <c r="F132" s="62"/>
      <c r="G132" s="504">
        <f>IFERROR(__xludf.DUMMYFUNCTION("""COMPUTED_VALUE"""),0.0)</f>
        <v>0</v>
      </c>
      <c r="H132" s="62"/>
      <c r="I132" s="62"/>
      <c r="J132" s="62"/>
      <c r="K132" s="62"/>
      <c r="L132" s="504">
        <f>IFERROR(__xludf.DUMMYFUNCTION("""COMPUTED_VALUE"""),0.0)</f>
        <v>0</v>
      </c>
      <c r="M132" s="504">
        <f>IFERROR(__xludf.DUMMYFUNCTION("""COMPUTED_VALUE"""),0.0)</f>
        <v>0</v>
      </c>
      <c r="N132" s="504">
        <f>IFERROR(__xludf.DUMMYFUNCTION("""COMPUTED_VALUE"""),0.0)</f>
        <v>0</v>
      </c>
      <c r="O132" s="62"/>
      <c r="P132" s="62"/>
      <c r="Q132" s="62"/>
      <c r="R132" s="62"/>
      <c r="S132" s="62"/>
      <c r="T132" s="62"/>
      <c r="U132" s="62"/>
      <c r="V132" s="62"/>
      <c r="W132" s="62"/>
      <c r="X132" s="62"/>
      <c r="Y132" s="62"/>
      <c r="Z132" s="62"/>
    </row>
    <row r="133">
      <c r="A133" s="62"/>
      <c r="B133" s="62" t="str">
        <f>IFERROR(__xludf.DUMMYFUNCTION("""COMPUTED_VALUE"""),"ジョーナ")</f>
        <v>ジョーナ</v>
      </c>
      <c r="C133" s="62"/>
      <c r="D133" s="62"/>
      <c r="E133" s="62"/>
      <c r="F133" s="62"/>
      <c r="G133" s="504">
        <f>IFERROR(__xludf.DUMMYFUNCTION("""COMPUTED_VALUE"""),0.0)</f>
        <v>0</v>
      </c>
      <c r="H133" s="62"/>
      <c r="I133" s="62"/>
      <c r="J133" s="62"/>
      <c r="K133" s="62"/>
      <c r="L133" s="504">
        <f>IFERROR(__xludf.DUMMYFUNCTION("""COMPUTED_VALUE"""),0.0)</f>
        <v>0</v>
      </c>
      <c r="M133" s="504">
        <f>IFERROR(__xludf.DUMMYFUNCTION("""COMPUTED_VALUE"""),0.0)</f>
        <v>0</v>
      </c>
      <c r="N133" s="504">
        <f>IFERROR(__xludf.DUMMYFUNCTION("""COMPUTED_VALUE"""),0.0)</f>
        <v>0</v>
      </c>
      <c r="O133" s="62"/>
      <c r="P133" s="62"/>
      <c r="Q133" s="62"/>
      <c r="R133" s="62"/>
      <c r="S133" s="62"/>
      <c r="T133" s="62"/>
      <c r="U133" s="62"/>
      <c r="V133" s="62"/>
      <c r="W133" s="62"/>
      <c r="X133" s="62"/>
      <c r="Y133" s="62"/>
      <c r="Z133" s="62"/>
    </row>
    <row r="134">
      <c r="A134" s="62"/>
      <c r="B134" s="62" t="str">
        <f>IFERROR(__xludf.DUMMYFUNCTION("""COMPUTED_VALUE"""),"武田")</f>
        <v>武田</v>
      </c>
      <c r="C134" s="62"/>
      <c r="D134" s="62"/>
      <c r="E134" s="62"/>
      <c r="F134" s="62"/>
      <c r="G134" s="504">
        <f>IFERROR(__xludf.DUMMYFUNCTION("""COMPUTED_VALUE"""),0.0)</f>
        <v>0</v>
      </c>
      <c r="H134" s="62"/>
      <c r="I134" s="62"/>
      <c r="J134" s="62"/>
      <c r="K134" s="62"/>
      <c r="L134" s="504">
        <f>IFERROR(__xludf.DUMMYFUNCTION("""COMPUTED_VALUE"""),0.0)</f>
        <v>0</v>
      </c>
      <c r="M134" s="504">
        <f>IFERROR(__xludf.DUMMYFUNCTION("""COMPUTED_VALUE"""),0.0)</f>
        <v>0</v>
      </c>
      <c r="N134" s="504">
        <f>IFERROR(__xludf.DUMMYFUNCTION("""COMPUTED_VALUE"""),0.0)</f>
        <v>0</v>
      </c>
      <c r="O134" s="62"/>
      <c r="P134" s="62"/>
      <c r="Q134" s="62"/>
      <c r="R134" s="62"/>
      <c r="S134" s="62"/>
      <c r="T134" s="62"/>
      <c r="U134" s="62"/>
      <c r="V134" s="62"/>
      <c r="W134" s="62"/>
      <c r="X134" s="62"/>
      <c r="Y134" s="62"/>
      <c r="Z134" s="62"/>
    </row>
    <row r="135">
      <c r="A135" s="62"/>
      <c r="B135" s="62" t="str">
        <f>IFERROR(__xludf.DUMMYFUNCTION("""COMPUTED_VALUE"""),"高木")</f>
        <v>高木</v>
      </c>
      <c r="C135" s="62"/>
      <c r="D135" s="62"/>
      <c r="E135" s="62"/>
      <c r="F135" s="62"/>
      <c r="G135" s="504">
        <f>IFERROR(__xludf.DUMMYFUNCTION("""COMPUTED_VALUE"""),0.0)</f>
        <v>0</v>
      </c>
      <c r="H135" s="62"/>
      <c r="I135" s="62"/>
      <c r="J135" s="62"/>
      <c r="K135" s="62"/>
      <c r="L135" s="504">
        <f>IFERROR(__xludf.DUMMYFUNCTION("""COMPUTED_VALUE"""),0.0)</f>
        <v>0</v>
      </c>
      <c r="M135" s="504">
        <f>IFERROR(__xludf.DUMMYFUNCTION("""COMPUTED_VALUE"""),0.0)</f>
        <v>0</v>
      </c>
      <c r="N135" s="504">
        <f>IFERROR(__xludf.DUMMYFUNCTION("""COMPUTED_VALUE"""),0.0)</f>
        <v>0</v>
      </c>
      <c r="O135" s="62"/>
      <c r="P135" s="62"/>
      <c r="Q135" s="62"/>
      <c r="R135" s="62"/>
      <c r="S135" s="62"/>
      <c r="T135" s="62"/>
      <c r="U135" s="62"/>
      <c r="V135" s="62"/>
      <c r="W135" s="62"/>
      <c r="X135" s="62"/>
      <c r="Y135" s="62"/>
      <c r="Z135" s="62"/>
    </row>
    <row r="136">
      <c r="A136" s="62"/>
      <c r="B136" s="62"/>
      <c r="C136" s="62"/>
      <c r="D136" s="62"/>
      <c r="E136" s="62"/>
      <c r="F136" s="62"/>
      <c r="G136" s="504">
        <f>IFERROR(__xludf.DUMMYFUNCTION("""COMPUTED_VALUE"""),0.0)</f>
        <v>0</v>
      </c>
      <c r="H136" s="62"/>
      <c r="I136" s="62"/>
      <c r="J136" s="62"/>
      <c r="K136" s="62"/>
      <c r="L136" s="504">
        <f>IFERROR(__xludf.DUMMYFUNCTION("""COMPUTED_VALUE"""),0.0)</f>
        <v>0</v>
      </c>
      <c r="M136" s="504">
        <f>IFERROR(__xludf.DUMMYFUNCTION("""COMPUTED_VALUE"""),0.0)</f>
        <v>0</v>
      </c>
      <c r="N136" s="504">
        <f>IFERROR(__xludf.DUMMYFUNCTION("""COMPUTED_VALUE"""),0.0)</f>
        <v>0</v>
      </c>
      <c r="O136" s="62"/>
      <c r="P136" s="62"/>
      <c r="Q136" s="62"/>
      <c r="R136" s="62"/>
      <c r="S136" s="62"/>
      <c r="T136" s="62"/>
      <c r="U136" s="62"/>
      <c r="V136" s="62"/>
      <c r="W136" s="62"/>
      <c r="X136" s="62"/>
      <c r="Y136" s="62"/>
      <c r="Z136" s="62"/>
    </row>
    <row r="137">
      <c r="A137" s="62"/>
      <c r="B137" s="62" t="str">
        <f>IFERROR(__xludf.DUMMYFUNCTION("""COMPUTED_VALUE"""),"大谷")</f>
        <v>大谷</v>
      </c>
      <c r="C137" s="62"/>
      <c r="D137" s="62"/>
      <c r="E137" s="62"/>
      <c r="F137" s="62"/>
      <c r="G137" s="504">
        <f>IFERROR(__xludf.DUMMYFUNCTION("""COMPUTED_VALUE"""),0.0)</f>
        <v>0</v>
      </c>
      <c r="H137" s="62"/>
      <c r="I137" s="62"/>
      <c r="J137" s="62"/>
      <c r="K137" s="62"/>
      <c r="L137" s="504">
        <f>IFERROR(__xludf.DUMMYFUNCTION("""COMPUTED_VALUE"""),0.0)</f>
        <v>0</v>
      </c>
      <c r="M137" s="504">
        <f>IFERROR(__xludf.DUMMYFUNCTION("""COMPUTED_VALUE"""),0.0)</f>
        <v>0</v>
      </c>
      <c r="N137" s="504">
        <f>IFERROR(__xludf.DUMMYFUNCTION("""COMPUTED_VALUE"""),0.0)</f>
        <v>0</v>
      </c>
      <c r="O137" s="62"/>
      <c r="P137" s="62"/>
      <c r="Q137" s="62"/>
      <c r="R137" s="62"/>
      <c r="S137" s="62"/>
      <c r="T137" s="62"/>
      <c r="U137" s="62"/>
      <c r="V137" s="62"/>
      <c r="W137" s="62"/>
      <c r="X137" s="62"/>
      <c r="Y137" s="62"/>
      <c r="Z137" s="62"/>
    </row>
    <row r="138">
      <c r="A138" s="62"/>
      <c r="B138" s="62"/>
      <c r="C138" s="62"/>
      <c r="D138" s="62"/>
      <c r="E138" s="62"/>
      <c r="F138" s="62"/>
      <c r="G138" s="504">
        <f>IFERROR(__xludf.DUMMYFUNCTION("""COMPUTED_VALUE"""),0.0)</f>
        <v>0</v>
      </c>
      <c r="H138" s="62"/>
      <c r="I138" s="62"/>
      <c r="J138" s="62"/>
      <c r="K138" s="62"/>
      <c r="L138" s="504">
        <f>IFERROR(__xludf.DUMMYFUNCTION("""COMPUTED_VALUE"""),0.0)</f>
        <v>0</v>
      </c>
      <c r="M138" s="504">
        <f>IFERROR(__xludf.DUMMYFUNCTION("""COMPUTED_VALUE"""),0.0)</f>
        <v>0</v>
      </c>
      <c r="N138" s="504">
        <f>IFERROR(__xludf.DUMMYFUNCTION("""COMPUTED_VALUE"""),0.0)</f>
        <v>0</v>
      </c>
      <c r="O138" s="62"/>
      <c r="P138" s="62"/>
      <c r="Q138" s="62"/>
      <c r="R138" s="62"/>
      <c r="S138" s="62"/>
      <c r="T138" s="62"/>
      <c r="U138" s="62"/>
      <c r="V138" s="62"/>
      <c r="W138" s="62"/>
      <c r="X138" s="62"/>
      <c r="Y138" s="62"/>
      <c r="Z138" s="62"/>
    </row>
    <row r="139">
      <c r="A139" s="62"/>
      <c r="B139" s="62" t="str">
        <f>IFERROR(__xludf.DUMMYFUNCTION("""COMPUTED_VALUE"""),"森")</f>
        <v>森</v>
      </c>
      <c r="C139" s="62"/>
      <c r="D139" s="62"/>
      <c r="E139" s="62"/>
      <c r="F139" s="62"/>
      <c r="G139" s="504">
        <f>IFERROR(__xludf.DUMMYFUNCTION("""COMPUTED_VALUE"""),0.0)</f>
        <v>0</v>
      </c>
      <c r="H139" s="62"/>
      <c r="I139" s="62"/>
      <c r="J139" s="62"/>
      <c r="K139" s="62"/>
      <c r="L139" s="504">
        <f>IFERROR(__xludf.DUMMYFUNCTION("""COMPUTED_VALUE"""),0.0)</f>
        <v>0</v>
      </c>
      <c r="M139" s="504">
        <f>IFERROR(__xludf.DUMMYFUNCTION("""COMPUTED_VALUE"""),0.0)</f>
        <v>0</v>
      </c>
      <c r="N139" s="504">
        <f>IFERROR(__xludf.DUMMYFUNCTION("""COMPUTED_VALUE"""),0.0)</f>
        <v>0</v>
      </c>
      <c r="O139" s="62"/>
      <c r="P139" s="62"/>
      <c r="Q139" s="62"/>
      <c r="R139" s="62"/>
      <c r="S139" s="62"/>
      <c r="T139" s="62"/>
      <c r="U139" s="62"/>
      <c r="V139" s="62"/>
      <c r="W139" s="62"/>
      <c r="X139" s="62"/>
      <c r="Y139" s="62"/>
      <c r="Z139" s="62"/>
    </row>
    <row r="140">
      <c r="A140" s="62"/>
      <c r="B140" s="62"/>
      <c r="C140" s="62"/>
      <c r="D140" s="62"/>
      <c r="E140" s="62"/>
      <c r="F140" s="62"/>
      <c r="G140" s="504">
        <f>IFERROR(__xludf.DUMMYFUNCTION("""COMPUTED_VALUE"""),0.0)</f>
        <v>0</v>
      </c>
      <c r="H140" s="62"/>
      <c r="I140" s="62"/>
      <c r="J140" s="62"/>
      <c r="K140" s="62"/>
      <c r="L140" s="504">
        <f>IFERROR(__xludf.DUMMYFUNCTION("""COMPUTED_VALUE"""),0.0)</f>
        <v>0</v>
      </c>
      <c r="M140" s="504">
        <f>IFERROR(__xludf.DUMMYFUNCTION("""COMPUTED_VALUE"""),0.0)</f>
        <v>0</v>
      </c>
      <c r="N140" s="504">
        <f>IFERROR(__xludf.DUMMYFUNCTION("""COMPUTED_VALUE"""),0.0)</f>
        <v>0</v>
      </c>
      <c r="O140" s="62"/>
      <c r="P140" s="62"/>
      <c r="Q140" s="62"/>
      <c r="R140" s="62"/>
      <c r="S140" s="62"/>
      <c r="T140" s="62"/>
      <c r="U140" s="62"/>
      <c r="V140" s="62"/>
      <c r="W140" s="62"/>
      <c r="X140" s="62"/>
      <c r="Y140" s="62"/>
      <c r="Z140" s="62"/>
    </row>
    <row r="141">
      <c r="A141" s="62"/>
      <c r="B141" s="62" t="str">
        <f>IFERROR(__xludf.DUMMYFUNCTION("""COMPUTED_VALUE"""),"金子")</f>
        <v>金子</v>
      </c>
      <c r="C141" s="62"/>
      <c r="D141" s="62"/>
      <c r="E141" s="62"/>
      <c r="F141" s="62"/>
      <c r="G141" s="504">
        <f>IFERROR(__xludf.DUMMYFUNCTION("""COMPUTED_VALUE"""),0.0)</f>
        <v>0</v>
      </c>
      <c r="H141" s="62"/>
      <c r="I141" s="62"/>
      <c r="J141" s="62"/>
      <c r="K141" s="62"/>
      <c r="L141" s="504">
        <f>IFERROR(__xludf.DUMMYFUNCTION("""COMPUTED_VALUE"""),0.0)</f>
        <v>0</v>
      </c>
      <c r="M141" s="504">
        <f>IFERROR(__xludf.DUMMYFUNCTION("""COMPUTED_VALUE"""),0.0)</f>
        <v>0</v>
      </c>
      <c r="N141" s="504">
        <f>IFERROR(__xludf.DUMMYFUNCTION("""COMPUTED_VALUE"""),0.0)</f>
        <v>0</v>
      </c>
      <c r="O141" s="62"/>
      <c r="P141" s="62"/>
      <c r="Q141" s="62"/>
      <c r="R141" s="62"/>
      <c r="S141" s="62"/>
      <c r="T141" s="62"/>
      <c r="U141" s="62"/>
      <c r="V141" s="62"/>
      <c r="W141" s="62"/>
      <c r="X141" s="62"/>
      <c r="Y141" s="62"/>
      <c r="Z141" s="62"/>
    </row>
    <row r="142">
      <c r="A142" s="62"/>
      <c r="B142" s="62"/>
      <c r="C142" s="62"/>
      <c r="D142" s="62"/>
      <c r="E142" s="62"/>
      <c r="F142" s="62"/>
      <c r="G142" s="504">
        <f>IFERROR(__xludf.DUMMYFUNCTION("""COMPUTED_VALUE"""),0.0)</f>
        <v>0</v>
      </c>
      <c r="H142" s="62"/>
      <c r="I142" s="62"/>
      <c r="J142" s="62"/>
      <c r="K142" s="62"/>
      <c r="L142" s="504">
        <f>IFERROR(__xludf.DUMMYFUNCTION("""COMPUTED_VALUE"""),0.0)</f>
        <v>0</v>
      </c>
      <c r="M142" s="504">
        <f>IFERROR(__xludf.DUMMYFUNCTION("""COMPUTED_VALUE"""),0.0)</f>
        <v>0</v>
      </c>
      <c r="N142" s="504">
        <f>IFERROR(__xludf.DUMMYFUNCTION("""COMPUTED_VALUE"""),0.0)</f>
        <v>0</v>
      </c>
      <c r="O142" s="62"/>
      <c r="P142" s="62"/>
      <c r="Q142" s="62"/>
      <c r="R142" s="62"/>
      <c r="S142" s="62"/>
      <c r="T142" s="62"/>
      <c r="U142" s="62"/>
      <c r="V142" s="62"/>
      <c r="W142" s="62"/>
      <c r="X142" s="62"/>
      <c r="Y142" s="62"/>
      <c r="Z142" s="62"/>
    </row>
    <row r="143">
      <c r="A143" s="62"/>
      <c r="B143" s="552" t="str">
        <f>IFERROR(__xludf.DUMMYFUNCTION("""COMPUTED_VALUE"""),"SMS")</f>
        <v>SMS</v>
      </c>
      <c r="C143" s="62"/>
      <c r="D143" s="62"/>
      <c r="E143" s="62"/>
      <c r="F143" s="62"/>
      <c r="G143" s="504">
        <f>IFERROR(__xludf.DUMMYFUNCTION("""COMPUTED_VALUE"""),0.0)</f>
        <v>0</v>
      </c>
      <c r="H143" s="62"/>
      <c r="I143" s="62">
        <f>IFERROR(__xludf.DUMMYFUNCTION("""COMPUTED_VALUE"""),2.0)</f>
        <v>2</v>
      </c>
      <c r="J143" s="552">
        <f>IFERROR(__xludf.DUMMYFUNCTION("""COMPUTED_VALUE"""),100000.0)</f>
        <v>100000</v>
      </c>
      <c r="K143" s="62"/>
      <c r="L143" s="504">
        <f>IFERROR(__xludf.DUMMYFUNCTION("""COMPUTED_VALUE"""),0.0)</f>
        <v>0</v>
      </c>
      <c r="M143" s="504">
        <f>IFERROR(__xludf.DUMMYFUNCTION("""COMPUTED_VALUE"""),0.0)</f>
        <v>0</v>
      </c>
      <c r="N143" s="504">
        <f>IFERROR(__xludf.DUMMYFUNCTION("""COMPUTED_VALUE"""),0.0)</f>
        <v>0</v>
      </c>
      <c r="O143" s="62"/>
      <c r="P143" s="62"/>
      <c r="Q143" s="62"/>
      <c r="R143" s="62"/>
      <c r="S143" s="62"/>
      <c r="T143" s="62"/>
      <c r="U143" s="62"/>
      <c r="V143" s="62"/>
      <c r="W143" s="62"/>
      <c r="X143" s="62"/>
      <c r="Y143" s="62"/>
      <c r="Z143" s="62"/>
    </row>
    <row r="144">
      <c r="A144" s="62"/>
      <c r="B144" s="62" t="str">
        <f>IFERROR(__xludf.DUMMYFUNCTION("""COMPUTED_VALUE"""),"紹介")</f>
        <v>紹介</v>
      </c>
      <c r="C144" s="62"/>
      <c r="D144" s="62"/>
      <c r="E144" s="62"/>
      <c r="F144" s="62"/>
      <c r="G144" s="504">
        <f>IFERROR(__xludf.DUMMYFUNCTION("""COMPUTED_VALUE"""),0.0)</f>
        <v>0</v>
      </c>
      <c r="H144" s="62"/>
      <c r="I144" s="62"/>
      <c r="J144" s="62"/>
      <c r="K144" s="62"/>
      <c r="L144" s="504">
        <f>IFERROR(__xludf.DUMMYFUNCTION("""COMPUTED_VALUE"""),0.0)</f>
        <v>0</v>
      </c>
      <c r="M144" s="504">
        <f>IFERROR(__xludf.DUMMYFUNCTION("""COMPUTED_VALUE"""),0.0)</f>
        <v>0</v>
      </c>
      <c r="N144" s="504">
        <f>IFERROR(__xludf.DUMMYFUNCTION("""COMPUTED_VALUE"""),0.0)</f>
        <v>0</v>
      </c>
      <c r="O144" s="62"/>
      <c r="P144" s="62"/>
      <c r="Q144" s="62"/>
      <c r="R144" s="62"/>
      <c r="S144" s="62"/>
      <c r="T144" s="62"/>
      <c r="U144" s="62"/>
      <c r="V144" s="62"/>
      <c r="W144" s="62"/>
      <c r="X144" s="62"/>
      <c r="Y144" s="62"/>
      <c r="Z144" s="62"/>
    </row>
    <row r="145">
      <c r="A145" s="62"/>
      <c r="B145" s="62" t="str">
        <f>IFERROR(__xludf.DUMMYFUNCTION("""COMPUTED_VALUE"""),"仁子")</f>
        <v>仁子</v>
      </c>
      <c r="C145" s="62"/>
      <c r="D145" s="62"/>
      <c r="E145" s="62"/>
      <c r="F145" s="62"/>
      <c r="G145" s="504">
        <f>IFERROR(__xludf.DUMMYFUNCTION("""COMPUTED_VALUE"""),0.0)</f>
        <v>0</v>
      </c>
      <c r="H145" s="62"/>
      <c r="I145" s="62"/>
      <c r="J145" s="62"/>
      <c r="K145" s="62"/>
      <c r="L145" s="504">
        <f>IFERROR(__xludf.DUMMYFUNCTION("""COMPUTED_VALUE"""),0.0)</f>
        <v>0</v>
      </c>
      <c r="M145" s="504">
        <f>IFERROR(__xludf.DUMMYFUNCTION("""COMPUTED_VALUE"""),0.0)</f>
        <v>0</v>
      </c>
      <c r="N145" s="504">
        <f>IFERROR(__xludf.DUMMYFUNCTION("""COMPUTED_VALUE"""),0.0)</f>
        <v>0</v>
      </c>
      <c r="O145" s="62"/>
      <c r="P145" s="62"/>
      <c r="Q145" s="62"/>
      <c r="R145" s="62"/>
      <c r="S145" s="62"/>
      <c r="T145" s="62"/>
      <c r="U145" s="62"/>
      <c r="V145" s="62"/>
      <c r="W145" s="62"/>
      <c r="X145" s="62"/>
      <c r="Y145" s="62"/>
      <c r="Z145" s="62"/>
    </row>
    <row r="146">
      <c r="A146" s="62"/>
      <c r="B146" s="62" t="str">
        <f>IFERROR(__xludf.DUMMYFUNCTION("""COMPUTED_VALUE"""),"鈴木")</f>
        <v>鈴木</v>
      </c>
      <c r="C146" s="62"/>
      <c r="D146" s="62"/>
      <c r="E146" s="62"/>
      <c r="F146" s="62"/>
      <c r="G146" s="504">
        <f>IFERROR(__xludf.DUMMYFUNCTION("""COMPUTED_VALUE"""),0.0)</f>
        <v>0</v>
      </c>
      <c r="H146" s="62"/>
      <c r="I146" s="62"/>
      <c r="J146" s="62"/>
      <c r="K146" s="62"/>
      <c r="L146" s="504">
        <f>IFERROR(__xludf.DUMMYFUNCTION("""COMPUTED_VALUE"""),0.0)</f>
        <v>0</v>
      </c>
      <c r="M146" s="504">
        <f>IFERROR(__xludf.DUMMYFUNCTION("""COMPUTED_VALUE"""),0.0)</f>
        <v>0</v>
      </c>
      <c r="N146" s="504">
        <f>IFERROR(__xludf.DUMMYFUNCTION("""COMPUTED_VALUE"""),0.0)</f>
        <v>0</v>
      </c>
      <c r="O146" s="62"/>
      <c r="P146" s="62"/>
      <c r="Q146" s="62"/>
      <c r="R146" s="62"/>
      <c r="S146" s="62"/>
      <c r="T146" s="62"/>
      <c r="U146" s="62"/>
      <c r="V146" s="62"/>
      <c r="W146" s="62"/>
      <c r="X146" s="62"/>
      <c r="Y146" s="62"/>
      <c r="Z146" s="62"/>
    </row>
    <row r="147">
      <c r="A147" s="62"/>
      <c r="B147" s="62" t="str">
        <f>IFERROR(__xludf.DUMMYFUNCTION("""COMPUTED_VALUE"""),"仲間")</f>
        <v>仲間</v>
      </c>
      <c r="C147" s="62"/>
      <c r="D147" s="62"/>
      <c r="E147" s="62"/>
      <c r="F147" s="62"/>
      <c r="G147" s="504">
        <f>IFERROR(__xludf.DUMMYFUNCTION("""COMPUTED_VALUE"""),0.0)</f>
        <v>0</v>
      </c>
      <c r="H147" s="62"/>
      <c r="I147" s="62"/>
      <c r="J147" s="62"/>
      <c r="K147" s="62"/>
      <c r="L147" s="504">
        <f>IFERROR(__xludf.DUMMYFUNCTION("""COMPUTED_VALUE"""),0.0)</f>
        <v>0</v>
      </c>
      <c r="M147" s="504">
        <f>IFERROR(__xludf.DUMMYFUNCTION("""COMPUTED_VALUE"""),0.0)</f>
        <v>0</v>
      </c>
      <c r="N147" s="504">
        <f>IFERROR(__xludf.DUMMYFUNCTION("""COMPUTED_VALUE"""),0.0)</f>
        <v>0</v>
      </c>
      <c r="O147" s="62"/>
      <c r="P147" s="62"/>
      <c r="Q147" s="62"/>
      <c r="R147" s="62"/>
      <c r="S147" s="62"/>
      <c r="T147" s="62"/>
      <c r="U147" s="62"/>
      <c r="V147" s="62"/>
      <c r="W147" s="62"/>
      <c r="X147" s="62"/>
      <c r="Y147" s="62"/>
      <c r="Z147" s="62"/>
    </row>
    <row r="148">
      <c r="A148" s="62"/>
      <c r="B148" s="62"/>
      <c r="C148" s="62"/>
      <c r="D148" s="62"/>
      <c r="E148" s="62"/>
      <c r="F148" s="62"/>
      <c r="G148" s="504">
        <f>IFERROR(__xludf.DUMMYFUNCTION("""COMPUTED_VALUE"""),0.0)</f>
        <v>0</v>
      </c>
      <c r="H148" s="62"/>
      <c r="I148" s="62"/>
      <c r="J148" s="62"/>
      <c r="K148" s="62"/>
      <c r="L148" s="504">
        <f>IFERROR(__xludf.DUMMYFUNCTION("""COMPUTED_VALUE"""),0.0)</f>
        <v>0</v>
      </c>
      <c r="M148" s="504">
        <f>IFERROR(__xludf.DUMMYFUNCTION("""COMPUTED_VALUE"""),0.0)</f>
        <v>0</v>
      </c>
      <c r="N148" s="504">
        <f>IFERROR(__xludf.DUMMYFUNCTION("""COMPUTED_VALUE"""),0.0)</f>
        <v>0</v>
      </c>
      <c r="O148" s="62"/>
      <c r="P148" s="62"/>
      <c r="Q148" s="62"/>
      <c r="R148" s="62"/>
      <c r="S148" s="62"/>
      <c r="T148" s="62"/>
      <c r="U148" s="62"/>
      <c r="V148" s="62"/>
      <c r="W148" s="62"/>
      <c r="X148" s="62"/>
      <c r="Y148" s="62"/>
      <c r="Z148" s="62"/>
    </row>
    <row r="149">
      <c r="A149" s="62"/>
      <c r="B149" s="62" t="str">
        <f>IFERROR(__xludf.DUMMYFUNCTION("""COMPUTED_VALUE"""),"合計")</f>
        <v>合計</v>
      </c>
      <c r="C149" s="62">
        <f>IFERROR(__xludf.DUMMYFUNCTION("""COMPUTED_VALUE"""),352.0)</f>
        <v>352</v>
      </c>
      <c r="D149" s="62">
        <f>IFERROR(__xludf.DUMMYFUNCTION("""COMPUTED_VALUE"""),66.0)</f>
        <v>66</v>
      </c>
      <c r="E149" s="62">
        <f>IFERROR(__xludf.DUMMYFUNCTION("""COMPUTED_VALUE"""),8.0)</f>
        <v>8</v>
      </c>
      <c r="F149" s="62">
        <f>IFERROR(__xludf.DUMMYFUNCTION("""COMPUTED_VALUE"""),50.0)</f>
        <v>50</v>
      </c>
      <c r="G149" s="504">
        <f>IFERROR(__xludf.DUMMYFUNCTION("""COMPUTED_VALUE"""),0.1875)</f>
        <v>0.1875</v>
      </c>
      <c r="H149" s="62">
        <f>IFERROR(__xludf.DUMMYFUNCTION("""COMPUTED_VALUE"""),1.0)</f>
        <v>1</v>
      </c>
      <c r="I149" s="62">
        <f>IFERROR(__xludf.DUMMYFUNCTION("""COMPUTED_VALUE"""),3.0)</f>
        <v>3</v>
      </c>
      <c r="J149" s="552">
        <f>IFERROR(__xludf.DUMMYFUNCTION("""COMPUTED_VALUE"""),130000.0)</f>
        <v>130000</v>
      </c>
      <c r="K149" s="62">
        <f>IFERROR(__xludf.DUMMYFUNCTION("""COMPUTED_VALUE"""),28.0)</f>
        <v>28</v>
      </c>
      <c r="L149" s="504">
        <f>IFERROR(__xludf.DUMMYFUNCTION("""COMPUTED_VALUE"""),0.002840909090909091)</f>
        <v>0.002840909091</v>
      </c>
      <c r="M149" s="504">
        <f>IFERROR(__xludf.DUMMYFUNCTION("""COMPUTED_VALUE"""),0.008522727272727272)</f>
        <v>0.008522727273</v>
      </c>
      <c r="N149" s="504">
        <f>IFERROR(__xludf.DUMMYFUNCTION("""COMPUTED_VALUE"""),3.0)</f>
        <v>3</v>
      </c>
      <c r="O149" s="62"/>
      <c r="P149" s="62"/>
      <c r="Q149" s="62"/>
      <c r="R149" s="62"/>
      <c r="S149" s="62"/>
      <c r="T149" s="62"/>
      <c r="U149" s="62"/>
      <c r="V149" s="62"/>
      <c r="W149" s="62"/>
      <c r="X149" s="62"/>
      <c r="Y149" s="62"/>
      <c r="Z149" s="62"/>
    </row>
    <row r="150">
      <c r="A150" s="62" t="str">
        <f>IFERROR(__xludf.DUMMYFUNCTION("""COMPUTED_VALUE"""),"日付")</f>
        <v>日付</v>
      </c>
      <c r="B150" s="62" t="str">
        <f>IFERROR(__xludf.DUMMYFUNCTION("""COMPUTED_VALUE"""),"名前")</f>
        <v>名前</v>
      </c>
      <c r="C150" s="62" t="str">
        <f>IFERROR(__xludf.DUMMYFUNCTION("""COMPUTED_VALUE"""),"打電件数")</f>
        <v>打電件数</v>
      </c>
      <c r="D150" s="62" t="str">
        <f>IFERROR(__xludf.DUMMYFUNCTION("""COMPUTED_VALUE"""),"着電件数")</f>
        <v>着電件数</v>
      </c>
      <c r="E150" s="62" t="str">
        <f>IFERROR(__xludf.DUMMYFUNCTION("""COMPUTED_VALUE"""),"折り返し件数")</f>
        <v>折り返し件数</v>
      </c>
      <c r="F150" s="62" t="str">
        <f>IFERROR(__xludf.DUMMYFUNCTION("""COMPUTED_VALUE"""),"拒否")</f>
        <v>拒否</v>
      </c>
      <c r="G150" s="62" t="str">
        <f>IFERROR(__xludf.DUMMYFUNCTION("""COMPUTED_VALUE"""),"着電率")</f>
        <v>着電率</v>
      </c>
      <c r="H150" s="62" t="str">
        <f>IFERROR(__xludf.DUMMYFUNCTION("""COMPUTED_VALUE"""),"LINE登録")</f>
        <v>LINE登録</v>
      </c>
      <c r="I150" s="62" t="str">
        <f>IFERROR(__xludf.DUMMYFUNCTION("""COMPUTED_VALUE"""),"アカウント作成")</f>
        <v>アカウント作成</v>
      </c>
      <c r="J150" s="552" t="str">
        <f>IFERROR(__xludf.DUMMYFUNCTION("""COMPUTED_VALUE"""),"新規信用枠額")</f>
        <v>新規信用枠額</v>
      </c>
      <c r="K150" s="62" t="str">
        <f>IFERROR(__xludf.DUMMYFUNCTION("""COMPUTED_VALUE"""),"リスト死回線数")</f>
        <v>リスト死回線数</v>
      </c>
      <c r="L150" s="62" t="str">
        <f>IFERROR(__xludf.DUMMYFUNCTION("""COMPUTED_VALUE"""),"LINE率(打電から)")</f>
        <v>LINE率(打電から)</v>
      </c>
      <c r="M150" s="62" t="str">
        <f>IFERROR(__xludf.DUMMYFUNCTION("""COMPUTED_VALUE"""),"アカウント作成率(打電から)")</f>
        <v>アカウント作成率(打電から)</v>
      </c>
      <c r="N150" s="62" t="str">
        <f>IFERROR(__xludf.DUMMYFUNCTION("""COMPUTED_VALUE"""),"アカウント作成率(LINEから)")</f>
        <v>アカウント作成率(LINEから)</v>
      </c>
      <c r="O150" s="62" t="str">
        <f>IFERROR(__xludf.DUMMYFUNCTION("""COMPUTED_VALUE"""),"リスト名")</f>
        <v>リスト名</v>
      </c>
      <c r="P150" s="553" t="str">
        <f>IFERROR(__xludf.DUMMYFUNCTION("""COMPUTED_VALUE"""),"日本基準")</f>
        <v>日本基準</v>
      </c>
      <c r="Q150" s="62"/>
      <c r="R150" s="62"/>
      <c r="S150" s="62"/>
      <c r="T150" s="62"/>
      <c r="U150" s="62"/>
      <c r="V150" s="62"/>
      <c r="W150" s="62"/>
      <c r="X150" s="62"/>
      <c r="Y150" s="62"/>
      <c r="Z150" s="62"/>
    </row>
    <row r="151">
      <c r="A151" s="556">
        <f>IFERROR(__xludf.DUMMYFUNCTION("""COMPUTED_VALUE"""),45908.0)</f>
        <v>45908</v>
      </c>
      <c r="B151" s="62" t="str">
        <f>IFERROR(__xludf.DUMMYFUNCTION("""COMPUTED_VALUE"""),"あり")</f>
        <v>あり</v>
      </c>
      <c r="C151" s="62">
        <f>IFERROR(__xludf.DUMMYFUNCTION("""COMPUTED_VALUE"""),85.0)</f>
        <v>85</v>
      </c>
      <c r="D151" s="62">
        <f>IFERROR(__xludf.DUMMYFUNCTION("""COMPUTED_VALUE"""),23.0)</f>
        <v>23</v>
      </c>
      <c r="E151" s="62">
        <f>IFERROR(__xludf.DUMMYFUNCTION("""COMPUTED_VALUE"""),3.0)</f>
        <v>3</v>
      </c>
      <c r="F151" s="62">
        <f>IFERROR(__xludf.DUMMYFUNCTION("""COMPUTED_VALUE"""),11.0)</f>
        <v>11</v>
      </c>
      <c r="G151" s="504">
        <f>IFERROR(__xludf.DUMMYFUNCTION("""COMPUTED_VALUE"""),0.27058823529411763)</f>
        <v>0.2705882353</v>
      </c>
      <c r="H151" s="62">
        <f>IFERROR(__xludf.DUMMYFUNCTION("""COMPUTED_VALUE"""),2.0)</f>
        <v>2</v>
      </c>
      <c r="I151" s="62">
        <f>IFERROR(__xludf.DUMMYFUNCTION("""COMPUTED_VALUE"""),1.0)</f>
        <v>1</v>
      </c>
      <c r="J151" s="552">
        <f>IFERROR(__xludf.DUMMYFUNCTION("""COMPUTED_VALUE"""),0.0)</f>
        <v>0</v>
      </c>
      <c r="K151" s="62"/>
      <c r="L151" s="504">
        <f>IFERROR(__xludf.DUMMYFUNCTION("""COMPUTED_VALUE"""),0.023529411764705882)</f>
        <v>0.02352941176</v>
      </c>
      <c r="M151" s="504">
        <f>IFERROR(__xludf.DUMMYFUNCTION("""COMPUTED_VALUE"""),0.011764705882352941)</f>
        <v>0.01176470588</v>
      </c>
      <c r="N151" s="504">
        <f>IFERROR(__xludf.DUMMYFUNCTION("""COMPUTED_VALUE"""),0.5)</f>
        <v>0.5</v>
      </c>
      <c r="O151" s="62" t="str">
        <f>IFERROR(__xludf.DUMMYFUNCTION("""COMPUTED_VALUE"""),"リストS")</f>
        <v>リストS</v>
      </c>
      <c r="P151" s="553" t="str">
        <f>IFERROR(__xludf.DUMMYFUNCTION("""COMPUTED_VALUE"""),"平日")</f>
        <v>平日</v>
      </c>
      <c r="Q151" s="62"/>
      <c r="R151" s="62"/>
      <c r="S151" s="62"/>
      <c r="T151" s="62"/>
      <c r="U151" s="62"/>
      <c r="V151" s="62"/>
      <c r="W151" s="62"/>
      <c r="X151" s="62"/>
      <c r="Y151" s="62"/>
      <c r="Z151" s="62"/>
    </row>
    <row r="152">
      <c r="A152" s="62"/>
      <c r="B152" s="62" t="str">
        <f>IFERROR(__xludf.DUMMYFUNCTION("""COMPUTED_VALUE"""),"しょうま")</f>
        <v>しょうま</v>
      </c>
      <c r="C152" s="62">
        <f>IFERROR(__xludf.DUMMYFUNCTION("""COMPUTED_VALUE"""),227.0)</f>
        <v>227</v>
      </c>
      <c r="D152" s="62">
        <f>IFERROR(__xludf.DUMMYFUNCTION("""COMPUTED_VALUE"""),29.0)</f>
        <v>29</v>
      </c>
      <c r="E152" s="62">
        <f>IFERROR(__xludf.DUMMYFUNCTION("""COMPUTED_VALUE"""),7.0)</f>
        <v>7</v>
      </c>
      <c r="F152" s="62">
        <f>IFERROR(__xludf.DUMMYFUNCTION("""COMPUTED_VALUE"""),25.0)</f>
        <v>25</v>
      </c>
      <c r="G152" s="504">
        <f>IFERROR(__xludf.DUMMYFUNCTION("""COMPUTED_VALUE"""),0.1277533039647577)</f>
        <v>0.127753304</v>
      </c>
      <c r="H152" s="62">
        <f>IFERROR(__xludf.DUMMYFUNCTION("""COMPUTED_VALUE"""),1.0)</f>
        <v>1</v>
      </c>
      <c r="I152" s="62">
        <f>IFERROR(__xludf.DUMMYFUNCTION("""COMPUTED_VALUE"""),1.0)</f>
        <v>1</v>
      </c>
      <c r="J152" s="552">
        <f>IFERROR(__xludf.DUMMYFUNCTION("""COMPUTED_VALUE"""),30000.0)</f>
        <v>30000</v>
      </c>
      <c r="K152" s="62">
        <f>IFERROR(__xludf.DUMMYFUNCTION("""COMPUTED_VALUE"""),28.0)</f>
        <v>28</v>
      </c>
      <c r="L152" s="504">
        <f>IFERROR(__xludf.DUMMYFUNCTION("""COMPUTED_VALUE"""),0.004405286343612335)</f>
        <v>0.004405286344</v>
      </c>
      <c r="M152" s="504">
        <f>IFERROR(__xludf.DUMMYFUNCTION("""COMPUTED_VALUE"""),0.004405286343612335)</f>
        <v>0.004405286344</v>
      </c>
      <c r="N152" s="504">
        <f>IFERROR(__xludf.DUMMYFUNCTION("""COMPUTED_VALUE"""),1.0)</f>
        <v>1</v>
      </c>
      <c r="O152" s="62"/>
      <c r="P152" s="62"/>
      <c r="Q152" s="62"/>
      <c r="R152" s="62"/>
      <c r="S152" s="62"/>
      <c r="T152" s="62"/>
      <c r="U152" s="62"/>
      <c r="V152" s="62"/>
      <c r="W152" s="62"/>
      <c r="X152" s="62"/>
      <c r="Y152" s="62"/>
      <c r="Z152" s="62"/>
    </row>
    <row r="153">
      <c r="A153" s="62"/>
      <c r="B153" s="62"/>
      <c r="C153" s="62"/>
      <c r="D153" s="62"/>
      <c r="E153" s="62"/>
      <c r="F153" s="62"/>
      <c r="G153" s="504">
        <f>IFERROR(__xludf.DUMMYFUNCTION("""COMPUTED_VALUE"""),0.0)</f>
        <v>0</v>
      </c>
      <c r="H153" s="62"/>
      <c r="I153" s="62"/>
      <c r="J153" s="62"/>
      <c r="K153" s="62"/>
      <c r="L153" s="504">
        <f>IFERROR(__xludf.DUMMYFUNCTION("""COMPUTED_VALUE"""),0.0)</f>
        <v>0</v>
      </c>
      <c r="M153" s="504">
        <f>IFERROR(__xludf.DUMMYFUNCTION("""COMPUTED_VALUE"""),0.0)</f>
        <v>0</v>
      </c>
      <c r="N153" s="504">
        <f>IFERROR(__xludf.DUMMYFUNCTION("""COMPUTED_VALUE"""),0.0)</f>
        <v>0</v>
      </c>
      <c r="O153" s="62"/>
      <c r="P153" s="62"/>
      <c r="Q153" s="62"/>
      <c r="R153" s="62"/>
      <c r="S153" s="62"/>
      <c r="T153" s="62"/>
      <c r="U153" s="62"/>
      <c r="V153" s="62"/>
      <c r="W153" s="62"/>
      <c r="X153" s="62"/>
      <c r="Y153" s="62"/>
      <c r="Z153" s="62"/>
    </row>
    <row r="154">
      <c r="A154" s="62"/>
      <c r="B154" s="62" t="str">
        <f>IFERROR(__xludf.DUMMYFUNCTION("""COMPUTED_VALUE"""),"ジョーナ")</f>
        <v>ジョーナ</v>
      </c>
      <c r="C154" s="62"/>
      <c r="D154" s="62"/>
      <c r="E154" s="62"/>
      <c r="F154" s="62"/>
      <c r="G154" s="504">
        <f>IFERROR(__xludf.DUMMYFUNCTION("""COMPUTED_VALUE"""),0.0)</f>
        <v>0</v>
      </c>
      <c r="H154" s="62"/>
      <c r="I154" s="62"/>
      <c r="J154" s="62"/>
      <c r="K154" s="62"/>
      <c r="L154" s="504">
        <f>IFERROR(__xludf.DUMMYFUNCTION("""COMPUTED_VALUE"""),0.0)</f>
        <v>0</v>
      </c>
      <c r="M154" s="504">
        <f>IFERROR(__xludf.DUMMYFUNCTION("""COMPUTED_VALUE"""),0.0)</f>
        <v>0</v>
      </c>
      <c r="N154" s="504">
        <f>IFERROR(__xludf.DUMMYFUNCTION("""COMPUTED_VALUE"""),0.0)</f>
        <v>0</v>
      </c>
      <c r="O154" s="62"/>
      <c r="P154" s="62"/>
      <c r="Q154" s="62"/>
      <c r="R154" s="62"/>
      <c r="S154" s="62"/>
      <c r="T154" s="62"/>
      <c r="U154" s="62"/>
      <c r="V154" s="62"/>
      <c r="W154" s="62"/>
      <c r="X154" s="62"/>
      <c r="Y154" s="62"/>
      <c r="Z154" s="62"/>
    </row>
    <row r="155">
      <c r="A155" s="62"/>
      <c r="B155" s="62" t="str">
        <f>IFERROR(__xludf.DUMMYFUNCTION("""COMPUTED_VALUE"""),"武田")</f>
        <v>武田</v>
      </c>
      <c r="C155" s="62"/>
      <c r="D155" s="62"/>
      <c r="E155" s="62"/>
      <c r="F155" s="62"/>
      <c r="G155" s="504">
        <f>IFERROR(__xludf.DUMMYFUNCTION("""COMPUTED_VALUE"""),0.0)</f>
        <v>0</v>
      </c>
      <c r="H155" s="62"/>
      <c r="I155" s="62"/>
      <c r="J155" s="62"/>
      <c r="K155" s="62"/>
      <c r="L155" s="504">
        <f>IFERROR(__xludf.DUMMYFUNCTION("""COMPUTED_VALUE"""),0.0)</f>
        <v>0</v>
      </c>
      <c r="M155" s="504">
        <f>IFERROR(__xludf.DUMMYFUNCTION("""COMPUTED_VALUE"""),0.0)</f>
        <v>0</v>
      </c>
      <c r="N155" s="504">
        <f>IFERROR(__xludf.DUMMYFUNCTION("""COMPUTED_VALUE"""),0.0)</f>
        <v>0</v>
      </c>
      <c r="O155" s="62"/>
      <c r="P155" s="62"/>
      <c r="Q155" s="62"/>
      <c r="R155" s="62"/>
      <c r="S155" s="62"/>
      <c r="T155" s="62"/>
      <c r="U155" s="62"/>
      <c r="V155" s="62"/>
      <c r="W155" s="62"/>
      <c r="X155" s="62"/>
      <c r="Y155" s="62"/>
      <c r="Z155" s="62"/>
    </row>
    <row r="156">
      <c r="A156" s="62"/>
      <c r="B156" s="62" t="str">
        <f>IFERROR(__xludf.DUMMYFUNCTION("""COMPUTED_VALUE"""),"高木")</f>
        <v>高木</v>
      </c>
      <c r="C156" s="62">
        <f>IFERROR(__xludf.DUMMYFUNCTION("""COMPUTED_VALUE"""),200.0)</f>
        <v>200</v>
      </c>
      <c r="D156" s="62">
        <f>IFERROR(__xludf.DUMMYFUNCTION("""COMPUTED_VALUE"""),52.0)</f>
        <v>52</v>
      </c>
      <c r="E156" s="62">
        <f>IFERROR(__xludf.DUMMYFUNCTION("""COMPUTED_VALUE"""),2.0)</f>
        <v>2</v>
      </c>
      <c r="F156" s="62">
        <f>IFERROR(__xludf.DUMMYFUNCTION("""COMPUTED_VALUE"""),44.0)</f>
        <v>44</v>
      </c>
      <c r="G156" s="504">
        <f>IFERROR(__xludf.DUMMYFUNCTION("""COMPUTED_VALUE"""),0.26)</f>
        <v>0.26</v>
      </c>
      <c r="H156" s="62"/>
      <c r="I156" s="62"/>
      <c r="J156" s="62"/>
      <c r="K156" s="62"/>
      <c r="L156" s="504">
        <f>IFERROR(__xludf.DUMMYFUNCTION("""COMPUTED_VALUE"""),0.0)</f>
        <v>0</v>
      </c>
      <c r="M156" s="504">
        <f>IFERROR(__xludf.DUMMYFUNCTION("""COMPUTED_VALUE"""),0.0)</f>
        <v>0</v>
      </c>
      <c r="N156" s="504">
        <f>IFERROR(__xludf.DUMMYFUNCTION("""COMPUTED_VALUE"""),0.0)</f>
        <v>0</v>
      </c>
      <c r="O156" s="62"/>
      <c r="P156" s="62"/>
      <c r="Q156" s="62"/>
      <c r="R156" s="62"/>
      <c r="S156" s="62"/>
      <c r="T156" s="62"/>
      <c r="U156" s="62"/>
      <c r="V156" s="62"/>
      <c r="W156" s="62"/>
      <c r="X156" s="62"/>
      <c r="Y156" s="62"/>
      <c r="Z156" s="62"/>
    </row>
    <row r="157">
      <c r="A157" s="62"/>
      <c r="B157" s="62"/>
      <c r="C157" s="62"/>
      <c r="D157" s="62"/>
      <c r="E157" s="62"/>
      <c r="F157" s="62"/>
      <c r="G157" s="504">
        <f>IFERROR(__xludf.DUMMYFUNCTION("""COMPUTED_VALUE"""),0.0)</f>
        <v>0</v>
      </c>
      <c r="H157" s="62"/>
      <c r="I157" s="62"/>
      <c r="J157" s="62"/>
      <c r="K157" s="62"/>
      <c r="L157" s="504">
        <f>IFERROR(__xludf.DUMMYFUNCTION("""COMPUTED_VALUE"""),0.0)</f>
        <v>0</v>
      </c>
      <c r="M157" s="504">
        <f>IFERROR(__xludf.DUMMYFUNCTION("""COMPUTED_VALUE"""),0.0)</f>
        <v>0</v>
      </c>
      <c r="N157" s="504">
        <f>IFERROR(__xludf.DUMMYFUNCTION("""COMPUTED_VALUE"""),0.0)</f>
        <v>0</v>
      </c>
      <c r="O157" s="62"/>
      <c r="P157" s="62"/>
      <c r="Q157" s="62"/>
      <c r="R157" s="62"/>
      <c r="S157" s="62"/>
      <c r="T157" s="62"/>
      <c r="U157" s="62"/>
      <c r="V157" s="62"/>
      <c r="W157" s="62"/>
      <c r="X157" s="62"/>
      <c r="Y157" s="62"/>
      <c r="Z157" s="62"/>
    </row>
    <row r="158">
      <c r="A158" s="62"/>
      <c r="B158" s="62" t="str">
        <f>IFERROR(__xludf.DUMMYFUNCTION("""COMPUTED_VALUE"""),"大谷")</f>
        <v>大谷</v>
      </c>
      <c r="C158" s="62"/>
      <c r="D158" s="62"/>
      <c r="E158" s="62"/>
      <c r="F158" s="62"/>
      <c r="G158" s="504">
        <f>IFERROR(__xludf.DUMMYFUNCTION("""COMPUTED_VALUE"""),0.0)</f>
        <v>0</v>
      </c>
      <c r="H158" s="62"/>
      <c r="I158" s="62"/>
      <c r="J158" s="62"/>
      <c r="K158" s="62"/>
      <c r="L158" s="504">
        <f>IFERROR(__xludf.DUMMYFUNCTION("""COMPUTED_VALUE"""),0.0)</f>
        <v>0</v>
      </c>
      <c r="M158" s="504">
        <f>IFERROR(__xludf.DUMMYFUNCTION("""COMPUTED_VALUE"""),0.0)</f>
        <v>0</v>
      </c>
      <c r="N158" s="504">
        <f>IFERROR(__xludf.DUMMYFUNCTION("""COMPUTED_VALUE"""),0.0)</f>
        <v>0</v>
      </c>
      <c r="O158" s="62"/>
      <c r="P158" s="62"/>
      <c r="Q158" s="62"/>
      <c r="R158" s="62"/>
      <c r="S158" s="62"/>
      <c r="T158" s="62"/>
      <c r="U158" s="62"/>
      <c r="V158" s="62"/>
      <c r="W158" s="62"/>
      <c r="X158" s="62"/>
      <c r="Y158" s="62"/>
      <c r="Z158" s="62"/>
    </row>
    <row r="159">
      <c r="A159" s="62"/>
      <c r="B159" s="62"/>
      <c r="C159" s="62"/>
      <c r="D159" s="62"/>
      <c r="E159" s="62"/>
      <c r="F159" s="62"/>
      <c r="G159" s="504">
        <f>IFERROR(__xludf.DUMMYFUNCTION("""COMPUTED_VALUE"""),0.0)</f>
        <v>0</v>
      </c>
      <c r="H159" s="62"/>
      <c r="I159" s="62"/>
      <c r="J159" s="62"/>
      <c r="K159" s="62"/>
      <c r="L159" s="504">
        <f>IFERROR(__xludf.DUMMYFUNCTION("""COMPUTED_VALUE"""),0.0)</f>
        <v>0</v>
      </c>
      <c r="M159" s="504">
        <f>IFERROR(__xludf.DUMMYFUNCTION("""COMPUTED_VALUE"""),0.0)</f>
        <v>0</v>
      </c>
      <c r="N159" s="504">
        <f>IFERROR(__xludf.DUMMYFUNCTION("""COMPUTED_VALUE"""),0.0)</f>
        <v>0</v>
      </c>
      <c r="O159" s="62"/>
      <c r="P159" s="62"/>
      <c r="Q159" s="62"/>
      <c r="R159" s="62"/>
      <c r="S159" s="62"/>
      <c r="T159" s="62"/>
      <c r="U159" s="62"/>
      <c r="V159" s="62"/>
      <c r="W159" s="62"/>
      <c r="X159" s="62"/>
      <c r="Y159" s="62"/>
      <c r="Z159" s="62"/>
    </row>
    <row r="160">
      <c r="A160" s="62"/>
      <c r="B160" s="62" t="str">
        <f>IFERROR(__xludf.DUMMYFUNCTION("""COMPUTED_VALUE"""),"森")</f>
        <v>森</v>
      </c>
      <c r="C160" s="62"/>
      <c r="D160" s="62"/>
      <c r="E160" s="62"/>
      <c r="F160" s="62"/>
      <c r="G160" s="504">
        <f>IFERROR(__xludf.DUMMYFUNCTION("""COMPUTED_VALUE"""),0.0)</f>
        <v>0</v>
      </c>
      <c r="H160" s="62"/>
      <c r="I160" s="62"/>
      <c r="J160" s="62"/>
      <c r="K160" s="62"/>
      <c r="L160" s="504">
        <f>IFERROR(__xludf.DUMMYFUNCTION("""COMPUTED_VALUE"""),0.0)</f>
        <v>0</v>
      </c>
      <c r="M160" s="504">
        <f>IFERROR(__xludf.DUMMYFUNCTION("""COMPUTED_VALUE"""),0.0)</f>
        <v>0</v>
      </c>
      <c r="N160" s="504">
        <f>IFERROR(__xludf.DUMMYFUNCTION("""COMPUTED_VALUE"""),0.0)</f>
        <v>0</v>
      </c>
      <c r="O160" s="62"/>
      <c r="P160" s="62"/>
      <c r="Q160" s="62"/>
      <c r="R160" s="62"/>
      <c r="S160" s="62"/>
      <c r="T160" s="62"/>
      <c r="U160" s="62"/>
      <c r="V160" s="62"/>
      <c r="W160" s="62"/>
      <c r="X160" s="62"/>
      <c r="Y160" s="62"/>
      <c r="Z160" s="62"/>
    </row>
    <row r="161">
      <c r="A161" s="62"/>
      <c r="B161" s="62"/>
      <c r="C161" s="62"/>
      <c r="D161" s="62"/>
      <c r="E161" s="62"/>
      <c r="F161" s="62"/>
      <c r="G161" s="504">
        <f>IFERROR(__xludf.DUMMYFUNCTION("""COMPUTED_VALUE"""),0.0)</f>
        <v>0</v>
      </c>
      <c r="H161" s="62"/>
      <c r="I161" s="62"/>
      <c r="J161" s="62"/>
      <c r="K161" s="62"/>
      <c r="L161" s="504">
        <f>IFERROR(__xludf.DUMMYFUNCTION("""COMPUTED_VALUE"""),0.0)</f>
        <v>0</v>
      </c>
      <c r="M161" s="504">
        <f>IFERROR(__xludf.DUMMYFUNCTION("""COMPUTED_VALUE"""),0.0)</f>
        <v>0</v>
      </c>
      <c r="N161" s="504">
        <f>IFERROR(__xludf.DUMMYFUNCTION("""COMPUTED_VALUE"""),0.0)</f>
        <v>0</v>
      </c>
      <c r="O161" s="62"/>
      <c r="P161" s="62"/>
      <c r="Q161" s="62"/>
      <c r="R161" s="62"/>
      <c r="S161" s="62"/>
      <c r="T161" s="62"/>
      <c r="U161" s="62"/>
      <c r="V161" s="62"/>
      <c r="W161" s="62"/>
      <c r="X161" s="62"/>
      <c r="Y161" s="62"/>
      <c r="Z161" s="62"/>
    </row>
    <row r="162">
      <c r="A162" s="62"/>
      <c r="B162" s="62" t="str">
        <f>IFERROR(__xludf.DUMMYFUNCTION("""COMPUTED_VALUE"""),"金子")</f>
        <v>金子</v>
      </c>
      <c r="C162" s="62"/>
      <c r="D162" s="62"/>
      <c r="E162" s="62"/>
      <c r="F162" s="62"/>
      <c r="G162" s="504">
        <f>IFERROR(__xludf.DUMMYFUNCTION("""COMPUTED_VALUE"""),0.0)</f>
        <v>0</v>
      </c>
      <c r="H162" s="62"/>
      <c r="I162" s="62"/>
      <c r="J162" s="62"/>
      <c r="K162" s="62"/>
      <c r="L162" s="504">
        <f>IFERROR(__xludf.DUMMYFUNCTION("""COMPUTED_VALUE"""),0.0)</f>
        <v>0</v>
      </c>
      <c r="M162" s="504">
        <f>IFERROR(__xludf.DUMMYFUNCTION("""COMPUTED_VALUE"""),0.0)</f>
        <v>0</v>
      </c>
      <c r="N162" s="504">
        <f>IFERROR(__xludf.DUMMYFUNCTION("""COMPUTED_VALUE"""),0.0)</f>
        <v>0</v>
      </c>
      <c r="O162" s="62"/>
      <c r="P162" s="62"/>
      <c r="Q162" s="62"/>
      <c r="R162" s="62"/>
      <c r="S162" s="62"/>
      <c r="T162" s="62"/>
      <c r="U162" s="62"/>
      <c r="V162" s="62"/>
      <c r="W162" s="62"/>
      <c r="X162" s="62"/>
      <c r="Y162" s="62"/>
      <c r="Z162" s="62"/>
    </row>
    <row r="163">
      <c r="A163" s="62"/>
      <c r="B163" s="62"/>
      <c r="C163" s="62"/>
      <c r="D163" s="62"/>
      <c r="E163" s="62"/>
      <c r="F163" s="62"/>
      <c r="G163" s="504">
        <f>IFERROR(__xludf.DUMMYFUNCTION("""COMPUTED_VALUE"""),0.0)</f>
        <v>0</v>
      </c>
      <c r="H163" s="62"/>
      <c r="I163" s="62"/>
      <c r="J163" s="62"/>
      <c r="K163" s="62"/>
      <c r="L163" s="504">
        <f>IFERROR(__xludf.DUMMYFUNCTION("""COMPUTED_VALUE"""),0.0)</f>
        <v>0</v>
      </c>
      <c r="M163" s="504">
        <f>IFERROR(__xludf.DUMMYFUNCTION("""COMPUTED_VALUE"""),0.0)</f>
        <v>0</v>
      </c>
      <c r="N163" s="504">
        <f>IFERROR(__xludf.DUMMYFUNCTION("""COMPUTED_VALUE"""),0.0)</f>
        <v>0</v>
      </c>
      <c r="O163" s="62"/>
      <c r="P163" s="62"/>
      <c r="Q163" s="62"/>
      <c r="R163" s="62"/>
      <c r="S163" s="62"/>
      <c r="T163" s="62"/>
      <c r="U163" s="62"/>
      <c r="V163" s="62"/>
      <c r="W163" s="62"/>
      <c r="X163" s="62"/>
      <c r="Y163" s="62"/>
      <c r="Z163" s="62"/>
    </row>
    <row r="164">
      <c r="A164" s="62"/>
      <c r="B164" s="552" t="str">
        <f>IFERROR(__xludf.DUMMYFUNCTION("""COMPUTED_VALUE"""),"SMS")</f>
        <v>SMS</v>
      </c>
      <c r="C164" s="62"/>
      <c r="D164" s="62"/>
      <c r="E164" s="62"/>
      <c r="F164" s="62"/>
      <c r="G164" s="504">
        <f>IFERROR(__xludf.DUMMYFUNCTION("""COMPUTED_VALUE"""),0.0)</f>
        <v>0</v>
      </c>
      <c r="H164" s="62"/>
      <c r="I164" s="62">
        <f>IFERROR(__xludf.DUMMYFUNCTION("""COMPUTED_VALUE"""),3.0)</f>
        <v>3</v>
      </c>
      <c r="J164" s="552">
        <f>IFERROR(__xludf.DUMMYFUNCTION("""COMPUTED_VALUE"""),180000.0)</f>
        <v>180000</v>
      </c>
      <c r="K164" s="62"/>
      <c r="L164" s="504">
        <f>IFERROR(__xludf.DUMMYFUNCTION("""COMPUTED_VALUE"""),0.0)</f>
        <v>0</v>
      </c>
      <c r="M164" s="504">
        <f>IFERROR(__xludf.DUMMYFUNCTION("""COMPUTED_VALUE"""),0.0)</f>
        <v>0</v>
      </c>
      <c r="N164" s="504">
        <f>IFERROR(__xludf.DUMMYFUNCTION("""COMPUTED_VALUE"""),0.0)</f>
        <v>0</v>
      </c>
      <c r="O164" s="62"/>
      <c r="P164" s="62"/>
      <c r="Q164" s="62"/>
      <c r="R164" s="62"/>
      <c r="S164" s="62"/>
      <c r="T164" s="62"/>
      <c r="U164" s="62"/>
      <c r="V164" s="62"/>
      <c r="W164" s="62"/>
      <c r="X164" s="62"/>
      <c r="Y164" s="62"/>
      <c r="Z164" s="62"/>
    </row>
    <row r="165">
      <c r="A165" s="62"/>
      <c r="B165" s="62" t="str">
        <f>IFERROR(__xludf.DUMMYFUNCTION("""COMPUTED_VALUE"""),"紹介")</f>
        <v>紹介</v>
      </c>
      <c r="C165" s="62"/>
      <c r="D165" s="62"/>
      <c r="E165" s="62"/>
      <c r="F165" s="62"/>
      <c r="G165" s="504">
        <f>IFERROR(__xludf.DUMMYFUNCTION("""COMPUTED_VALUE"""),0.0)</f>
        <v>0</v>
      </c>
      <c r="H165" s="62"/>
      <c r="I165" s="62"/>
      <c r="J165" s="62"/>
      <c r="K165" s="62"/>
      <c r="L165" s="504">
        <f>IFERROR(__xludf.DUMMYFUNCTION("""COMPUTED_VALUE"""),0.0)</f>
        <v>0</v>
      </c>
      <c r="M165" s="504">
        <f>IFERROR(__xludf.DUMMYFUNCTION("""COMPUTED_VALUE"""),0.0)</f>
        <v>0</v>
      </c>
      <c r="N165" s="504">
        <f>IFERROR(__xludf.DUMMYFUNCTION("""COMPUTED_VALUE"""),0.0)</f>
        <v>0</v>
      </c>
      <c r="O165" s="62"/>
      <c r="P165" s="62"/>
      <c r="Q165" s="62"/>
      <c r="R165" s="62"/>
      <c r="S165" s="62"/>
      <c r="T165" s="62"/>
      <c r="U165" s="62"/>
      <c r="V165" s="62"/>
      <c r="W165" s="62"/>
      <c r="X165" s="62"/>
      <c r="Y165" s="62"/>
      <c r="Z165" s="62"/>
    </row>
    <row r="166">
      <c r="A166" s="62"/>
      <c r="B166" s="62" t="str">
        <f>IFERROR(__xludf.DUMMYFUNCTION("""COMPUTED_VALUE"""),"仁子")</f>
        <v>仁子</v>
      </c>
      <c r="C166" s="62"/>
      <c r="D166" s="62"/>
      <c r="E166" s="62"/>
      <c r="F166" s="62"/>
      <c r="G166" s="504">
        <f>IFERROR(__xludf.DUMMYFUNCTION("""COMPUTED_VALUE"""),0.0)</f>
        <v>0</v>
      </c>
      <c r="H166" s="62"/>
      <c r="I166" s="62"/>
      <c r="J166" s="62"/>
      <c r="K166" s="62"/>
      <c r="L166" s="504">
        <f>IFERROR(__xludf.DUMMYFUNCTION("""COMPUTED_VALUE"""),0.0)</f>
        <v>0</v>
      </c>
      <c r="M166" s="504">
        <f>IFERROR(__xludf.DUMMYFUNCTION("""COMPUTED_VALUE"""),0.0)</f>
        <v>0</v>
      </c>
      <c r="N166" s="504">
        <f>IFERROR(__xludf.DUMMYFUNCTION("""COMPUTED_VALUE"""),0.0)</f>
        <v>0</v>
      </c>
      <c r="O166" s="62"/>
      <c r="P166" s="62"/>
      <c r="Q166" s="62"/>
      <c r="R166" s="62"/>
      <c r="S166" s="62"/>
      <c r="T166" s="62"/>
      <c r="U166" s="62"/>
      <c r="V166" s="62"/>
      <c r="W166" s="62"/>
      <c r="X166" s="62"/>
      <c r="Y166" s="62"/>
      <c r="Z166" s="62"/>
    </row>
    <row r="167">
      <c r="A167" s="62"/>
      <c r="B167" s="62" t="str">
        <f>IFERROR(__xludf.DUMMYFUNCTION("""COMPUTED_VALUE"""),"鈴木")</f>
        <v>鈴木</v>
      </c>
      <c r="C167" s="62"/>
      <c r="D167" s="62"/>
      <c r="E167" s="62"/>
      <c r="F167" s="62"/>
      <c r="G167" s="504">
        <f>IFERROR(__xludf.DUMMYFUNCTION("""COMPUTED_VALUE"""),0.0)</f>
        <v>0</v>
      </c>
      <c r="H167" s="62"/>
      <c r="I167" s="62"/>
      <c r="J167" s="62"/>
      <c r="K167" s="62"/>
      <c r="L167" s="504">
        <f>IFERROR(__xludf.DUMMYFUNCTION("""COMPUTED_VALUE"""),0.0)</f>
        <v>0</v>
      </c>
      <c r="M167" s="504">
        <f>IFERROR(__xludf.DUMMYFUNCTION("""COMPUTED_VALUE"""),0.0)</f>
        <v>0</v>
      </c>
      <c r="N167" s="504">
        <f>IFERROR(__xludf.DUMMYFUNCTION("""COMPUTED_VALUE"""),0.0)</f>
        <v>0</v>
      </c>
      <c r="O167" s="62"/>
      <c r="P167" s="62"/>
      <c r="Q167" s="62"/>
      <c r="R167" s="62"/>
      <c r="S167" s="62"/>
      <c r="T167" s="62"/>
      <c r="U167" s="62"/>
      <c r="V167" s="62"/>
      <c r="W167" s="62"/>
      <c r="X167" s="62"/>
      <c r="Y167" s="62"/>
      <c r="Z167" s="62"/>
    </row>
    <row r="168">
      <c r="A168" s="62"/>
      <c r="B168" s="62" t="str">
        <f>IFERROR(__xludf.DUMMYFUNCTION("""COMPUTED_VALUE"""),"仲間")</f>
        <v>仲間</v>
      </c>
      <c r="C168" s="62">
        <f>IFERROR(__xludf.DUMMYFUNCTION("""COMPUTED_VALUE"""),206.0)</f>
        <v>206</v>
      </c>
      <c r="D168" s="62">
        <f>IFERROR(__xludf.DUMMYFUNCTION("""COMPUTED_VALUE"""),30.0)</f>
        <v>30</v>
      </c>
      <c r="E168" s="62"/>
      <c r="F168" s="62">
        <f>IFERROR(__xludf.DUMMYFUNCTION("""COMPUTED_VALUE"""),25.0)</f>
        <v>25</v>
      </c>
      <c r="G168" s="504">
        <f>IFERROR(__xludf.DUMMYFUNCTION("""COMPUTED_VALUE"""),0.14563106796116504)</f>
        <v>0.145631068</v>
      </c>
      <c r="H168" s="62"/>
      <c r="I168" s="62"/>
      <c r="J168" s="62"/>
      <c r="K168" s="62"/>
      <c r="L168" s="504">
        <f>IFERROR(__xludf.DUMMYFUNCTION("""COMPUTED_VALUE"""),0.0)</f>
        <v>0</v>
      </c>
      <c r="M168" s="504">
        <f>IFERROR(__xludf.DUMMYFUNCTION("""COMPUTED_VALUE"""),0.0)</f>
        <v>0</v>
      </c>
      <c r="N168" s="504">
        <f>IFERROR(__xludf.DUMMYFUNCTION("""COMPUTED_VALUE"""),0.0)</f>
        <v>0</v>
      </c>
      <c r="O168" s="62" t="str">
        <f>IFERROR(__xludf.DUMMYFUNCTION("""COMPUTED_VALUE"""),"リストS")</f>
        <v>リストS</v>
      </c>
      <c r="P168" s="553" t="str">
        <f>IFERROR(__xludf.DUMMYFUNCTION("""COMPUTED_VALUE"""),"平日")</f>
        <v>平日</v>
      </c>
      <c r="Q168" s="62"/>
      <c r="R168" s="62"/>
      <c r="S168" s="62"/>
      <c r="T168" s="62"/>
      <c r="U168" s="62"/>
      <c r="V168" s="62"/>
      <c r="W168" s="62"/>
      <c r="X168" s="62"/>
      <c r="Y168" s="62"/>
      <c r="Z168" s="62"/>
    </row>
    <row r="169">
      <c r="A169" s="62"/>
      <c r="B169" s="62"/>
      <c r="C169" s="62"/>
      <c r="D169" s="62"/>
      <c r="E169" s="62"/>
      <c r="F169" s="62"/>
      <c r="G169" s="504">
        <f>IFERROR(__xludf.DUMMYFUNCTION("""COMPUTED_VALUE"""),0.0)</f>
        <v>0</v>
      </c>
      <c r="H169" s="62"/>
      <c r="I169" s="62"/>
      <c r="J169" s="62"/>
      <c r="K169" s="62"/>
      <c r="L169" s="504">
        <f>IFERROR(__xludf.DUMMYFUNCTION("""COMPUTED_VALUE"""),0.0)</f>
        <v>0</v>
      </c>
      <c r="M169" s="504">
        <f>IFERROR(__xludf.DUMMYFUNCTION("""COMPUTED_VALUE"""),0.0)</f>
        <v>0</v>
      </c>
      <c r="N169" s="504">
        <f>IFERROR(__xludf.DUMMYFUNCTION("""COMPUTED_VALUE"""),0.0)</f>
        <v>0</v>
      </c>
      <c r="O169" s="62"/>
      <c r="P169" s="62"/>
      <c r="Q169" s="62"/>
      <c r="R169" s="62"/>
      <c r="S169" s="62"/>
      <c r="T169" s="62"/>
      <c r="U169" s="62"/>
      <c r="V169" s="62"/>
      <c r="W169" s="62"/>
      <c r="X169" s="62"/>
      <c r="Y169" s="62"/>
      <c r="Z169" s="62"/>
    </row>
    <row r="170">
      <c r="A170" s="62"/>
      <c r="B170" s="62" t="str">
        <f>IFERROR(__xludf.DUMMYFUNCTION("""COMPUTED_VALUE"""),"合計")</f>
        <v>合計</v>
      </c>
      <c r="C170" s="62">
        <f>IFERROR(__xludf.DUMMYFUNCTION("""COMPUTED_VALUE"""),718.0)</f>
        <v>718</v>
      </c>
      <c r="D170" s="62">
        <f>IFERROR(__xludf.DUMMYFUNCTION("""COMPUTED_VALUE"""),134.0)</f>
        <v>134</v>
      </c>
      <c r="E170" s="62">
        <f>IFERROR(__xludf.DUMMYFUNCTION("""COMPUTED_VALUE"""),12.0)</f>
        <v>12</v>
      </c>
      <c r="F170" s="62">
        <f>IFERROR(__xludf.DUMMYFUNCTION("""COMPUTED_VALUE"""),105.0)</f>
        <v>105</v>
      </c>
      <c r="G170" s="504">
        <f>IFERROR(__xludf.DUMMYFUNCTION("""COMPUTED_VALUE"""),0.18662952646239556)</f>
        <v>0.1866295265</v>
      </c>
      <c r="H170" s="62">
        <f>IFERROR(__xludf.DUMMYFUNCTION("""COMPUTED_VALUE"""),3.0)</f>
        <v>3</v>
      </c>
      <c r="I170" s="62">
        <f>IFERROR(__xludf.DUMMYFUNCTION("""COMPUTED_VALUE"""),5.0)</f>
        <v>5</v>
      </c>
      <c r="J170" s="552">
        <f>IFERROR(__xludf.DUMMYFUNCTION("""COMPUTED_VALUE"""),210000.0)</f>
        <v>210000</v>
      </c>
      <c r="K170" s="62">
        <f>IFERROR(__xludf.DUMMYFUNCTION("""COMPUTED_VALUE"""),28.0)</f>
        <v>28</v>
      </c>
      <c r="L170" s="504">
        <f>IFERROR(__xludf.DUMMYFUNCTION("""COMPUTED_VALUE"""),0.004178272980501393)</f>
        <v>0.004178272981</v>
      </c>
      <c r="M170" s="504">
        <f>IFERROR(__xludf.DUMMYFUNCTION("""COMPUTED_VALUE"""),0.006963788300835654)</f>
        <v>0.006963788301</v>
      </c>
      <c r="N170" s="504">
        <f>IFERROR(__xludf.DUMMYFUNCTION("""COMPUTED_VALUE"""),1.6666666666666667)</f>
        <v>1.666666667</v>
      </c>
      <c r="O170" s="62"/>
      <c r="P170" s="62"/>
      <c r="Q170" s="62"/>
      <c r="R170" s="62"/>
      <c r="S170" s="62"/>
      <c r="T170" s="62"/>
      <c r="U170" s="62"/>
      <c r="V170" s="62"/>
      <c r="W170" s="62"/>
      <c r="X170" s="62"/>
      <c r="Y170" s="62"/>
      <c r="Z170" s="62"/>
    </row>
    <row r="171">
      <c r="A171" s="62" t="str">
        <f>IFERROR(__xludf.DUMMYFUNCTION("""COMPUTED_VALUE"""),"日付")</f>
        <v>日付</v>
      </c>
      <c r="B171" s="62" t="str">
        <f>IFERROR(__xludf.DUMMYFUNCTION("""COMPUTED_VALUE"""),"名前")</f>
        <v>名前</v>
      </c>
      <c r="C171" s="62" t="str">
        <f>IFERROR(__xludf.DUMMYFUNCTION("""COMPUTED_VALUE"""),"打電件数")</f>
        <v>打電件数</v>
      </c>
      <c r="D171" s="62" t="str">
        <f>IFERROR(__xludf.DUMMYFUNCTION("""COMPUTED_VALUE"""),"着電件数")</f>
        <v>着電件数</v>
      </c>
      <c r="E171" s="62" t="str">
        <f>IFERROR(__xludf.DUMMYFUNCTION("""COMPUTED_VALUE"""),"折り返し件数")</f>
        <v>折り返し件数</v>
      </c>
      <c r="F171" s="62" t="str">
        <f>IFERROR(__xludf.DUMMYFUNCTION("""COMPUTED_VALUE"""),"拒否")</f>
        <v>拒否</v>
      </c>
      <c r="G171" s="62" t="str">
        <f>IFERROR(__xludf.DUMMYFUNCTION("""COMPUTED_VALUE"""),"着電率")</f>
        <v>着電率</v>
      </c>
      <c r="H171" s="62" t="str">
        <f>IFERROR(__xludf.DUMMYFUNCTION("""COMPUTED_VALUE"""),"LINE登録")</f>
        <v>LINE登録</v>
      </c>
      <c r="I171" s="62" t="str">
        <f>IFERROR(__xludf.DUMMYFUNCTION("""COMPUTED_VALUE"""),"アカウント作成")</f>
        <v>アカウント作成</v>
      </c>
      <c r="J171" s="552" t="str">
        <f>IFERROR(__xludf.DUMMYFUNCTION("""COMPUTED_VALUE"""),"新規信用枠額")</f>
        <v>新規信用枠額</v>
      </c>
      <c r="K171" s="62" t="str">
        <f>IFERROR(__xludf.DUMMYFUNCTION("""COMPUTED_VALUE"""),"リスト死回線数")</f>
        <v>リスト死回線数</v>
      </c>
      <c r="L171" s="62" t="str">
        <f>IFERROR(__xludf.DUMMYFUNCTION("""COMPUTED_VALUE"""),"LINE率(打電から)")</f>
        <v>LINE率(打電から)</v>
      </c>
      <c r="M171" s="62" t="str">
        <f>IFERROR(__xludf.DUMMYFUNCTION("""COMPUTED_VALUE"""),"アカウント作成率(打電から)")</f>
        <v>アカウント作成率(打電から)</v>
      </c>
      <c r="N171" s="62" t="str">
        <f>IFERROR(__xludf.DUMMYFUNCTION("""COMPUTED_VALUE"""),"アカウント作成率(LINEから)")</f>
        <v>アカウント作成率(LINEから)</v>
      </c>
      <c r="O171" s="62" t="str">
        <f>IFERROR(__xludf.DUMMYFUNCTION("""COMPUTED_VALUE"""),"リスト名")</f>
        <v>リスト名</v>
      </c>
      <c r="P171" s="553" t="str">
        <f>IFERROR(__xludf.DUMMYFUNCTION("""COMPUTED_VALUE"""),"日本基準")</f>
        <v>日本基準</v>
      </c>
      <c r="Q171" s="62"/>
      <c r="R171" s="62"/>
      <c r="S171" s="62"/>
      <c r="T171" s="62"/>
      <c r="U171" s="62"/>
      <c r="V171" s="62"/>
      <c r="W171" s="62"/>
      <c r="X171" s="62"/>
      <c r="Y171" s="62"/>
      <c r="Z171" s="62"/>
    </row>
    <row r="172">
      <c r="A172" s="556">
        <f>IFERROR(__xludf.DUMMYFUNCTION("""COMPUTED_VALUE"""),45909.0)</f>
        <v>45909</v>
      </c>
      <c r="B172" s="62" t="str">
        <f>IFERROR(__xludf.DUMMYFUNCTION("""COMPUTED_VALUE"""),"あり")</f>
        <v>あり</v>
      </c>
      <c r="C172" s="62"/>
      <c r="D172" s="62"/>
      <c r="E172" s="62"/>
      <c r="F172" s="62"/>
      <c r="G172" s="504">
        <f>IFERROR(__xludf.DUMMYFUNCTION("""COMPUTED_VALUE"""),0.0)</f>
        <v>0</v>
      </c>
      <c r="H172" s="62"/>
      <c r="I172" s="62"/>
      <c r="J172" s="62"/>
      <c r="K172" s="62"/>
      <c r="L172" s="504">
        <f>IFERROR(__xludf.DUMMYFUNCTION("""COMPUTED_VALUE"""),0.0)</f>
        <v>0</v>
      </c>
      <c r="M172" s="504">
        <f>IFERROR(__xludf.DUMMYFUNCTION("""COMPUTED_VALUE"""),0.0)</f>
        <v>0</v>
      </c>
      <c r="N172" s="504">
        <f>IFERROR(__xludf.DUMMYFUNCTION("""COMPUTED_VALUE"""),0.0)</f>
        <v>0</v>
      </c>
      <c r="O172" s="62"/>
      <c r="P172" s="62"/>
      <c r="Q172" s="62"/>
      <c r="R172" s="62"/>
      <c r="S172" s="62"/>
      <c r="T172" s="62"/>
      <c r="U172" s="62"/>
      <c r="V172" s="62"/>
      <c r="W172" s="62"/>
      <c r="X172" s="62"/>
      <c r="Y172" s="62"/>
      <c r="Z172" s="62"/>
    </row>
    <row r="173">
      <c r="A173" s="62"/>
      <c r="B173" s="62" t="str">
        <f>IFERROR(__xludf.DUMMYFUNCTION("""COMPUTED_VALUE"""),"しょうま")</f>
        <v>しょうま</v>
      </c>
      <c r="C173" s="62">
        <f>IFERROR(__xludf.DUMMYFUNCTION("""COMPUTED_VALUE"""),327.0)</f>
        <v>327</v>
      </c>
      <c r="D173" s="62">
        <f>IFERROR(__xludf.DUMMYFUNCTION("""COMPUTED_VALUE"""),40.0)</f>
        <v>40</v>
      </c>
      <c r="E173" s="62">
        <f>IFERROR(__xludf.DUMMYFUNCTION("""COMPUTED_VALUE"""),7.0)</f>
        <v>7</v>
      </c>
      <c r="F173" s="62">
        <f>IFERROR(__xludf.DUMMYFUNCTION("""COMPUTED_VALUE"""),32.0)</f>
        <v>32</v>
      </c>
      <c r="G173" s="504">
        <f>IFERROR(__xludf.DUMMYFUNCTION("""COMPUTED_VALUE"""),0.12232415902140673)</f>
        <v>0.122324159</v>
      </c>
      <c r="H173" s="62">
        <f>IFERROR(__xludf.DUMMYFUNCTION("""COMPUTED_VALUE"""),1.0)</f>
        <v>1</v>
      </c>
      <c r="I173" s="62">
        <f>IFERROR(__xludf.DUMMYFUNCTION("""COMPUTED_VALUE"""),1.0)</f>
        <v>1</v>
      </c>
      <c r="J173" s="552">
        <f>IFERROR(__xludf.DUMMYFUNCTION("""COMPUTED_VALUE"""),0.0)</f>
        <v>0</v>
      </c>
      <c r="K173" s="62"/>
      <c r="L173" s="504">
        <f>IFERROR(__xludf.DUMMYFUNCTION("""COMPUTED_VALUE"""),0.0030581039755351682)</f>
        <v>0.003058103976</v>
      </c>
      <c r="M173" s="504">
        <f>IFERROR(__xludf.DUMMYFUNCTION("""COMPUTED_VALUE"""),0.0030581039755351682)</f>
        <v>0.003058103976</v>
      </c>
      <c r="N173" s="504">
        <f>IFERROR(__xludf.DUMMYFUNCTION("""COMPUTED_VALUE"""),1.0)</f>
        <v>1</v>
      </c>
      <c r="O173" s="62" t="str">
        <f>IFERROR(__xludf.DUMMYFUNCTION("""COMPUTED_VALUE"""),"リストE")</f>
        <v>リストE</v>
      </c>
      <c r="P173" s="553" t="str">
        <f>IFERROR(__xludf.DUMMYFUNCTION("""COMPUTED_VALUE"""),"平日")</f>
        <v>平日</v>
      </c>
      <c r="Q173" s="62"/>
      <c r="R173" s="62"/>
      <c r="S173" s="62"/>
      <c r="T173" s="62"/>
      <c r="U173" s="62"/>
      <c r="V173" s="62"/>
      <c r="W173" s="62"/>
      <c r="X173" s="62"/>
      <c r="Y173" s="62"/>
      <c r="Z173" s="62"/>
    </row>
    <row r="174">
      <c r="A174" s="62"/>
      <c r="B174" s="62"/>
      <c r="C174" s="62"/>
      <c r="D174" s="62"/>
      <c r="E174" s="62"/>
      <c r="F174" s="62"/>
      <c r="G174" s="504">
        <f>IFERROR(__xludf.DUMMYFUNCTION("""COMPUTED_VALUE"""),0.0)</f>
        <v>0</v>
      </c>
      <c r="H174" s="62"/>
      <c r="I174" s="62"/>
      <c r="J174" s="62"/>
      <c r="K174" s="62"/>
      <c r="L174" s="504">
        <f>IFERROR(__xludf.DUMMYFUNCTION("""COMPUTED_VALUE"""),0.0)</f>
        <v>0</v>
      </c>
      <c r="M174" s="504">
        <f>IFERROR(__xludf.DUMMYFUNCTION("""COMPUTED_VALUE"""),0.0)</f>
        <v>0</v>
      </c>
      <c r="N174" s="504">
        <f>IFERROR(__xludf.DUMMYFUNCTION("""COMPUTED_VALUE"""),0.0)</f>
        <v>0</v>
      </c>
      <c r="O174" s="62"/>
      <c r="P174" s="62"/>
      <c r="Q174" s="62"/>
      <c r="R174" s="62"/>
      <c r="S174" s="62"/>
      <c r="T174" s="62"/>
      <c r="U174" s="62"/>
      <c r="V174" s="62"/>
      <c r="W174" s="62"/>
      <c r="X174" s="62"/>
      <c r="Y174" s="62"/>
      <c r="Z174" s="62"/>
    </row>
    <row r="175">
      <c r="A175" s="62"/>
      <c r="B175" s="62" t="str">
        <f>IFERROR(__xludf.DUMMYFUNCTION("""COMPUTED_VALUE"""),"ジョーナ")</f>
        <v>ジョーナ</v>
      </c>
      <c r="C175" s="62"/>
      <c r="D175" s="62"/>
      <c r="E175" s="62"/>
      <c r="F175" s="62"/>
      <c r="G175" s="504">
        <f>IFERROR(__xludf.DUMMYFUNCTION("""COMPUTED_VALUE"""),0.0)</f>
        <v>0</v>
      </c>
      <c r="H175" s="62"/>
      <c r="I175" s="62"/>
      <c r="J175" s="62"/>
      <c r="K175" s="62"/>
      <c r="L175" s="504">
        <f>IFERROR(__xludf.DUMMYFUNCTION("""COMPUTED_VALUE"""),0.0)</f>
        <v>0</v>
      </c>
      <c r="M175" s="504">
        <f>IFERROR(__xludf.DUMMYFUNCTION("""COMPUTED_VALUE"""),0.0)</f>
        <v>0</v>
      </c>
      <c r="N175" s="504">
        <f>IFERROR(__xludf.DUMMYFUNCTION("""COMPUTED_VALUE"""),0.0)</f>
        <v>0</v>
      </c>
      <c r="O175" s="62"/>
      <c r="P175" s="62"/>
      <c r="Q175" s="62"/>
      <c r="R175" s="62"/>
      <c r="S175" s="62"/>
      <c r="T175" s="62"/>
      <c r="U175" s="62"/>
      <c r="V175" s="62"/>
      <c r="W175" s="62"/>
      <c r="X175" s="62"/>
      <c r="Y175" s="62"/>
      <c r="Z175" s="62"/>
    </row>
    <row r="176">
      <c r="A176" s="62"/>
      <c r="B176" s="62" t="str">
        <f>IFERROR(__xludf.DUMMYFUNCTION("""COMPUTED_VALUE"""),"武田")</f>
        <v>武田</v>
      </c>
      <c r="C176" s="62"/>
      <c r="D176" s="62"/>
      <c r="E176" s="62"/>
      <c r="F176" s="62"/>
      <c r="G176" s="504">
        <f>IFERROR(__xludf.DUMMYFUNCTION("""COMPUTED_VALUE"""),0.0)</f>
        <v>0</v>
      </c>
      <c r="H176" s="62"/>
      <c r="I176" s="62"/>
      <c r="J176" s="62"/>
      <c r="K176" s="62"/>
      <c r="L176" s="504">
        <f>IFERROR(__xludf.DUMMYFUNCTION("""COMPUTED_VALUE"""),0.0)</f>
        <v>0</v>
      </c>
      <c r="M176" s="504">
        <f>IFERROR(__xludf.DUMMYFUNCTION("""COMPUTED_VALUE"""),0.0)</f>
        <v>0</v>
      </c>
      <c r="N176" s="504">
        <f>IFERROR(__xludf.DUMMYFUNCTION("""COMPUTED_VALUE"""),0.0)</f>
        <v>0</v>
      </c>
      <c r="O176" s="62"/>
      <c r="P176" s="62"/>
      <c r="Q176" s="62"/>
      <c r="R176" s="62"/>
      <c r="S176" s="62"/>
      <c r="T176" s="62"/>
      <c r="U176" s="62"/>
      <c r="V176" s="62"/>
      <c r="W176" s="62"/>
      <c r="X176" s="62"/>
      <c r="Y176" s="62"/>
      <c r="Z176" s="62"/>
    </row>
    <row r="177">
      <c r="A177" s="62"/>
      <c r="B177" s="62" t="str">
        <f>IFERROR(__xludf.DUMMYFUNCTION("""COMPUTED_VALUE"""),"高木")</f>
        <v>高木</v>
      </c>
      <c r="C177" s="62">
        <f>IFERROR(__xludf.DUMMYFUNCTION("""COMPUTED_VALUE"""),100.0)</f>
        <v>100</v>
      </c>
      <c r="D177" s="62">
        <f>IFERROR(__xludf.DUMMYFUNCTION("""COMPUTED_VALUE"""),22.0)</f>
        <v>22</v>
      </c>
      <c r="E177" s="62">
        <f>IFERROR(__xludf.DUMMYFUNCTION("""COMPUTED_VALUE"""),4.0)</f>
        <v>4</v>
      </c>
      <c r="F177" s="62">
        <f>IFERROR(__xludf.DUMMYFUNCTION("""COMPUTED_VALUE"""),20.0)</f>
        <v>20</v>
      </c>
      <c r="G177" s="504">
        <f>IFERROR(__xludf.DUMMYFUNCTION("""COMPUTED_VALUE"""),0.22)</f>
        <v>0.22</v>
      </c>
      <c r="H177" s="62">
        <f>IFERROR(__xludf.DUMMYFUNCTION("""COMPUTED_VALUE"""),1.0)</f>
        <v>1</v>
      </c>
      <c r="I177" s="62">
        <f>IFERROR(__xludf.DUMMYFUNCTION("""COMPUTED_VALUE"""),1.0)</f>
        <v>1</v>
      </c>
      <c r="J177" s="552">
        <f>IFERROR(__xludf.DUMMYFUNCTION("""COMPUTED_VALUE"""),50000.0)</f>
        <v>50000</v>
      </c>
      <c r="K177" s="62">
        <f>IFERROR(__xludf.DUMMYFUNCTION("""COMPUTED_VALUE"""),9.0)</f>
        <v>9</v>
      </c>
      <c r="L177" s="504">
        <f>IFERROR(__xludf.DUMMYFUNCTION("""COMPUTED_VALUE"""),0.01)</f>
        <v>0.01</v>
      </c>
      <c r="M177" s="504">
        <f>IFERROR(__xludf.DUMMYFUNCTION("""COMPUTED_VALUE"""),0.01)</f>
        <v>0.01</v>
      </c>
      <c r="N177" s="504">
        <f>IFERROR(__xludf.DUMMYFUNCTION("""COMPUTED_VALUE"""),1.0)</f>
        <v>1</v>
      </c>
      <c r="O177" s="62" t="str">
        <f>IFERROR(__xludf.DUMMYFUNCTION("""COMPUTED_VALUE"""),"リストE")</f>
        <v>リストE</v>
      </c>
      <c r="P177" s="553" t="str">
        <f>IFERROR(__xludf.DUMMYFUNCTION("""COMPUTED_VALUE"""),"平日")</f>
        <v>平日</v>
      </c>
      <c r="Q177" s="62"/>
      <c r="R177" s="62"/>
      <c r="S177" s="62"/>
      <c r="T177" s="62"/>
      <c r="U177" s="62"/>
      <c r="V177" s="62"/>
      <c r="W177" s="62"/>
      <c r="X177" s="62"/>
      <c r="Y177" s="62"/>
      <c r="Z177" s="62"/>
    </row>
    <row r="178">
      <c r="A178" s="62"/>
      <c r="B178" s="62"/>
      <c r="C178" s="62"/>
      <c r="D178" s="62"/>
      <c r="E178" s="62"/>
      <c r="F178" s="62"/>
      <c r="G178" s="504">
        <f>IFERROR(__xludf.DUMMYFUNCTION("""COMPUTED_VALUE"""),0.0)</f>
        <v>0</v>
      </c>
      <c r="H178" s="62"/>
      <c r="I178" s="62"/>
      <c r="J178" s="62"/>
      <c r="K178" s="62"/>
      <c r="L178" s="504">
        <f>IFERROR(__xludf.DUMMYFUNCTION("""COMPUTED_VALUE"""),0.0)</f>
        <v>0</v>
      </c>
      <c r="M178" s="504">
        <f>IFERROR(__xludf.DUMMYFUNCTION("""COMPUTED_VALUE"""),0.0)</f>
        <v>0</v>
      </c>
      <c r="N178" s="504">
        <f>IFERROR(__xludf.DUMMYFUNCTION("""COMPUTED_VALUE"""),0.0)</f>
        <v>0</v>
      </c>
      <c r="O178" s="62"/>
      <c r="P178" s="62"/>
      <c r="Q178" s="62"/>
      <c r="R178" s="62"/>
      <c r="S178" s="62"/>
      <c r="T178" s="62"/>
      <c r="U178" s="62"/>
      <c r="V178" s="62"/>
      <c r="W178" s="62"/>
      <c r="X178" s="62"/>
      <c r="Y178" s="62"/>
      <c r="Z178" s="62"/>
    </row>
    <row r="179">
      <c r="A179" s="62"/>
      <c r="B179" s="62" t="str">
        <f>IFERROR(__xludf.DUMMYFUNCTION("""COMPUTED_VALUE"""),"大谷")</f>
        <v>大谷</v>
      </c>
      <c r="C179" s="62"/>
      <c r="D179" s="62"/>
      <c r="E179" s="62"/>
      <c r="F179" s="62"/>
      <c r="G179" s="504">
        <f>IFERROR(__xludf.DUMMYFUNCTION("""COMPUTED_VALUE"""),0.0)</f>
        <v>0</v>
      </c>
      <c r="H179" s="62"/>
      <c r="I179" s="62"/>
      <c r="J179" s="62"/>
      <c r="K179" s="62"/>
      <c r="L179" s="504">
        <f>IFERROR(__xludf.DUMMYFUNCTION("""COMPUTED_VALUE"""),0.0)</f>
        <v>0</v>
      </c>
      <c r="M179" s="504">
        <f>IFERROR(__xludf.DUMMYFUNCTION("""COMPUTED_VALUE"""),0.0)</f>
        <v>0</v>
      </c>
      <c r="N179" s="504">
        <f>IFERROR(__xludf.DUMMYFUNCTION("""COMPUTED_VALUE"""),0.0)</f>
        <v>0</v>
      </c>
      <c r="O179" s="62"/>
      <c r="P179" s="62"/>
      <c r="Q179" s="62"/>
      <c r="R179" s="62"/>
      <c r="S179" s="62"/>
      <c r="T179" s="62"/>
      <c r="U179" s="62"/>
      <c r="V179" s="62"/>
      <c r="W179" s="62"/>
      <c r="X179" s="62"/>
      <c r="Y179" s="62"/>
      <c r="Z179" s="62"/>
    </row>
    <row r="180">
      <c r="A180" s="62"/>
      <c r="B180" s="62"/>
      <c r="C180" s="62"/>
      <c r="D180" s="62"/>
      <c r="E180" s="62"/>
      <c r="F180" s="62"/>
      <c r="G180" s="504">
        <f>IFERROR(__xludf.DUMMYFUNCTION("""COMPUTED_VALUE"""),0.0)</f>
        <v>0</v>
      </c>
      <c r="H180" s="62"/>
      <c r="I180" s="62"/>
      <c r="J180" s="62"/>
      <c r="K180" s="62"/>
      <c r="L180" s="504">
        <f>IFERROR(__xludf.DUMMYFUNCTION("""COMPUTED_VALUE"""),0.0)</f>
        <v>0</v>
      </c>
      <c r="M180" s="504">
        <f>IFERROR(__xludf.DUMMYFUNCTION("""COMPUTED_VALUE"""),0.0)</f>
        <v>0</v>
      </c>
      <c r="N180" s="504">
        <f>IFERROR(__xludf.DUMMYFUNCTION("""COMPUTED_VALUE"""),0.0)</f>
        <v>0</v>
      </c>
      <c r="O180" s="62"/>
      <c r="P180" s="62"/>
      <c r="Q180" s="62"/>
      <c r="R180" s="62"/>
      <c r="S180" s="62"/>
      <c r="T180" s="62"/>
      <c r="U180" s="62"/>
      <c r="V180" s="62"/>
      <c r="W180" s="62"/>
      <c r="X180" s="62"/>
      <c r="Y180" s="62"/>
      <c r="Z180" s="62"/>
    </row>
    <row r="181">
      <c r="A181" s="62"/>
      <c r="B181" s="62" t="str">
        <f>IFERROR(__xludf.DUMMYFUNCTION("""COMPUTED_VALUE"""),"森")</f>
        <v>森</v>
      </c>
      <c r="C181" s="62"/>
      <c r="D181" s="62"/>
      <c r="E181" s="62"/>
      <c r="F181" s="62"/>
      <c r="G181" s="504">
        <f>IFERROR(__xludf.DUMMYFUNCTION("""COMPUTED_VALUE"""),0.0)</f>
        <v>0</v>
      </c>
      <c r="H181" s="62"/>
      <c r="I181" s="62"/>
      <c r="J181" s="62"/>
      <c r="K181" s="62"/>
      <c r="L181" s="504">
        <f>IFERROR(__xludf.DUMMYFUNCTION("""COMPUTED_VALUE"""),0.0)</f>
        <v>0</v>
      </c>
      <c r="M181" s="504">
        <f>IFERROR(__xludf.DUMMYFUNCTION("""COMPUTED_VALUE"""),0.0)</f>
        <v>0</v>
      </c>
      <c r="N181" s="504">
        <f>IFERROR(__xludf.DUMMYFUNCTION("""COMPUTED_VALUE"""),0.0)</f>
        <v>0</v>
      </c>
      <c r="O181" s="62"/>
      <c r="P181" s="62"/>
      <c r="Q181" s="62"/>
      <c r="R181" s="62"/>
      <c r="S181" s="62"/>
      <c r="T181" s="62"/>
      <c r="U181" s="62"/>
      <c r="V181" s="62"/>
      <c r="W181" s="62"/>
      <c r="X181" s="62"/>
      <c r="Y181" s="62"/>
      <c r="Z181" s="62"/>
    </row>
    <row r="182">
      <c r="A182" s="62"/>
      <c r="B182" s="62"/>
      <c r="C182" s="62"/>
      <c r="D182" s="62"/>
      <c r="E182" s="62"/>
      <c r="F182" s="62"/>
      <c r="G182" s="504">
        <f>IFERROR(__xludf.DUMMYFUNCTION("""COMPUTED_VALUE"""),0.0)</f>
        <v>0</v>
      </c>
      <c r="H182" s="62"/>
      <c r="I182" s="62"/>
      <c r="J182" s="62"/>
      <c r="K182" s="62"/>
      <c r="L182" s="504">
        <f>IFERROR(__xludf.DUMMYFUNCTION("""COMPUTED_VALUE"""),0.0)</f>
        <v>0</v>
      </c>
      <c r="M182" s="504">
        <f>IFERROR(__xludf.DUMMYFUNCTION("""COMPUTED_VALUE"""),0.0)</f>
        <v>0</v>
      </c>
      <c r="N182" s="504">
        <f>IFERROR(__xludf.DUMMYFUNCTION("""COMPUTED_VALUE"""),0.0)</f>
        <v>0</v>
      </c>
      <c r="O182" s="62"/>
      <c r="P182" s="62"/>
      <c r="Q182" s="62"/>
      <c r="R182" s="62"/>
      <c r="S182" s="62"/>
      <c r="T182" s="62"/>
      <c r="U182" s="62"/>
      <c r="V182" s="62"/>
      <c r="W182" s="62"/>
      <c r="X182" s="62"/>
      <c r="Y182" s="62"/>
      <c r="Z182" s="62"/>
    </row>
    <row r="183">
      <c r="A183" s="62"/>
      <c r="B183" s="62" t="str">
        <f>IFERROR(__xludf.DUMMYFUNCTION("""COMPUTED_VALUE"""),"金子")</f>
        <v>金子</v>
      </c>
      <c r="C183" s="62"/>
      <c r="D183" s="62"/>
      <c r="E183" s="62"/>
      <c r="F183" s="62"/>
      <c r="G183" s="504">
        <f>IFERROR(__xludf.DUMMYFUNCTION("""COMPUTED_VALUE"""),0.0)</f>
        <v>0</v>
      </c>
      <c r="H183" s="62"/>
      <c r="I183" s="62"/>
      <c r="J183" s="62"/>
      <c r="K183" s="62"/>
      <c r="L183" s="504">
        <f>IFERROR(__xludf.DUMMYFUNCTION("""COMPUTED_VALUE"""),0.0)</f>
        <v>0</v>
      </c>
      <c r="M183" s="504">
        <f>IFERROR(__xludf.DUMMYFUNCTION("""COMPUTED_VALUE"""),0.0)</f>
        <v>0</v>
      </c>
      <c r="N183" s="504">
        <f>IFERROR(__xludf.DUMMYFUNCTION("""COMPUTED_VALUE"""),0.0)</f>
        <v>0</v>
      </c>
      <c r="O183" s="62"/>
      <c r="P183" s="62"/>
      <c r="Q183" s="62"/>
      <c r="R183" s="62"/>
      <c r="S183" s="62"/>
      <c r="T183" s="62"/>
      <c r="U183" s="62"/>
      <c r="V183" s="62"/>
      <c r="W183" s="62"/>
      <c r="X183" s="62"/>
      <c r="Y183" s="62"/>
      <c r="Z183" s="62"/>
    </row>
    <row r="184">
      <c r="A184" s="62"/>
      <c r="B184" s="62"/>
      <c r="C184" s="62"/>
      <c r="D184" s="62"/>
      <c r="E184" s="62"/>
      <c r="F184" s="62"/>
      <c r="G184" s="504">
        <f>IFERROR(__xludf.DUMMYFUNCTION("""COMPUTED_VALUE"""),0.0)</f>
        <v>0</v>
      </c>
      <c r="H184" s="62"/>
      <c r="I184" s="62"/>
      <c r="J184" s="62"/>
      <c r="K184" s="62"/>
      <c r="L184" s="504">
        <f>IFERROR(__xludf.DUMMYFUNCTION("""COMPUTED_VALUE"""),0.0)</f>
        <v>0</v>
      </c>
      <c r="M184" s="504">
        <f>IFERROR(__xludf.DUMMYFUNCTION("""COMPUTED_VALUE"""),0.0)</f>
        <v>0</v>
      </c>
      <c r="N184" s="504">
        <f>IFERROR(__xludf.DUMMYFUNCTION("""COMPUTED_VALUE"""),0.0)</f>
        <v>0</v>
      </c>
      <c r="O184" s="62"/>
      <c r="P184" s="62"/>
      <c r="Q184" s="62"/>
      <c r="R184" s="62"/>
      <c r="S184" s="62"/>
      <c r="T184" s="62"/>
      <c r="U184" s="62"/>
      <c r="V184" s="62"/>
      <c r="W184" s="62"/>
      <c r="X184" s="62"/>
      <c r="Y184" s="62"/>
      <c r="Z184" s="62"/>
    </row>
    <row r="185">
      <c r="A185" s="62"/>
      <c r="B185" s="552" t="str">
        <f>IFERROR(__xludf.DUMMYFUNCTION("""COMPUTED_VALUE"""),"SMS")</f>
        <v>SMS</v>
      </c>
      <c r="C185" s="62"/>
      <c r="D185" s="62"/>
      <c r="E185" s="62"/>
      <c r="F185" s="62"/>
      <c r="G185" s="504">
        <f>IFERROR(__xludf.DUMMYFUNCTION("""COMPUTED_VALUE"""),0.0)</f>
        <v>0</v>
      </c>
      <c r="H185" s="62"/>
      <c r="I185" s="62"/>
      <c r="J185" s="62"/>
      <c r="K185" s="62"/>
      <c r="L185" s="504">
        <f>IFERROR(__xludf.DUMMYFUNCTION("""COMPUTED_VALUE"""),0.0)</f>
        <v>0</v>
      </c>
      <c r="M185" s="504">
        <f>IFERROR(__xludf.DUMMYFUNCTION("""COMPUTED_VALUE"""),0.0)</f>
        <v>0</v>
      </c>
      <c r="N185" s="504">
        <f>IFERROR(__xludf.DUMMYFUNCTION("""COMPUTED_VALUE"""),0.0)</f>
        <v>0</v>
      </c>
      <c r="O185" s="62"/>
      <c r="P185" s="62"/>
      <c r="Q185" s="62"/>
      <c r="R185" s="62"/>
      <c r="S185" s="62"/>
      <c r="T185" s="62"/>
      <c r="U185" s="62"/>
      <c r="V185" s="62"/>
      <c r="W185" s="62"/>
      <c r="X185" s="62"/>
      <c r="Y185" s="62"/>
      <c r="Z185" s="62"/>
    </row>
    <row r="186">
      <c r="A186" s="62"/>
      <c r="B186" s="62" t="str">
        <f>IFERROR(__xludf.DUMMYFUNCTION("""COMPUTED_VALUE"""),"紹介")</f>
        <v>紹介</v>
      </c>
      <c r="C186" s="62"/>
      <c r="D186" s="62"/>
      <c r="E186" s="62"/>
      <c r="F186" s="62"/>
      <c r="G186" s="504">
        <f>IFERROR(__xludf.DUMMYFUNCTION("""COMPUTED_VALUE"""),0.0)</f>
        <v>0</v>
      </c>
      <c r="H186" s="62"/>
      <c r="I186" s="62"/>
      <c r="J186" s="62"/>
      <c r="K186" s="62"/>
      <c r="L186" s="504">
        <f>IFERROR(__xludf.DUMMYFUNCTION("""COMPUTED_VALUE"""),0.0)</f>
        <v>0</v>
      </c>
      <c r="M186" s="504">
        <f>IFERROR(__xludf.DUMMYFUNCTION("""COMPUTED_VALUE"""),0.0)</f>
        <v>0</v>
      </c>
      <c r="N186" s="504">
        <f>IFERROR(__xludf.DUMMYFUNCTION("""COMPUTED_VALUE"""),0.0)</f>
        <v>0</v>
      </c>
      <c r="O186" s="62"/>
      <c r="P186" s="62"/>
      <c r="Q186" s="62"/>
      <c r="R186" s="62"/>
      <c r="S186" s="62"/>
      <c r="T186" s="62"/>
      <c r="U186" s="62"/>
      <c r="V186" s="62"/>
      <c r="W186" s="62"/>
      <c r="X186" s="62"/>
      <c r="Y186" s="62"/>
      <c r="Z186" s="62"/>
    </row>
    <row r="187">
      <c r="A187" s="62"/>
      <c r="B187" s="62" t="str">
        <f>IFERROR(__xludf.DUMMYFUNCTION("""COMPUTED_VALUE"""),"仁子")</f>
        <v>仁子</v>
      </c>
      <c r="C187" s="62"/>
      <c r="D187" s="62"/>
      <c r="E187" s="62"/>
      <c r="F187" s="62"/>
      <c r="G187" s="504">
        <f>IFERROR(__xludf.DUMMYFUNCTION("""COMPUTED_VALUE"""),0.0)</f>
        <v>0</v>
      </c>
      <c r="H187" s="62"/>
      <c r="I187" s="62"/>
      <c r="J187" s="62"/>
      <c r="K187" s="62"/>
      <c r="L187" s="504">
        <f>IFERROR(__xludf.DUMMYFUNCTION("""COMPUTED_VALUE"""),0.0)</f>
        <v>0</v>
      </c>
      <c r="M187" s="504">
        <f>IFERROR(__xludf.DUMMYFUNCTION("""COMPUTED_VALUE"""),0.0)</f>
        <v>0</v>
      </c>
      <c r="N187" s="504">
        <f>IFERROR(__xludf.DUMMYFUNCTION("""COMPUTED_VALUE"""),0.0)</f>
        <v>0</v>
      </c>
      <c r="O187" s="62"/>
      <c r="P187" s="62"/>
      <c r="Q187" s="62"/>
      <c r="R187" s="62"/>
      <c r="S187" s="62"/>
      <c r="T187" s="62"/>
      <c r="U187" s="62"/>
      <c r="V187" s="62"/>
      <c r="W187" s="62"/>
      <c r="X187" s="62"/>
      <c r="Y187" s="62"/>
      <c r="Z187" s="62"/>
    </row>
    <row r="188">
      <c r="A188" s="62"/>
      <c r="B188" s="62" t="str">
        <f>IFERROR(__xludf.DUMMYFUNCTION("""COMPUTED_VALUE"""),"鈴木")</f>
        <v>鈴木</v>
      </c>
      <c r="C188" s="62"/>
      <c r="D188" s="62"/>
      <c r="E188" s="62"/>
      <c r="F188" s="62"/>
      <c r="G188" s="504">
        <f>IFERROR(__xludf.DUMMYFUNCTION("""COMPUTED_VALUE"""),0.0)</f>
        <v>0</v>
      </c>
      <c r="H188" s="62"/>
      <c r="I188" s="62"/>
      <c r="J188" s="62"/>
      <c r="K188" s="62"/>
      <c r="L188" s="504">
        <f>IFERROR(__xludf.DUMMYFUNCTION("""COMPUTED_VALUE"""),0.0)</f>
        <v>0</v>
      </c>
      <c r="M188" s="504">
        <f>IFERROR(__xludf.DUMMYFUNCTION("""COMPUTED_VALUE"""),0.0)</f>
        <v>0</v>
      </c>
      <c r="N188" s="504">
        <f>IFERROR(__xludf.DUMMYFUNCTION("""COMPUTED_VALUE"""),0.0)</f>
        <v>0</v>
      </c>
      <c r="O188" s="62"/>
      <c r="P188" s="62"/>
      <c r="Q188" s="62"/>
      <c r="R188" s="62"/>
      <c r="S188" s="62"/>
      <c r="T188" s="62"/>
      <c r="U188" s="62"/>
      <c r="V188" s="62"/>
      <c r="W188" s="62"/>
      <c r="X188" s="62"/>
      <c r="Y188" s="62"/>
      <c r="Z188" s="62"/>
    </row>
    <row r="189">
      <c r="A189" s="62"/>
      <c r="B189" s="62" t="str">
        <f>IFERROR(__xludf.DUMMYFUNCTION("""COMPUTED_VALUE"""),"仲間")</f>
        <v>仲間</v>
      </c>
      <c r="C189" s="62">
        <f>IFERROR(__xludf.DUMMYFUNCTION("""COMPUTED_VALUE"""),112.0)</f>
        <v>112</v>
      </c>
      <c r="D189" s="62">
        <f>IFERROR(__xludf.DUMMYFUNCTION("""COMPUTED_VALUE"""),31.0)</f>
        <v>31</v>
      </c>
      <c r="E189" s="62"/>
      <c r="F189" s="62">
        <f>IFERROR(__xludf.DUMMYFUNCTION("""COMPUTED_VALUE"""),25.0)</f>
        <v>25</v>
      </c>
      <c r="G189" s="504">
        <f>IFERROR(__xludf.DUMMYFUNCTION("""COMPUTED_VALUE"""),0.2767857142857143)</f>
        <v>0.2767857143</v>
      </c>
      <c r="H189" s="62">
        <f>IFERROR(__xludf.DUMMYFUNCTION("""COMPUTED_VALUE"""),1.0)</f>
        <v>1</v>
      </c>
      <c r="I189" s="62">
        <f>IFERROR(__xludf.DUMMYFUNCTION("""COMPUTED_VALUE"""),1.0)</f>
        <v>1</v>
      </c>
      <c r="J189" s="552">
        <f>IFERROR(__xludf.DUMMYFUNCTION("""COMPUTED_VALUE"""),30000.0)</f>
        <v>30000</v>
      </c>
      <c r="K189" s="62"/>
      <c r="L189" s="504">
        <f>IFERROR(__xludf.DUMMYFUNCTION("""COMPUTED_VALUE"""),0.008928571428571428)</f>
        <v>0.008928571429</v>
      </c>
      <c r="M189" s="504">
        <f>IFERROR(__xludf.DUMMYFUNCTION("""COMPUTED_VALUE"""),0.008928571428571428)</f>
        <v>0.008928571429</v>
      </c>
      <c r="N189" s="504">
        <f>IFERROR(__xludf.DUMMYFUNCTION("""COMPUTED_VALUE"""),1.0)</f>
        <v>1</v>
      </c>
      <c r="O189" s="62"/>
      <c r="P189" s="62"/>
      <c r="Q189" s="62"/>
      <c r="R189" s="62"/>
      <c r="S189" s="62"/>
      <c r="T189" s="62"/>
      <c r="U189" s="62"/>
      <c r="V189" s="62"/>
      <c r="W189" s="62"/>
      <c r="X189" s="62"/>
      <c r="Y189" s="62"/>
      <c r="Z189" s="62"/>
    </row>
    <row r="190">
      <c r="A190" s="62"/>
      <c r="B190" s="62"/>
      <c r="C190" s="62"/>
      <c r="D190" s="62"/>
      <c r="E190" s="62"/>
      <c r="F190" s="62"/>
      <c r="G190" s="504">
        <f>IFERROR(__xludf.DUMMYFUNCTION("""COMPUTED_VALUE"""),0.0)</f>
        <v>0</v>
      </c>
      <c r="H190" s="62"/>
      <c r="I190" s="62"/>
      <c r="J190" s="62"/>
      <c r="K190" s="62"/>
      <c r="L190" s="504">
        <f>IFERROR(__xludf.DUMMYFUNCTION("""COMPUTED_VALUE"""),0.0)</f>
        <v>0</v>
      </c>
      <c r="M190" s="504">
        <f>IFERROR(__xludf.DUMMYFUNCTION("""COMPUTED_VALUE"""),0.0)</f>
        <v>0</v>
      </c>
      <c r="N190" s="504">
        <f>IFERROR(__xludf.DUMMYFUNCTION("""COMPUTED_VALUE"""),0.0)</f>
        <v>0</v>
      </c>
      <c r="O190" s="62"/>
      <c r="P190" s="62"/>
      <c r="Q190" s="62"/>
      <c r="R190" s="62"/>
      <c r="S190" s="62"/>
      <c r="T190" s="62"/>
      <c r="U190" s="62"/>
      <c r="V190" s="62"/>
      <c r="W190" s="62"/>
      <c r="X190" s="62"/>
      <c r="Y190" s="62"/>
      <c r="Z190" s="62"/>
    </row>
    <row r="191">
      <c r="A191" s="62"/>
      <c r="B191" s="62" t="str">
        <f>IFERROR(__xludf.DUMMYFUNCTION("""COMPUTED_VALUE"""),"合計")</f>
        <v>合計</v>
      </c>
      <c r="C191" s="62">
        <f>IFERROR(__xludf.DUMMYFUNCTION("""COMPUTED_VALUE"""),539.0)</f>
        <v>539</v>
      </c>
      <c r="D191" s="62">
        <f>IFERROR(__xludf.DUMMYFUNCTION("""COMPUTED_VALUE"""),93.0)</f>
        <v>93</v>
      </c>
      <c r="E191" s="62">
        <f>IFERROR(__xludf.DUMMYFUNCTION("""COMPUTED_VALUE"""),11.0)</f>
        <v>11</v>
      </c>
      <c r="F191" s="62">
        <f>IFERROR(__xludf.DUMMYFUNCTION("""COMPUTED_VALUE"""),77.0)</f>
        <v>77</v>
      </c>
      <c r="G191" s="504">
        <f>IFERROR(__xludf.DUMMYFUNCTION("""COMPUTED_VALUE"""),0.1725417439703154)</f>
        <v>0.172541744</v>
      </c>
      <c r="H191" s="62">
        <f>IFERROR(__xludf.DUMMYFUNCTION("""COMPUTED_VALUE"""),3.0)</f>
        <v>3</v>
      </c>
      <c r="I191" s="62">
        <f>IFERROR(__xludf.DUMMYFUNCTION("""COMPUTED_VALUE"""),3.0)</f>
        <v>3</v>
      </c>
      <c r="J191" s="552">
        <f>IFERROR(__xludf.DUMMYFUNCTION("""COMPUTED_VALUE"""),80000.0)</f>
        <v>80000</v>
      </c>
      <c r="K191" s="62">
        <f>IFERROR(__xludf.DUMMYFUNCTION("""COMPUTED_VALUE"""),9.0)</f>
        <v>9</v>
      </c>
      <c r="L191" s="504">
        <f>IFERROR(__xludf.DUMMYFUNCTION("""COMPUTED_VALUE"""),0.0055658627087198514)</f>
        <v>0.005565862709</v>
      </c>
      <c r="M191" s="504">
        <f>IFERROR(__xludf.DUMMYFUNCTION("""COMPUTED_VALUE"""),0.0055658627087198514)</f>
        <v>0.005565862709</v>
      </c>
      <c r="N191" s="504">
        <f>IFERROR(__xludf.DUMMYFUNCTION("""COMPUTED_VALUE"""),1.0)</f>
        <v>1</v>
      </c>
      <c r="O191" s="62"/>
      <c r="P191" s="62"/>
      <c r="Q191" s="62"/>
      <c r="R191" s="62"/>
      <c r="S191" s="62"/>
      <c r="T191" s="62"/>
      <c r="U191" s="62"/>
      <c r="V191" s="62"/>
      <c r="W191" s="62"/>
      <c r="X191" s="62"/>
      <c r="Y191" s="62"/>
      <c r="Z191" s="62"/>
    </row>
    <row r="192">
      <c r="A192" s="62" t="str">
        <f>IFERROR(__xludf.DUMMYFUNCTION("""COMPUTED_VALUE"""),"日付")</f>
        <v>日付</v>
      </c>
      <c r="B192" s="62" t="str">
        <f>IFERROR(__xludf.DUMMYFUNCTION("""COMPUTED_VALUE"""),"名前")</f>
        <v>名前</v>
      </c>
      <c r="C192" s="62" t="str">
        <f>IFERROR(__xludf.DUMMYFUNCTION("""COMPUTED_VALUE"""),"打電件数")</f>
        <v>打電件数</v>
      </c>
      <c r="D192" s="62" t="str">
        <f>IFERROR(__xludf.DUMMYFUNCTION("""COMPUTED_VALUE"""),"着電件数")</f>
        <v>着電件数</v>
      </c>
      <c r="E192" s="62" t="str">
        <f>IFERROR(__xludf.DUMMYFUNCTION("""COMPUTED_VALUE"""),"折り返し件数")</f>
        <v>折り返し件数</v>
      </c>
      <c r="F192" s="62" t="str">
        <f>IFERROR(__xludf.DUMMYFUNCTION("""COMPUTED_VALUE"""),"拒否")</f>
        <v>拒否</v>
      </c>
      <c r="G192" s="62" t="str">
        <f>IFERROR(__xludf.DUMMYFUNCTION("""COMPUTED_VALUE"""),"着電率")</f>
        <v>着電率</v>
      </c>
      <c r="H192" s="62" t="str">
        <f>IFERROR(__xludf.DUMMYFUNCTION("""COMPUTED_VALUE"""),"LINE登録")</f>
        <v>LINE登録</v>
      </c>
      <c r="I192" s="62" t="str">
        <f>IFERROR(__xludf.DUMMYFUNCTION("""COMPUTED_VALUE"""),"アカウント作成")</f>
        <v>アカウント作成</v>
      </c>
      <c r="J192" s="552" t="str">
        <f>IFERROR(__xludf.DUMMYFUNCTION("""COMPUTED_VALUE"""),"新規信用枠額")</f>
        <v>新規信用枠額</v>
      </c>
      <c r="K192" s="62" t="str">
        <f>IFERROR(__xludf.DUMMYFUNCTION("""COMPUTED_VALUE"""),"リスト死回線数")</f>
        <v>リスト死回線数</v>
      </c>
      <c r="L192" s="62" t="str">
        <f>IFERROR(__xludf.DUMMYFUNCTION("""COMPUTED_VALUE"""),"LINE率(打電から)")</f>
        <v>LINE率(打電から)</v>
      </c>
      <c r="M192" s="62" t="str">
        <f>IFERROR(__xludf.DUMMYFUNCTION("""COMPUTED_VALUE"""),"アカウント作成率(打電から)")</f>
        <v>アカウント作成率(打電から)</v>
      </c>
      <c r="N192" s="62" t="str">
        <f>IFERROR(__xludf.DUMMYFUNCTION("""COMPUTED_VALUE"""),"アカウント作成率(LINEから)")</f>
        <v>アカウント作成率(LINEから)</v>
      </c>
      <c r="O192" s="62" t="str">
        <f>IFERROR(__xludf.DUMMYFUNCTION("""COMPUTED_VALUE"""),"リスト名")</f>
        <v>リスト名</v>
      </c>
      <c r="P192" s="553" t="str">
        <f>IFERROR(__xludf.DUMMYFUNCTION("""COMPUTED_VALUE"""),"日本基準")</f>
        <v>日本基準</v>
      </c>
      <c r="Q192" s="62"/>
      <c r="R192" s="62"/>
      <c r="S192" s="62"/>
      <c r="T192" s="62"/>
      <c r="U192" s="62"/>
      <c r="V192" s="62"/>
      <c r="W192" s="62"/>
      <c r="X192" s="62"/>
      <c r="Y192" s="62"/>
      <c r="Z192" s="62"/>
    </row>
    <row r="193">
      <c r="A193" s="556">
        <f>IFERROR(__xludf.DUMMYFUNCTION("""COMPUTED_VALUE"""),45910.0)</f>
        <v>45910</v>
      </c>
      <c r="B193" s="62" t="str">
        <f>IFERROR(__xludf.DUMMYFUNCTION("""COMPUTED_VALUE"""),"あり")</f>
        <v>あり</v>
      </c>
      <c r="C193" s="62"/>
      <c r="D193" s="62"/>
      <c r="E193" s="62"/>
      <c r="F193" s="62"/>
      <c r="G193" s="504">
        <f>IFERROR(__xludf.DUMMYFUNCTION("""COMPUTED_VALUE"""),0.0)</f>
        <v>0</v>
      </c>
      <c r="H193" s="62"/>
      <c r="I193" s="62"/>
      <c r="J193" s="62"/>
      <c r="K193" s="62"/>
      <c r="L193" s="504">
        <f>IFERROR(__xludf.DUMMYFUNCTION("""COMPUTED_VALUE"""),0.0)</f>
        <v>0</v>
      </c>
      <c r="M193" s="504">
        <f>IFERROR(__xludf.DUMMYFUNCTION("""COMPUTED_VALUE"""),0.0)</f>
        <v>0</v>
      </c>
      <c r="N193" s="504">
        <f>IFERROR(__xludf.DUMMYFUNCTION("""COMPUTED_VALUE"""),0.0)</f>
        <v>0</v>
      </c>
      <c r="O193" s="62"/>
      <c r="P193" s="62"/>
      <c r="Q193" s="62"/>
      <c r="R193" s="62"/>
      <c r="S193" s="62"/>
      <c r="T193" s="62"/>
      <c r="U193" s="62"/>
      <c r="V193" s="62"/>
      <c r="W193" s="62"/>
      <c r="X193" s="62"/>
      <c r="Y193" s="62"/>
      <c r="Z193" s="62"/>
    </row>
    <row r="194">
      <c r="A194" s="62"/>
      <c r="B194" s="62" t="str">
        <f>IFERROR(__xludf.DUMMYFUNCTION("""COMPUTED_VALUE"""),"しょうま")</f>
        <v>しょうま</v>
      </c>
      <c r="C194" s="62">
        <f>IFERROR(__xludf.DUMMYFUNCTION("""COMPUTED_VALUE"""),173.0)</f>
        <v>173</v>
      </c>
      <c r="D194" s="62">
        <f>IFERROR(__xludf.DUMMYFUNCTION("""COMPUTED_VALUE"""),31.0)</f>
        <v>31</v>
      </c>
      <c r="E194" s="62">
        <f>IFERROR(__xludf.DUMMYFUNCTION("""COMPUTED_VALUE"""),2.0)</f>
        <v>2</v>
      </c>
      <c r="F194" s="62">
        <f>IFERROR(__xludf.DUMMYFUNCTION("""COMPUTED_VALUE"""),29.0)</f>
        <v>29</v>
      </c>
      <c r="G194" s="504">
        <f>IFERROR(__xludf.DUMMYFUNCTION("""COMPUTED_VALUE"""),0.1791907514450867)</f>
        <v>0.1791907514</v>
      </c>
      <c r="H194" s="62">
        <f>IFERROR(__xludf.DUMMYFUNCTION("""COMPUTED_VALUE"""),2.0)</f>
        <v>2</v>
      </c>
      <c r="I194" s="62">
        <f>IFERROR(__xludf.DUMMYFUNCTION("""COMPUTED_VALUE"""),2.0)</f>
        <v>2</v>
      </c>
      <c r="J194" s="552">
        <f>IFERROR(__xludf.DUMMYFUNCTION("""COMPUTED_VALUE"""),100000.0)</f>
        <v>100000</v>
      </c>
      <c r="K194" s="62"/>
      <c r="L194" s="504">
        <f>IFERROR(__xludf.DUMMYFUNCTION("""COMPUTED_VALUE"""),0.011560693641618497)</f>
        <v>0.01156069364</v>
      </c>
      <c r="M194" s="504">
        <f>IFERROR(__xludf.DUMMYFUNCTION("""COMPUTED_VALUE"""),0.011560693641618497)</f>
        <v>0.01156069364</v>
      </c>
      <c r="N194" s="504">
        <f>IFERROR(__xludf.DUMMYFUNCTION("""COMPUTED_VALUE"""),1.0)</f>
        <v>1</v>
      </c>
      <c r="O194" s="62" t="str">
        <f>IFERROR(__xludf.DUMMYFUNCTION("""COMPUTED_VALUE"""),"リストE")</f>
        <v>リストE</v>
      </c>
      <c r="P194" s="553" t="str">
        <f>IFERROR(__xludf.DUMMYFUNCTION("""COMPUTED_VALUE"""),"平日")</f>
        <v>平日</v>
      </c>
      <c r="Q194" s="62"/>
      <c r="R194" s="62"/>
      <c r="S194" s="62"/>
      <c r="T194" s="62"/>
      <c r="U194" s="62"/>
      <c r="V194" s="62"/>
      <c r="W194" s="62"/>
      <c r="X194" s="62"/>
      <c r="Y194" s="62"/>
      <c r="Z194" s="62"/>
    </row>
    <row r="195">
      <c r="A195" s="62"/>
      <c r="B195" s="62"/>
      <c r="C195" s="62"/>
      <c r="D195" s="62"/>
      <c r="E195" s="62"/>
      <c r="F195" s="62"/>
      <c r="G195" s="504">
        <f>IFERROR(__xludf.DUMMYFUNCTION("""COMPUTED_VALUE"""),0.0)</f>
        <v>0</v>
      </c>
      <c r="H195" s="62"/>
      <c r="I195" s="62"/>
      <c r="J195" s="62"/>
      <c r="K195" s="62"/>
      <c r="L195" s="504">
        <f>IFERROR(__xludf.DUMMYFUNCTION("""COMPUTED_VALUE"""),0.0)</f>
        <v>0</v>
      </c>
      <c r="M195" s="504">
        <f>IFERROR(__xludf.DUMMYFUNCTION("""COMPUTED_VALUE"""),0.0)</f>
        <v>0</v>
      </c>
      <c r="N195" s="504">
        <f>IFERROR(__xludf.DUMMYFUNCTION("""COMPUTED_VALUE"""),0.0)</f>
        <v>0</v>
      </c>
      <c r="O195" s="62"/>
      <c r="P195" s="62"/>
      <c r="Q195" s="62"/>
      <c r="R195" s="62"/>
      <c r="S195" s="62"/>
      <c r="T195" s="62"/>
      <c r="U195" s="62"/>
      <c r="V195" s="62"/>
      <c r="W195" s="62"/>
      <c r="X195" s="62"/>
      <c r="Y195" s="62"/>
      <c r="Z195" s="62"/>
    </row>
    <row r="196">
      <c r="A196" s="62"/>
      <c r="B196" s="62" t="str">
        <f>IFERROR(__xludf.DUMMYFUNCTION("""COMPUTED_VALUE"""),"ジョーナ")</f>
        <v>ジョーナ</v>
      </c>
      <c r="C196" s="62"/>
      <c r="D196" s="62"/>
      <c r="E196" s="62"/>
      <c r="F196" s="62"/>
      <c r="G196" s="504">
        <f>IFERROR(__xludf.DUMMYFUNCTION("""COMPUTED_VALUE"""),0.0)</f>
        <v>0</v>
      </c>
      <c r="H196" s="62"/>
      <c r="I196" s="62"/>
      <c r="J196" s="62"/>
      <c r="K196" s="62"/>
      <c r="L196" s="504">
        <f>IFERROR(__xludf.DUMMYFUNCTION("""COMPUTED_VALUE"""),0.0)</f>
        <v>0</v>
      </c>
      <c r="M196" s="504">
        <f>IFERROR(__xludf.DUMMYFUNCTION("""COMPUTED_VALUE"""),0.0)</f>
        <v>0</v>
      </c>
      <c r="N196" s="504">
        <f>IFERROR(__xludf.DUMMYFUNCTION("""COMPUTED_VALUE"""),0.0)</f>
        <v>0</v>
      </c>
      <c r="O196" s="62"/>
      <c r="P196" s="62"/>
      <c r="Q196" s="62"/>
      <c r="R196" s="62"/>
      <c r="S196" s="62"/>
      <c r="T196" s="62"/>
      <c r="U196" s="62"/>
      <c r="V196" s="62"/>
      <c r="W196" s="62"/>
      <c r="X196" s="62"/>
      <c r="Y196" s="62"/>
      <c r="Z196" s="62"/>
    </row>
    <row r="197">
      <c r="A197" s="62"/>
      <c r="B197" s="62" t="str">
        <f>IFERROR(__xludf.DUMMYFUNCTION("""COMPUTED_VALUE"""),"武田")</f>
        <v>武田</v>
      </c>
      <c r="C197" s="62"/>
      <c r="D197" s="62"/>
      <c r="E197" s="62"/>
      <c r="F197" s="62"/>
      <c r="G197" s="504">
        <f>IFERROR(__xludf.DUMMYFUNCTION("""COMPUTED_VALUE"""),0.0)</f>
        <v>0</v>
      </c>
      <c r="H197" s="62"/>
      <c r="I197" s="62"/>
      <c r="J197" s="62"/>
      <c r="K197" s="62"/>
      <c r="L197" s="504">
        <f>IFERROR(__xludf.DUMMYFUNCTION("""COMPUTED_VALUE"""),0.0)</f>
        <v>0</v>
      </c>
      <c r="M197" s="504">
        <f>IFERROR(__xludf.DUMMYFUNCTION("""COMPUTED_VALUE"""),0.0)</f>
        <v>0</v>
      </c>
      <c r="N197" s="504">
        <f>IFERROR(__xludf.DUMMYFUNCTION("""COMPUTED_VALUE"""),0.0)</f>
        <v>0</v>
      </c>
      <c r="O197" s="62"/>
      <c r="P197" s="62"/>
      <c r="Q197" s="62"/>
      <c r="R197" s="62"/>
      <c r="S197" s="62"/>
      <c r="T197" s="62"/>
      <c r="U197" s="62"/>
      <c r="V197" s="62"/>
      <c r="W197" s="62"/>
      <c r="X197" s="62"/>
      <c r="Y197" s="62"/>
      <c r="Z197" s="62"/>
    </row>
    <row r="198">
      <c r="A198" s="62"/>
      <c r="B198" s="62" t="str">
        <f>IFERROR(__xludf.DUMMYFUNCTION("""COMPUTED_VALUE"""),"高木")</f>
        <v>高木</v>
      </c>
      <c r="C198" s="62">
        <f>IFERROR(__xludf.DUMMYFUNCTION("""COMPUTED_VALUE"""),117.0)</f>
        <v>117</v>
      </c>
      <c r="D198" s="62">
        <f>IFERROR(__xludf.DUMMYFUNCTION("""COMPUTED_VALUE"""),17.0)</f>
        <v>17</v>
      </c>
      <c r="E198" s="62">
        <f>IFERROR(__xludf.DUMMYFUNCTION("""COMPUTED_VALUE"""),1.0)</f>
        <v>1</v>
      </c>
      <c r="F198" s="62">
        <f>IFERROR(__xludf.DUMMYFUNCTION("""COMPUTED_VALUE"""),12.0)</f>
        <v>12</v>
      </c>
      <c r="G198" s="504">
        <f>IFERROR(__xludf.DUMMYFUNCTION("""COMPUTED_VALUE"""),0.1452991452991453)</f>
        <v>0.1452991453</v>
      </c>
      <c r="H198" s="62">
        <f>IFERROR(__xludf.DUMMYFUNCTION("""COMPUTED_VALUE"""),2.0)</f>
        <v>2</v>
      </c>
      <c r="I198" s="62">
        <f>IFERROR(__xludf.DUMMYFUNCTION("""COMPUTED_VALUE"""),2.0)</f>
        <v>2</v>
      </c>
      <c r="J198" s="552">
        <f>IFERROR(__xludf.DUMMYFUNCTION("""COMPUTED_VALUE"""),100000.0)</f>
        <v>100000</v>
      </c>
      <c r="K198" s="62">
        <f>IFERROR(__xludf.DUMMYFUNCTION("""COMPUTED_VALUE"""),8.0)</f>
        <v>8</v>
      </c>
      <c r="L198" s="504">
        <f>IFERROR(__xludf.DUMMYFUNCTION("""COMPUTED_VALUE"""),0.017094017094017096)</f>
        <v>0.01709401709</v>
      </c>
      <c r="M198" s="504">
        <f>IFERROR(__xludf.DUMMYFUNCTION("""COMPUTED_VALUE"""),0.017094017094017096)</f>
        <v>0.01709401709</v>
      </c>
      <c r="N198" s="504">
        <f>IFERROR(__xludf.DUMMYFUNCTION("""COMPUTED_VALUE"""),1.0)</f>
        <v>1</v>
      </c>
      <c r="O198" s="62"/>
      <c r="P198" s="62"/>
      <c r="Q198" s="62"/>
      <c r="R198" s="62"/>
      <c r="S198" s="62"/>
      <c r="T198" s="62"/>
      <c r="U198" s="62"/>
      <c r="V198" s="62"/>
      <c r="W198" s="62"/>
      <c r="X198" s="62"/>
      <c r="Y198" s="62"/>
      <c r="Z198" s="62"/>
    </row>
    <row r="199">
      <c r="A199" s="62"/>
      <c r="B199" s="62"/>
      <c r="C199" s="62"/>
      <c r="D199" s="62"/>
      <c r="E199" s="62"/>
      <c r="F199" s="62"/>
      <c r="G199" s="504">
        <f>IFERROR(__xludf.DUMMYFUNCTION("""COMPUTED_VALUE"""),0.0)</f>
        <v>0</v>
      </c>
      <c r="H199" s="62"/>
      <c r="I199" s="62"/>
      <c r="J199" s="62"/>
      <c r="K199" s="62"/>
      <c r="L199" s="504">
        <f>IFERROR(__xludf.DUMMYFUNCTION("""COMPUTED_VALUE"""),0.0)</f>
        <v>0</v>
      </c>
      <c r="M199" s="504">
        <f>IFERROR(__xludf.DUMMYFUNCTION("""COMPUTED_VALUE"""),0.0)</f>
        <v>0</v>
      </c>
      <c r="N199" s="504">
        <f>IFERROR(__xludf.DUMMYFUNCTION("""COMPUTED_VALUE"""),0.0)</f>
        <v>0</v>
      </c>
      <c r="O199" s="62"/>
      <c r="P199" s="62"/>
      <c r="Q199" s="62"/>
      <c r="R199" s="62"/>
      <c r="S199" s="62"/>
      <c r="T199" s="62"/>
      <c r="U199" s="62"/>
      <c r="V199" s="62"/>
      <c r="W199" s="62"/>
      <c r="X199" s="62"/>
      <c r="Y199" s="62"/>
      <c r="Z199" s="62"/>
    </row>
    <row r="200">
      <c r="A200" s="62"/>
      <c r="B200" s="62" t="str">
        <f>IFERROR(__xludf.DUMMYFUNCTION("""COMPUTED_VALUE"""),"大谷")</f>
        <v>大谷</v>
      </c>
      <c r="C200" s="62"/>
      <c r="D200" s="62"/>
      <c r="E200" s="62"/>
      <c r="F200" s="62"/>
      <c r="G200" s="504">
        <f>IFERROR(__xludf.DUMMYFUNCTION("""COMPUTED_VALUE"""),0.0)</f>
        <v>0</v>
      </c>
      <c r="H200" s="62"/>
      <c r="I200" s="62"/>
      <c r="J200" s="62"/>
      <c r="K200" s="62"/>
      <c r="L200" s="504">
        <f>IFERROR(__xludf.DUMMYFUNCTION("""COMPUTED_VALUE"""),0.0)</f>
        <v>0</v>
      </c>
      <c r="M200" s="504">
        <f>IFERROR(__xludf.DUMMYFUNCTION("""COMPUTED_VALUE"""),0.0)</f>
        <v>0</v>
      </c>
      <c r="N200" s="504">
        <f>IFERROR(__xludf.DUMMYFUNCTION("""COMPUTED_VALUE"""),0.0)</f>
        <v>0</v>
      </c>
      <c r="O200" s="62"/>
      <c r="P200" s="62"/>
      <c r="Q200" s="62"/>
      <c r="R200" s="62"/>
      <c r="S200" s="62"/>
      <c r="T200" s="62"/>
      <c r="U200" s="62"/>
      <c r="V200" s="62"/>
      <c r="W200" s="62"/>
      <c r="X200" s="62"/>
      <c r="Y200" s="62"/>
      <c r="Z200" s="62"/>
    </row>
    <row r="201">
      <c r="A201" s="62"/>
      <c r="B201" s="62"/>
      <c r="C201" s="62"/>
      <c r="D201" s="62"/>
      <c r="E201" s="62"/>
      <c r="F201" s="62"/>
      <c r="G201" s="504">
        <f>IFERROR(__xludf.DUMMYFUNCTION("""COMPUTED_VALUE"""),0.0)</f>
        <v>0</v>
      </c>
      <c r="H201" s="62"/>
      <c r="I201" s="62"/>
      <c r="J201" s="62"/>
      <c r="K201" s="62"/>
      <c r="L201" s="504">
        <f>IFERROR(__xludf.DUMMYFUNCTION("""COMPUTED_VALUE"""),0.0)</f>
        <v>0</v>
      </c>
      <c r="M201" s="504">
        <f>IFERROR(__xludf.DUMMYFUNCTION("""COMPUTED_VALUE"""),0.0)</f>
        <v>0</v>
      </c>
      <c r="N201" s="504">
        <f>IFERROR(__xludf.DUMMYFUNCTION("""COMPUTED_VALUE"""),0.0)</f>
        <v>0</v>
      </c>
      <c r="O201" s="62"/>
      <c r="P201" s="62"/>
      <c r="Q201" s="62"/>
      <c r="R201" s="62"/>
      <c r="S201" s="62"/>
      <c r="T201" s="62"/>
      <c r="U201" s="62"/>
      <c r="V201" s="62"/>
      <c r="W201" s="62"/>
      <c r="X201" s="62"/>
      <c r="Y201" s="62"/>
      <c r="Z201" s="62"/>
    </row>
    <row r="202">
      <c r="A202" s="62"/>
      <c r="B202" s="62" t="str">
        <f>IFERROR(__xludf.DUMMYFUNCTION("""COMPUTED_VALUE"""),"森")</f>
        <v>森</v>
      </c>
      <c r="C202" s="62"/>
      <c r="D202" s="62"/>
      <c r="E202" s="62"/>
      <c r="F202" s="62"/>
      <c r="G202" s="504">
        <f>IFERROR(__xludf.DUMMYFUNCTION("""COMPUTED_VALUE"""),0.0)</f>
        <v>0</v>
      </c>
      <c r="H202" s="62"/>
      <c r="I202" s="62"/>
      <c r="J202" s="62"/>
      <c r="K202" s="62"/>
      <c r="L202" s="504">
        <f>IFERROR(__xludf.DUMMYFUNCTION("""COMPUTED_VALUE"""),0.0)</f>
        <v>0</v>
      </c>
      <c r="M202" s="504">
        <f>IFERROR(__xludf.DUMMYFUNCTION("""COMPUTED_VALUE"""),0.0)</f>
        <v>0</v>
      </c>
      <c r="N202" s="504">
        <f>IFERROR(__xludf.DUMMYFUNCTION("""COMPUTED_VALUE"""),0.0)</f>
        <v>0</v>
      </c>
      <c r="O202" s="62"/>
      <c r="P202" s="62"/>
      <c r="Q202" s="62"/>
      <c r="R202" s="62"/>
      <c r="S202" s="62"/>
      <c r="T202" s="62"/>
      <c r="U202" s="62"/>
      <c r="V202" s="62"/>
      <c r="W202" s="62"/>
      <c r="X202" s="62"/>
      <c r="Y202" s="62"/>
      <c r="Z202" s="62"/>
    </row>
    <row r="203">
      <c r="A203" s="62"/>
      <c r="B203" s="62"/>
      <c r="C203" s="62"/>
      <c r="D203" s="62"/>
      <c r="E203" s="62"/>
      <c r="F203" s="62"/>
      <c r="G203" s="504">
        <f>IFERROR(__xludf.DUMMYFUNCTION("""COMPUTED_VALUE"""),0.0)</f>
        <v>0</v>
      </c>
      <c r="H203" s="62"/>
      <c r="I203" s="62"/>
      <c r="J203" s="62"/>
      <c r="K203" s="62"/>
      <c r="L203" s="504">
        <f>IFERROR(__xludf.DUMMYFUNCTION("""COMPUTED_VALUE"""),0.0)</f>
        <v>0</v>
      </c>
      <c r="M203" s="504">
        <f>IFERROR(__xludf.DUMMYFUNCTION("""COMPUTED_VALUE"""),0.0)</f>
        <v>0</v>
      </c>
      <c r="N203" s="504">
        <f>IFERROR(__xludf.DUMMYFUNCTION("""COMPUTED_VALUE"""),0.0)</f>
        <v>0</v>
      </c>
      <c r="O203" s="62"/>
      <c r="P203" s="62"/>
      <c r="Q203" s="62"/>
      <c r="R203" s="62"/>
      <c r="S203" s="62"/>
      <c r="T203" s="62"/>
      <c r="U203" s="62"/>
      <c r="V203" s="62"/>
      <c r="W203" s="62"/>
      <c r="X203" s="62"/>
      <c r="Y203" s="62"/>
      <c r="Z203" s="62"/>
    </row>
    <row r="204">
      <c r="A204" s="62"/>
      <c r="B204" s="62" t="str">
        <f>IFERROR(__xludf.DUMMYFUNCTION("""COMPUTED_VALUE"""),"金子")</f>
        <v>金子</v>
      </c>
      <c r="C204" s="62"/>
      <c r="D204" s="62"/>
      <c r="E204" s="62"/>
      <c r="F204" s="62"/>
      <c r="G204" s="504">
        <f>IFERROR(__xludf.DUMMYFUNCTION("""COMPUTED_VALUE"""),0.0)</f>
        <v>0</v>
      </c>
      <c r="H204" s="62"/>
      <c r="I204" s="62"/>
      <c r="J204" s="62"/>
      <c r="K204" s="62"/>
      <c r="L204" s="504">
        <f>IFERROR(__xludf.DUMMYFUNCTION("""COMPUTED_VALUE"""),0.0)</f>
        <v>0</v>
      </c>
      <c r="M204" s="504">
        <f>IFERROR(__xludf.DUMMYFUNCTION("""COMPUTED_VALUE"""),0.0)</f>
        <v>0</v>
      </c>
      <c r="N204" s="504">
        <f>IFERROR(__xludf.DUMMYFUNCTION("""COMPUTED_VALUE"""),0.0)</f>
        <v>0</v>
      </c>
      <c r="O204" s="62"/>
      <c r="P204" s="62"/>
      <c r="Q204" s="62"/>
      <c r="R204" s="62"/>
      <c r="S204" s="62"/>
      <c r="T204" s="62"/>
      <c r="U204" s="62"/>
      <c r="V204" s="62"/>
      <c r="W204" s="62"/>
      <c r="X204" s="62"/>
      <c r="Y204" s="62"/>
      <c r="Z204" s="62"/>
    </row>
    <row r="205">
      <c r="A205" s="62"/>
      <c r="B205" s="62"/>
      <c r="C205" s="62"/>
      <c r="D205" s="62"/>
      <c r="E205" s="62"/>
      <c r="F205" s="62"/>
      <c r="G205" s="504">
        <f>IFERROR(__xludf.DUMMYFUNCTION("""COMPUTED_VALUE"""),0.0)</f>
        <v>0</v>
      </c>
      <c r="H205" s="62"/>
      <c r="I205" s="62"/>
      <c r="J205" s="62"/>
      <c r="K205" s="62"/>
      <c r="L205" s="504">
        <f>IFERROR(__xludf.DUMMYFUNCTION("""COMPUTED_VALUE"""),0.0)</f>
        <v>0</v>
      </c>
      <c r="M205" s="504">
        <f>IFERROR(__xludf.DUMMYFUNCTION("""COMPUTED_VALUE"""),0.0)</f>
        <v>0</v>
      </c>
      <c r="N205" s="504">
        <f>IFERROR(__xludf.DUMMYFUNCTION("""COMPUTED_VALUE"""),0.0)</f>
        <v>0</v>
      </c>
      <c r="O205" s="62"/>
      <c r="P205" s="62"/>
      <c r="Q205" s="62"/>
      <c r="R205" s="62"/>
      <c r="S205" s="62"/>
      <c r="T205" s="62"/>
      <c r="U205" s="62"/>
      <c r="V205" s="62"/>
      <c r="W205" s="62"/>
      <c r="X205" s="62"/>
      <c r="Y205" s="62"/>
      <c r="Z205" s="62"/>
    </row>
    <row r="206">
      <c r="A206" s="62"/>
      <c r="B206" s="552" t="str">
        <f>IFERROR(__xludf.DUMMYFUNCTION("""COMPUTED_VALUE"""),"SMS")</f>
        <v>SMS</v>
      </c>
      <c r="C206" s="62"/>
      <c r="D206" s="62"/>
      <c r="E206" s="62"/>
      <c r="F206" s="62"/>
      <c r="G206" s="504">
        <f>IFERROR(__xludf.DUMMYFUNCTION("""COMPUTED_VALUE"""),0.0)</f>
        <v>0</v>
      </c>
      <c r="H206" s="62"/>
      <c r="I206" s="62"/>
      <c r="J206" s="62"/>
      <c r="K206" s="62"/>
      <c r="L206" s="504">
        <f>IFERROR(__xludf.DUMMYFUNCTION("""COMPUTED_VALUE"""),0.0)</f>
        <v>0</v>
      </c>
      <c r="M206" s="504">
        <f>IFERROR(__xludf.DUMMYFUNCTION("""COMPUTED_VALUE"""),0.0)</f>
        <v>0</v>
      </c>
      <c r="N206" s="504">
        <f>IFERROR(__xludf.DUMMYFUNCTION("""COMPUTED_VALUE"""),0.0)</f>
        <v>0</v>
      </c>
      <c r="O206" s="62"/>
      <c r="P206" s="62"/>
      <c r="Q206" s="62"/>
      <c r="R206" s="62"/>
      <c r="S206" s="62"/>
      <c r="T206" s="62"/>
      <c r="U206" s="62"/>
      <c r="V206" s="62"/>
      <c r="W206" s="62"/>
      <c r="X206" s="62"/>
      <c r="Y206" s="62"/>
      <c r="Z206" s="62"/>
    </row>
    <row r="207">
      <c r="A207" s="62"/>
      <c r="B207" s="62" t="str">
        <f>IFERROR(__xludf.DUMMYFUNCTION("""COMPUTED_VALUE"""),"紹介")</f>
        <v>紹介</v>
      </c>
      <c r="C207" s="62"/>
      <c r="D207" s="62"/>
      <c r="E207" s="62"/>
      <c r="F207" s="62"/>
      <c r="G207" s="504">
        <f>IFERROR(__xludf.DUMMYFUNCTION("""COMPUTED_VALUE"""),0.0)</f>
        <v>0</v>
      </c>
      <c r="H207" s="62"/>
      <c r="I207" s="62"/>
      <c r="J207" s="62"/>
      <c r="K207" s="62"/>
      <c r="L207" s="504">
        <f>IFERROR(__xludf.DUMMYFUNCTION("""COMPUTED_VALUE"""),0.0)</f>
        <v>0</v>
      </c>
      <c r="M207" s="504">
        <f>IFERROR(__xludf.DUMMYFUNCTION("""COMPUTED_VALUE"""),0.0)</f>
        <v>0</v>
      </c>
      <c r="N207" s="504">
        <f>IFERROR(__xludf.DUMMYFUNCTION("""COMPUTED_VALUE"""),0.0)</f>
        <v>0</v>
      </c>
      <c r="O207" s="62"/>
      <c r="P207" s="62"/>
      <c r="Q207" s="62"/>
      <c r="R207" s="62"/>
      <c r="S207" s="62"/>
      <c r="T207" s="62"/>
      <c r="U207" s="62"/>
      <c r="V207" s="62"/>
      <c r="W207" s="62"/>
      <c r="X207" s="62"/>
      <c r="Y207" s="62"/>
      <c r="Z207" s="62"/>
    </row>
    <row r="208">
      <c r="A208" s="62"/>
      <c r="B208" s="62" t="str">
        <f>IFERROR(__xludf.DUMMYFUNCTION("""COMPUTED_VALUE"""),"仁子")</f>
        <v>仁子</v>
      </c>
      <c r="C208" s="62"/>
      <c r="D208" s="62"/>
      <c r="E208" s="62"/>
      <c r="F208" s="62"/>
      <c r="G208" s="504">
        <f>IFERROR(__xludf.DUMMYFUNCTION("""COMPUTED_VALUE"""),0.0)</f>
        <v>0</v>
      </c>
      <c r="H208" s="62"/>
      <c r="I208" s="62"/>
      <c r="J208" s="62"/>
      <c r="K208" s="62"/>
      <c r="L208" s="504">
        <f>IFERROR(__xludf.DUMMYFUNCTION("""COMPUTED_VALUE"""),0.0)</f>
        <v>0</v>
      </c>
      <c r="M208" s="504">
        <f>IFERROR(__xludf.DUMMYFUNCTION("""COMPUTED_VALUE"""),0.0)</f>
        <v>0</v>
      </c>
      <c r="N208" s="504">
        <f>IFERROR(__xludf.DUMMYFUNCTION("""COMPUTED_VALUE"""),0.0)</f>
        <v>0</v>
      </c>
      <c r="O208" s="62"/>
      <c r="P208" s="62"/>
      <c r="Q208" s="62"/>
      <c r="R208" s="62"/>
      <c r="S208" s="62"/>
      <c r="T208" s="62"/>
      <c r="U208" s="62"/>
      <c r="V208" s="62"/>
      <c r="W208" s="62"/>
      <c r="X208" s="62"/>
      <c r="Y208" s="62"/>
      <c r="Z208" s="62"/>
    </row>
    <row r="209">
      <c r="A209" s="62"/>
      <c r="B209" s="62" t="str">
        <f>IFERROR(__xludf.DUMMYFUNCTION("""COMPUTED_VALUE"""),"鈴木")</f>
        <v>鈴木</v>
      </c>
      <c r="C209" s="62"/>
      <c r="D209" s="62"/>
      <c r="E209" s="62"/>
      <c r="F209" s="62"/>
      <c r="G209" s="504">
        <f>IFERROR(__xludf.DUMMYFUNCTION("""COMPUTED_VALUE"""),0.0)</f>
        <v>0</v>
      </c>
      <c r="H209" s="62"/>
      <c r="I209" s="62">
        <f>IFERROR(__xludf.DUMMYFUNCTION("""COMPUTED_VALUE"""),1.0)</f>
        <v>1</v>
      </c>
      <c r="J209" s="552">
        <f>IFERROR(__xludf.DUMMYFUNCTION("""COMPUTED_VALUE"""),100000.0)</f>
        <v>100000</v>
      </c>
      <c r="K209" s="62"/>
      <c r="L209" s="504">
        <f>IFERROR(__xludf.DUMMYFUNCTION("""COMPUTED_VALUE"""),0.0)</f>
        <v>0</v>
      </c>
      <c r="M209" s="504">
        <f>IFERROR(__xludf.DUMMYFUNCTION("""COMPUTED_VALUE"""),0.0)</f>
        <v>0</v>
      </c>
      <c r="N209" s="504">
        <f>IFERROR(__xludf.DUMMYFUNCTION("""COMPUTED_VALUE"""),0.0)</f>
        <v>0</v>
      </c>
      <c r="O209" s="62"/>
      <c r="P209" s="62"/>
      <c r="Q209" s="62"/>
      <c r="R209" s="62"/>
      <c r="S209" s="62"/>
      <c r="T209" s="62"/>
      <c r="U209" s="62"/>
      <c r="V209" s="62"/>
      <c r="W209" s="62"/>
      <c r="X209" s="62"/>
      <c r="Y209" s="62"/>
      <c r="Z209" s="62"/>
    </row>
    <row r="210">
      <c r="A210" s="62"/>
      <c r="B210" s="62" t="str">
        <f>IFERROR(__xludf.DUMMYFUNCTION("""COMPUTED_VALUE"""),"仲間")</f>
        <v>仲間</v>
      </c>
      <c r="C210" s="62">
        <f>IFERROR(__xludf.DUMMYFUNCTION("""COMPUTED_VALUE"""),130.0)</f>
        <v>130</v>
      </c>
      <c r="D210" s="62">
        <f>IFERROR(__xludf.DUMMYFUNCTION("""COMPUTED_VALUE"""),20.0)</f>
        <v>20</v>
      </c>
      <c r="E210" s="62"/>
      <c r="F210" s="62">
        <f>IFERROR(__xludf.DUMMYFUNCTION("""COMPUTED_VALUE"""),20.0)</f>
        <v>20</v>
      </c>
      <c r="G210" s="504">
        <f>IFERROR(__xludf.DUMMYFUNCTION("""COMPUTED_VALUE"""),0.15384615384615385)</f>
        <v>0.1538461538</v>
      </c>
      <c r="H210" s="62"/>
      <c r="I210" s="62">
        <f>IFERROR(__xludf.DUMMYFUNCTION("""COMPUTED_VALUE"""),1.0)</f>
        <v>1</v>
      </c>
      <c r="J210" s="552">
        <f>IFERROR(__xludf.DUMMYFUNCTION("""COMPUTED_VALUE"""),30000.0)</f>
        <v>30000</v>
      </c>
      <c r="K210" s="62"/>
      <c r="L210" s="504">
        <f>IFERROR(__xludf.DUMMYFUNCTION("""COMPUTED_VALUE"""),0.0)</f>
        <v>0</v>
      </c>
      <c r="M210" s="504">
        <f>IFERROR(__xludf.DUMMYFUNCTION("""COMPUTED_VALUE"""),0.007692307692307693)</f>
        <v>0.007692307692</v>
      </c>
      <c r="N210" s="504">
        <f>IFERROR(__xludf.DUMMYFUNCTION("""COMPUTED_VALUE"""),0.0)</f>
        <v>0</v>
      </c>
      <c r="O210" s="62"/>
      <c r="P210" s="62"/>
      <c r="Q210" s="62"/>
      <c r="R210" s="62"/>
      <c r="S210" s="62"/>
      <c r="T210" s="62"/>
      <c r="U210" s="62"/>
      <c r="V210" s="62"/>
      <c r="W210" s="62"/>
      <c r="X210" s="62"/>
      <c r="Y210" s="62"/>
      <c r="Z210" s="62"/>
    </row>
    <row r="211">
      <c r="A211" s="62"/>
      <c r="B211" s="62"/>
      <c r="C211" s="62"/>
      <c r="D211" s="62"/>
      <c r="E211" s="62"/>
      <c r="F211" s="62"/>
      <c r="G211" s="504">
        <f>IFERROR(__xludf.DUMMYFUNCTION("""COMPUTED_VALUE"""),0.0)</f>
        <v>0</v>
      </c>
      <c r="H211" s="62"/>
      <c r="I211" s="62"/>
      <c r="J211" s="62"/>
      <c r="K211" s="62"/>
      <c r="L211" s="504">
        <f>IFERROR(__xludf.DUMMYFUNCTION("""COMPUTED_VALUE"""),0.0)</f>
        <v>0</v>
      </c>
      <c r="M211" s="504">
        <f>IFERROR(__xludf.DUMMYFUNCTION("""COMPUTED_VALUE"""),0.0)</f>
        <v>0</v>
      </c>
      <c r="N211" s="504">
        <f>IFERROR(__xludf.DUMMYFUNCTION("""COMPUTED_VALUE"""),0.0)</f>
        <v>0</v>
      </c>
      <c r="O211" s="62"/>
      <c r="P211" s="62"/>
      <c r="Q211" s="62"/>
      <c r="R211" s="62"/>
      <c r="S211" s="62"/>
      <c r="T211" s="62"/>
      <c r="U211" s="62"/>
      <c r="V211" s="62"/>
      <c r="W211" s="62"/>
      <c r="X211" s="62"/>
      <c r="Y211" s="62"/>
      <c r="Z211" s="62"/>
    </row>
    <row r="212">
      <c r="A212" s="62"/>
      <c r="B212" s="62" t="str">
        <f>IFERROR(__xludf.DUMMYFUNCTION("""COMPUTED_VALUE"""),"合計")</f>
        <v>合計</v>
      </c>
      <c r="C212" s="62">
        <f>IFERROR(__xludf.DUMMYFUNCTION("""COMPUTED_VALUE"""),420.0)</f>
        <v>420</v>
      </c>
      <c r="D212" s="62">
        <f>IFERROR(__xludf.DUMMYFUNCTION("""COMPUTED_VALUE"""),68.0)</f>
        <v>68</v>
      </c>
      <c r="E212" s="62">
        <f>IFERROR(__xludf.DUMMYFUNCTION("""COMPUTED_VALUE"""),3.0)</f>
        <v>3</v>
      </c>
      <c r="F212" s="62">
        <f>IFERROR(__xludf.DUMMYFUNCTION("""COMPUTED_VALUE"""),61.0)</f>
        <v>61</v>
      </c>
      <c r="G212" s="504">
        <f>IFERROR(__xludf.DUMMYFUNCTION("""COMPUTED_VALUE"""),0.1619047619047619)</f>
        <v>0.1619047619</v>
      </c>
      <c r="H212" s="62">
        <f>IFERROR(__xludf.DUMMYFUNCTION("""COMPUTED_VALUE"""),4.0)</f>
        <v>4</v>
      </c>
      <c r="I212" s="62">
        <f>IFERROR(__xludf.DUMMYFUNCTION("""COMPUTED_VALUE"""),6.0)</f>
        <v>6</v>
      </c>
      <c r="J212" s="552">
        <f>IFERROR(__xludf.DUMMYFUNCTION("""COMPUTED_VALUE"""),330000.0)</f>
        <v>330000</v>
      </c>
      <c r="K212" s="62">
        <f>IFERROR(__xludf.DUMMYFUNCTION("""COMPUTED_VALUE"""),8.0)</f>
        <v>8</v>
      </c>
      <c r="L212" s="504">
        <f>IFERROR(__xludf.DUMMYFUNCTION("""COMPUTED_VALUE"""),0.009523809523809525)</f>
        <v>0.009523809524</v>
      </c>
      <c r="M212" s="504">
        <f>IFERROR(__xludf.DUMMYFUNCTION("""COMPUTED_VALUE"""),0.014285714285714285)</f>
        <v>0.01428571429</v>
      </c>
      <c r="N212" s="504">
        <f>IFERROR(__xludf.DUMMYFUNCTION("""COMPUTED_VALUE"""),1.5)</f>
        <v>1.5</v>
      </c>
      <c r="O212" s="62"/>
      <c r="P212" s="62"/>
      <c r="Q212" s="62"/>
      <c r="R212" s="62"/>
      <c r="S212" s="62"/>
      <c r="T212" s="62"/>
      <c r="U212" s="62"/>
      <c r="V212" s="62"/>
      <c r="W212" s="62"/>
      <c r="X212" s="62"/>
      <c r="Y212" s="62"/>
      <c r="Z212" s="62"/>
    </row>
    <row r="213">
      <c r="A213" s="62" t="str">
        <f>IFERROR(__xludf.DUMMYFUNCTION("""COMPUTED_VALUE"""),"日付")</f>
        <v>日付</v>
      </c>
      <c r="B213" s="62" t="str">
        <f>IFERROR(__xludf.DUMMYFUNCTION("""COMPUTED_VALUE"""),"名前")</f>
        <v>名前</v>
      </c>
      <c r="C213" s="62" t="str">
        <f>IFERROR(__xludf.DUMMYFUNCTION("""COMPUTED_VALUE"""),"打電件数")</f>
        <v>打電件数</v>
      </c>
      <c r="D213" s="62" t="str">
        <f>IFERROR(__xludf.DUMMYFUNCTION("""COMPUTED_VALUE"""),"着電件数")</f>
        <v>着電件数</v>
      </c>
      <c r="E213" s="62" t="str">
        <f>IFERROR(__xludf.DUMMYFUNCTION("""COMPUTED_VALUE"""),"折り返し件数")</f>
        <v>折り返し件数</v>
      </c>
      <c r="F213" s="62" t="str">
        <f>IFERROR(__xludf.DUMMYFUNCTION("""COMPUTED_VALUE"""),"拒否")</f>
        <v>拒否</v>
      </c>
      <c r="G213" s="62" t="str">
        <f>IFERROR(__xludf.DUMMYFUNCTION("""COMPUTED_VALUE"""),"着電率")</f>
        <v>着電率</v>
      </c>
      <c r="H213" s="62" t="str">
        <f>IFERROR(__xludf.DUMMYFUNCTION("""COMPUTED_VALUE"""),"LINE登録")</f>
        <v>LINE登録</v>
      </c>
      <c r="I213" s="62" t="str">
        <f>IFERROR(__xludf.DUMMYFUNCTION("""COMPUTED_VALUE"""),"アカウント作成")</f>
        <v>アカウント作成</v>
      </c>
      <c r="J213" s="552" t="str">
        <f>IFERROR(__xludf.DUMMYFUNCTION("""COMPUTED_VALUE"""),"新規信用枠額")</f>
        <v>新規信用枠額</v>
      </c>
      <c r="K213" s="62" t="str">
        <f>IFERROR(__xludf.DUMMYFUNCTION("""COMPUTED_VALUE"""),"リスト死回線数")</f>
        <v>リスト死回線数</v>
      </c>
      <c r="L213" s="62" t="str">
        <f>IFERROR(__xludf.DUMMYFUNCTION("""COMPUTED_VALUE"""),"LINE率(打電から)")</f>
        <v>LINE率(打電から)</v>
      </c>
      <c r="M213" s="62" t="str">
        <f>IFERROR(__xludf.DUMMYFUNCTION("""COMPUTED_VALUE"""),"アカウント作成率(打電から)")</f>
        <v>アカウント作成率(打電から)</v>
      </c>
      <c r="N213" s="62" t="str">
        <f>IFERROR(__xludf.DUMMYFUNCTION("""COMPUTED_VALUE"""),"アカウント作成率(LINEから)")</f>
        <v>アカウント作成率(LINEから)</v>
      </c>
      <c r="O213" s="62" t="str">
        <f>IFERROR(__xludf.DUMMYFUNCTION("""COMPUTED_VALUE"""),"リスト名")</f>
        <v>リスト名</v>
      </c>
      <c r="P213" s="553" t="str">
        <f>IFERROR(__xludf.DUMMYFUNCTION("""COMPUTED_VALUE"""),"日本基準")</f>
        <v>日本基準</v>
      </c>
      <c r="Q213" s="62"/>
      <c r="R213" s="62"/>
      <c r="S213" s="62"/>
      <c r="T213" s="62"/>
      <c r="U213" s="62"/>
      <c r="V213" s="62"/>
      <c r="W213" s="62"/>
      <c r="X213" s="62"/>
      <c r="Y213" s="62"/>
      <c r="Z213" s="62"/>
    </row>
    <row r="214">
      <c r="A214" s="556">
        <f>IFERROR(__xludf.DUMMYFUNCTION("""COMPUTED_VALUE"""),45911.0)</f>
        <v>45911</v>
      </c>
      <c r="B214" s="62" t="str">
        <f>IFERROR(__xludf.DUMMYFUNCTION("""COMPUTED_VALUE"""),"あり")</f>
        <v>あり</v>
      </c>
      <c r="C214" s="62"/>
      <c r="D214" s="62"/>
      <c r="E214" s="62"/>
      <c r="F214" s="62"/>
      <c r="G214" s="504">
        <f>IFERROR(__xludf.DUMMYFUNCTION("""COMPUTED_VALUE"""),0.0)</f>
        <v>0</v>
      </c>
      <c r="H214" s="62">
        <f>IFERROR(__xludf.DUMMYFUNCTION("""COMPUTED_VALUE"""),3.0)</f>
        <v>3</v>
      </c>
      <c r="I214" s="62">
        <f>IFERROR(__xludf.DUMMYFUNCTION("""COMPUTED_VALUE"""),3.0)</f>
        <v>3</v>
      </c>
      <c r="J214" s="552">
        <f>IFERROR(__xludf.DUMMYFUNCTION("""COMPUTED_VALUE"""),210000.0)</f>
        <v>210000</v>
      </c>
      <c r="K214" s="62"/>
      <c r="L214" s="504">
        <f>IFERROR(__xludf.DUMMYFUNCTION("""COMPUTED_VALUE"""),0.0)</f>
        <v>0</v>
      </c>
      <c r="M214" s="504">
        <f>IFERROR(__xludf.DUMMYFUNCTION("""COMPUTED_VALUE"""),0.0)</f>
        <v>0</v>
      </c>
      <c r="N214" s="504">
        <f>IFERROR(__xludf.DUMMYFUNCTION("""COMPUTED_VALUE"""),1.0)</f>
        <v>1</v>
      </c>
      <c r="O214" s="62" t="str">
        <f>IFERROR(__xludf.DUMMYFUNCTION("""COMPUTED_VALUE"""),"リストS")</f>
        <v>リストS</v>
      </c>
      <c r="P214" s="553" t="str">
        <f>IFERROR(__xludf.DUMMYFUNCTION("""COMPUTED_VALUE"""),"平日")</f>
        <v>平日</v>
      </c>
      <c r="Q214" s="62"/>
      <c r="R214" s="62"/>
      <c r="S214" s="62"/>
      <c r="T214" s="62"/>
      <c r="U214" s="62"/>
      <c r="V214" s="62"/>
      <c r="W214" s="62"/>
      <c r="X214" s="62"/>
      <c r="Y214" s="62"/>
      <c r="Z214" s="62"/>
    </row>
    <row r="215">
      <c r="A215" s="62"/>
      <c r="B215" s="62" t="str">
        <f>IFERROR(__xludf.DUMMYFUNCTION("""COMPUTED_VALUE"""),"しょうま")</f>
        <v>しょうま</v>
      </c>
      <c r="C215" s="62">
        <f>IFERROR(__xludf.DUMMYFUNCTION("""COMPUTED_VALUE"""),94.0)</f>
        <v>94</v>
      </c>
      <c r="D215" s="62">
        <f>IFERROR(__xludf.DUMMYFUNCTION("""COMPUTED_VALUE"""),13.0)</f>
        <v>13</v>
      </c>
      <c r="E215" s="62">
        <f>IFERROR(__xludf.DUMMYFUNCTION("""COMPUTED_VALUE"""),1.0)</f>
        <v>1</v>
      </c>
      <c r="F215" s="62">
        <f>IFERROR(__xludf.DUMMYFUNCTION("""COMPUTED_VALUE"""),11.0)</f>
        <v>11</v>
      </c>
      <c r="G215" s="504">
        <f>IFERROR(__xludf.DUMMYFUNCTION("""COMPUTED_VALUE"""),0.13829787234042554)</f>
        <v>0.1382978723</v>
      </c>
      <c r="H215" s="62"/>
      <c r="I215" s="62">
        <f>IFERROR(__xludf.DUMMYFUNCTION("""COMPUTED_VALUE"""),4.0)</f>
        <v>4</v>
      </c>
      <c r="J215" s="552">
        <f>IFERROR(__xludf.DUMMYFUNCTION("""COMPUTED_VALUE"""),330000.0)</f>
        <v>330000</v>
      </c>
      <c r="K215" s="62"/>
      <c r="L215" s="504">
        <f>IFERROR(__xludf.DUMMYFUNCTION("""COMPUTED_VALUE"""),0.0)</f>
        <v>0</v>
      </c>
      <c r="M215" s="504">
        <f>IFERROR(__xludf.DUMMYFUNCTION("""COMPUTED_VALUE"""),0.0425531914893617)</f>
        <v>0.04255319149</v>
      </c>
      <c r="N215" s="504">
        <f>IFERROR(__xludf.DUMMYFUNCTION("""COMPUTED_VALUE"""),0.0)</f>
        <v>0</v>
      </c>
      <c r="O215" s="62" t="str">
        <f>IFERROR(__xludf.DUMMYFUNCTION("""COMPUTED_VALUE"""),"リストE")</f>
        <v>リストE</v>
      </c>
      <c r="P215" s="553" t="str">
        <f>IFERROR(__xludf.DUMMYFUNCTION("""COMPUTED_VALUE"""),"平日")</f>
        <v>平日</v>
      </c>
      <c r="Q215" s="62"/>
      <c r="R215" s="62"/>
      <c r="S215" s="62"/>
      <c r="T215" s="62"/>
      <c r="U215" s="62"/>
      <c r="V215" s="62"/>
      <c r="W215" s="62"/>
      <c r="X215" s="62"/>
      <c r="Y215" s="62"/>
      <c r="Z215" s="62"/>
    </row>
    <row r="216">
      <c r="A216" s="62"/>
      <c r="B216" s="62"/>
      <c r="C216" s="62"/>
      <c r="D216" s="62"/>
      <c r="E216" s="62"/>
      <c r="F216" s="62"/>
      <c r="G216" s="504">
        <f>IFERROR(__xludf.DUMMYFUNCTION("""COMPUTED_VALUE"""),0.0)</f>
        <v>0</v>
      </c>
      <c r="H216" s="62"/>
      <c r="I216" s="62"/>
      <c r="J216" s="62"/>
      <c r="K216" s="62"/>
      <c r="L216" s="504">
        <f>IFERROR(__xludf.DUMMYFUNCTION("""COMPUTED_VALUE"""),0.0)</f>
        <v>0</v>
      </c>
      <c r="M216" s="504">
        <f>IFERROR(__xludf.DUMMYFUNCTION("""COMPUTED_VALUE"""),0.0)</f>
        <v>0</v>
      </c>
      <c r="N216" s="504">
        <f>IFERROR(__xludf.DUMMYFUNCTION("""COMPUTED_VALUE"""),0.0)</f>
        <v>0</v>
      </c>
      <c r="O216" s="62"/>
      <c r="P216" s="62"/>
      <c r="Q216" s="62"/>
      <c r="R216" s="62"/>
      <c r="S216" s="62"/>
      <c r="T216" s="62"/>
      <c r="U216" s="62"/>
      <c r="V216" s="62"/>
      <c r="W216" s="62"/>
      <c r="X216" s="62"/>
      <c r="Y216" s="62"/>
      <c r="Z216" s="62"/>
    </row>
    <row r="217">
      <c r="A217" s="62"/>
      <c r="B217" s="62" t="str">
        <f>IFERROR(__xludf.DUMMYFUNCTION("""COMPUTED_VALUE"""),"ジョーナ")</f>
        <v>ジョーナ</v>
      </c>
      <c r="C217" s="62"/>
      <c r="D217" s="62"/>
      <c r="E217" s="62"/>
      <c r="F217" s="62"/>
      <c r="G217" s="504">
        <f>IFERROR(__xludf.DUMMYFUNCTION("""COMPUTED_VALUE"""),0.0)</f>
        <v>0</v>
      </c>
      <c r="H217" s="62"/>
      <c r="I217" s="62"/>
      <c r="J217" s="62"/>
      <c r="K217" s="62"/>
      <c r="L217" s="504">
        <f>IFERROR(__xludf.DUMMYFUNCTION("""COMPUTED_VALUE"""),0.0)</f>
        <v>0</v>
      </c>
      <c r="M217" s="504">
        <f>IFERROR(__xludf.DUMMYFUNCTION("""COMPUTED_VALUE"""),0.0)</f>
        <v>0</v>
      </c>
      <c r="N217" s="504">
        <f>IFERROR(__xludf.DUMMYFUNCTION("""COMPUTED_VALUE"""),0.0)</f>
        <v>0</v>
      </c>
      <c r="O217" s="62"/>
      <c r="P217" s="62"/>
      <c r="Q217" s="62"/>
      <c r="R217" s="62"/>
      <c r="S217" s="62"/>
      <c r="T217" s="62"/>
      <c r="U217" s="62"/>
      <c r="V217" s="62"/>
      <c r="W217" s="62"/>
      <c r="X217" s="62"/>
      <c r="Y217" s="62"/>
      <c r="Z217" s="62"/>
    </row>
    <row r="218">
      <c r="A218" s="62"/>
      <c r="B218" s="62" t="str">
        <f>IFERROR(__xludf.DUMMYFUNCTION("""COMPUTED_VALUE"""),"武田")</f>
        <v>武田</v>
      </c>
      <c r="C218" s="62"/>
      <c r="D218" s="62"/>
      <c r="E218" s="62"/>
      <c r="F218" s="62"/>
      <c r="G218" s="504">
        <f>IFERROR(__xludf.DUMMYFUNCTION("""COMPUTED_VALUE"""),0.0)</f>
        <v>0</v>
      </c>
      <c r="H218" s="62"/>
      <c r="I218" s="62"/>
      <c r="J218" s="62"/>
      <c r="K218" s="62"/>
      <c r="L218" s="504">
        <f>IFERROR(__xludf.DUMMYFUNCTION("""COMPUTED_VALUE"""),0.0)</f>
        <v>0</v>
      </c>
      <c r="M218" s="504">
        <f>IFERROR(__xludf.DUMMYFUNCTION("""COMPUTED_VALUE"""),0.0)</f>
        <v>0</v>
      </c>
      <c r="N218" s="504">
        <f>IFERROR(__xludf.DUMMYFUNCTION("""COMPUTED_VALUE"""),0.0)</f>
        <v>0</v>
      </c>
      <c r="O218" s="62"/>
      <c r="P218" s="62"/>
      <c r="Q218" s="62"/>
      <c r="R218" s="62"/>
      <c r="S218" s="62"/>
      <c r="T218" s="62"/>
      <c r="U218" s="62"/>
      <c r="V218" s="62"/>
      <c r="W218" s="62"/>
      <c r="X218" s="62"/>
      <c r="Y218" s="62"/>
      <c r="Z218" s="62"/>
    </row>
    <row r="219">
      <c r="A219" s="62"/>
      <c r="B219" s="62" t="str">
        <f>IFERROR(__xludf.DUMMYFUNCTION("""COMPUTED_VALUE"""),"高木")</f>
        <v>高木</v>
      </c>
      <c r="C219" s="62"/>
      <c r="D219" s="62"/>
      <c r="E219" s="62"/>
      <c r="F219" s="62"/>
      <c r="G219" s="504">
        <f>IFERROR(__xludf.DUMMYFUNCTION("""COMPUTED_VALUE"""),0.0)</f>
        <v>0</v>
      </c>
      <c r="H219" s="62"/>
      <c r="I219" s="62">
        <f>IFERROR(__xludf.DUMMYFUNCTION("""COMPUTED_VALUE"""),2.0)</f>
        <v>2</v>
      </c>
      <c r="J219" s="552">
        <f>IFERROR(__xludf.DUMMYFUNCTION("""COMPUTED_VALUE"""),100000.0)</f>
        <v>100000</v>
      </c>
      <c r="K219" s="62"/>
      <c r="L219" s="504">
        <f>IFERROR(__xludf.DUMMYFUNCTION("""COMPUTED_VALUE"""),0.0)</f>
        <v>0</v>
      </c>
      <c r="M219" s="504">
        <f>IFERROR(__xludf.DUMMYFUNCTION("""COMPUTED_VALUE"""),0.0)</f>
        <v>0</v>
      </c>
      <c r="N219" s="504">
        <f>IFERROR(__xludf.DUMMYFUNCTION("""COMPUTED_VALUE"""),0.0)</f>
        <v>0</v>
      </c>
      <c r="O219" s="62"/>
      <c r="P219" s="62"/>
      <c r="Q219" s="62"/>
      <c r="R219" s="62"/>
      <c r="S219" s="62"/>
      <c r="T219" s="62"/>
      <c r="U219" s="62"/>
      <c r="V219" s="62"/>
      <c r="W219" s="62"/>
      <c r="X219" s="62"/>
      <c r="Y219" s="62"/>
      <c r="Z219" s="62"/>
    </row>
    <row r="220">
      <c r="A220" s="62"/>
      <c r="B220" s="62"/>
      <c r="C220" s="62"/>
      <c r="D220" s="62"/>
      <c r="E220" s="62"/>
      <c r="F220" s="62"/>
      <c r="G220" s="504">
        <f>IFERROR(__xludf.DUMMYFUNCTION("""COMPUTED_VALUE"""),0.0)</f>
        <v>0</v>
      </c>
      <c r="H220" s="62"/>
      <c r="I220" s="62"/>
      <c r="J220" s="62"/>
      <c r="K220" s="62"/>
      <c r="L220" s="504">
        <f>IFERROR(__xludf.DUMMYFUNCTION("""COMPUTED_VALUE"""),0.0)</f>
        <v>0</v>
      </c>
      <c r="M220" s="504">
        <f>IFERROR(__xludf.DUMMYFUNCTION("""COMPUTED_VALUE"""),0.0)</f>
        <v>0</v>
      </c>
      <c r="N220" s="504">
        <f>IFERROR(__xludf.DUMMYFUNCTION("""COMPUTED_VALUE"""),0.0)</f>
        <v>0</v>
      </c>
      <c r="O220" s="62"/>
      <c r="P220" s="62"/>
      <c r="Q220" s="62"/>
      <c r="R220" s="62"/>
      <c r="S220" s="62"/>
      <c r="T220" s="62"/>
      <c r="U220" s="62"/>
      <c r="V220" s="62"/>
      <c r="W220" s="62"/>
      <c r="X220" s="62"/>
      <c r="Y220" s="62"/>
      <c r="Z220" s="62"/>
    </row>
    <row r="221">
      <c r="A221" s="62"/>
      <c r="B221" s="62" t="str">
        <f>IFERROR(__xludf.DUMMYFUNCTION("""COMPUTED_VALUE"""),"大谷")</f>
        <v>大谷</v>
      </c>
      <c r="C221" s="62"/>
      <c r="D221" s="62"/>
      <c r="E221" s="62"/>
      <c r="F221" s="62"/>
      <c r="G221" s="504">
        <f>IFERROR(__xludf.DUMMYFUNCTION("""COMPUTED_VALUE"""),0.0)</f>
        <v>0</v>
      </c>
      <c r="H221" s="62"/>
      <c r="I221" s="62"/>
      <c r="J221" s="62"/>
      <c r="K221" s="62"/>
      <c r="L221" s="504">
        <f>IFERROR(__xludf.DUMMYFUNCTION("""COMPUTED_VALUE"""),0.0)</f>
        <v>0</v>
      </c>
      <c r="M221" s="504">
        <f>IFERROR(__xludf.DUMMYFUNCTION("""COMPUTED_VALUE"""),0.0)</f>
        <v>0</v>
      </c>
      <c r="N221" s="504">
        <f>IFERROR(__xludf.DUMMYFUNCTION("""COMPUTED_VALUE"""),0.0)</f>
        <v>0</v>
      </c>
      <c r="O221" s="62"/>
      <c r="P221" s="62"/>
      <c r="Q221" s="62"/>
      <c r="R221" s="62"/>
      <c r="S221" s="62"/>
      <c r="T221" s="62"/>
      <c r="U221" s="62"/>
      <c r="V221" s="62"/>
      <c r="W221" s="62"/>
      <c r="X221" s="62"/>
      <c r="Y221" s="62"/>
      <c r="Z221" s="62"/>
    </row>
    <row r="222">
      <c r="A222" s="62"/>
      <c r="B222" s="62"/>
      <c r="C222" s="62"/>
      <c r="D222" s="62"/>
      <c r="E222" s="62"/>
      <c r="F222" s="62"/>
      <c r="G222" s="504">
        <f>IFERROR(__xludf.DUMMYFUNCTION("""COMPUTED_VALUE"""),0.0)</f>
        <v>0</v>
      </c>
      <c r="H222" s="62"/>
      <c r="I222" s="62"/>
      <c r="J222" s="62"/>
      <c r="K222" s="62"/>
      <c r="L222" s="504">
        <f>IFERROR(__xludf.DUMMYFUNCTION("""COMPUTED_VALUE"""),0.0)</f>
        <v>0</v>
      </c>
      <c r="M222" s="504">
        <f>IFERROR(__xludf.DUMMYFUNCTION("""COMPUTED_VALUE"""),0.0)</f>
        <v>0</v>
      </c>
      <c r="N222" s="504">
        <f>IFERROR(__xludf.DUMMYFUNCTION("""COMPUTED_VALUE"""),0.0)</f>
        <v>0</v>
      </c>
      <c r="O222" s="62"/>
      <c r="P222" s="62"/>
      <c r="Q222" s="62"/>
      <c r="R222" s="62"/>
      <c r="S222" s="62"/>
      <c r="T222" s="62"/>
      <c r="U222" s="62"/>
      <c r="V222" s="62"/>
      <c r="W222" s="62"/>
      <c r="X222" s="62"/>
      <c r="Y222" s="62"/>
      <c r="Z222" s="62"/>
    </row>
    <row r="223">
      <c r="A223" s="62"/>
      <c r="B223" s="62" t="str">
        <f>IFERROR(__xludf.DUMMYFUNCTION("""COMPUTED_VALUE"""),"森")</f>
        <v>森</v>
      </c>
      <c r="C223" s="62"/>
      <c r="D223" s="62"/>
      <c r="E223" s="62"/>
      <c r="F223" s="62"/>
      <c r="G223" s="504">
        <f>IFERROR(__xludf.DUMMYFUNCTION("""COMPUTED_VALUE"""),0.0)</f>
        <v>0</v>
      </c>
      <c r="H223" s="62"/>
      <c r="I223" s="62"/>
      <c r="J223" s="62"/>
      <c r="K223" s="62"/>
      <c r="L223" s="504">
        <f>IFERROR(__xludf.DUMMYFUNCTION("""COMPUTED_VALUE"""),0.0)</f>
        <v>0</v>
      </c>
      <c r="M223" s="504">
        <f>IFERROR(__xludf.DUMMYFUNCTION("""COMPUTED_VALUE"""),0.0)</f>
        <v>0</v>
      </c>
      <c r="N223" s="504">
        <f>IFERROR(__xludf.DUMMYFUNCTION("""COMPUTED_VALUE"""),0.0)</f>
        <v>0</v>
      </c>
      <c r="O223" s="62"/>
      <c r="P223" s="62"/>
      <c r="Q223" s="62"/>
      <c r="R223" s="62"/>
      <c r="S223" s="62"/>
      <c r="T223" s="62"/>
      <c r="U223" s="62"/>
      <c r="V223" s="62"/>
      <c r="W223" s="62"/>
      <c r="X223" s="62"/>
      <c r="Y223" s="62"/>
      <c r="Z223" s="62"/>
    </row>
    <row r="224">
      <c r="A224" s="62"/>
      <c r="B224" s="62" t="str">
        <f>IFERROR(__xludf.DUMMYFUNCTION("""COMPUTED_VALUE"""),"山本")</f>
        <v>山本</v>
      </c>
      <c r="C224" s="62"/>
      <c r="D224" s="62"/>
      <c r="E224" s="62"/>
      <c r="F224" s="62"/>
      <c r="G224" s="504">
        <f>IFERROR(__xludf.DUMMYFUNCTION("""COMPUTED_VALUE"""),0.0)</f>
        <v>0</v>
      </c>
      <c r="H224" s="62"/>
      <c r="I224" s="62"/>
      <c r="J224" s="62"/>
      <c r="K224" s="62"/>
      <c r="L224" s="504">
        <f>IFERROR(__xludf.DUMMYFUNCTION("""COMPUTED_VALUE"""),0.0)</f>
        <v>0</v>
      </c>
      <c r="M224" s="504">
        <f>IFERROR(__xludf.DUMMYFUNCTION("""COMPUTED_VALUE"""),0.0)</f>
        <v>0</v>
      </c>
      <c r="N224" s="504">
        <f>IFERROR(__xludf.DUMMYFUNCTION("""COMPUTED_VALUE"""),0.0)</f>
        <v>0</v>
      </c>
      <c r="O224" s="62"/>
      <c r="P224" s="62"/>
      <c r="Q224" s="62"/>
      <c r="R224" s="62"/>
      <c r="S224" s="62"/>
      <c r="T224" s="62"/>
      <c r="U224" s="62"/>
      <c r="V224" s="62"/>
      <c r="W224" s="62"/>
      <c r="X224" s="62"/>
      <c r="Y224" s="62"/>
      <c r="Z224" s="62"/>
    </row>
    <row r="225">
      <c r="A225" s="62"/>
      <c r="B225" s="62" t="str">
        <f>IFERROR(__xludf.DUMMYFUNCTION("""COMPUTED_VALUE"""),"金子")</f>
        <v>金子</v>
      </c>
      <c r="C225" s="62"/>
      <c r="D225" s="62"/>
      <c r="E225" s="62"/>
      <c r="F225" s="62"/>
      <c r="G225" s="504">
        <f>IFERROR(__xludf.DUMMYFUNCTION("""COMPUTED_VALUE"""),0.0)</f>
        <v>0</v>
      </c>
      <c r="H225" s="62"/>
      <c r="I225" s="62"/>
      <c r="J225" s="62"/>
      <c r="K225" s="62"/>
      <c r="L225" s="504">
        <f>IFERROR(__xludf.DUMMYFUNCTION("""COMPUTED_VALUE"""),0.0)</f>
        <v>0</v>
      </c>
      <c r="M225" s="504">
        <f>IFERROR(__xludf.DUMMYFUNCTION("""COMPUTED_VALUE"""),0.0)</f>
        <v>0</v>
      </c>
      <c r="N225" s="504">
        <f>IFERROR(__xludf.DUMMYFUNCTION("""COMPUTED_VALUE"""),0.0)</f>
        <v>0</v>
      </c>
      <c r="O225" s="62"/>
      <c r="P225" s="62"/>
      <c r="Q225" s="62"/>
      <c r="R225" s="62"/>
      <c r="S225" s="62"/>
      <c r="T225" s="62"/>
      <c r="U225" s="62"/>
      <c r="V225" s="62"/>
      <c r="W225" s="62"/>
      <c r="X225" s="62"/>
      <c r="Y225" s="62"/>
      <c r="Z225" s="62"/>
    </row>
    <row r="226">
      <c r="A226" s="62"/>
      <c r="B226" s="62"/>
      <c r="C226" s="62"/>
      <c r="D226" s="62"/>
      <c r="E226" s="62"/>
      <c r="F226" s="62"/>
      <c r="G226" s="504">
        <f>IFERROR(__xludf.DUMMYFUNCTION("""COMPUTED_VALUE"""),0.0)</f>
        <v>0</v>
      </c>
      <c r="H226" s="62"/>
      <c r="I226" s="62"/>
      <c r="J226" s="62"/>
      <c r="K226" s="62"/>
      <c r="L226" s="504">
        <f>IFERROR(__xludf.DUMMYFUNCTION("""COMPUTED_VALUE"""),0.0)</f>
        <v>0</v>
      </c>
      <c r="M226" s="504">
        <f>IFERROR(__xludf.DUMMYFUNCTION("""COMPUTED_VALUE"""),0.0)</f>
        <v>0</v>
      </c>
      <c r="N226" s="504">
        <f>IFERROR(__xludf.DUMMYFUNCTION("""COMPUTED_VALUE"""),0.0)</f>
        <v>0</v>
      </c>
      <c r="O226" s="62"/>
      <c r="P226" s="62"/>
      <c r="Q226" s="62"/>
      <c r="R226" s="62"/>
      <c r="S226" s="62"/>
      <c r="T226" s="62"/>
      <c r="U226" s="62"/>
      <c r="V226" s="62"/>
      <c r="W226" s="62"/>
      <c r="X226" s="62"/>
      <c r="Y226" s="62"/>
      <c r="Z226" s="62"/>
    </row>
    <row r="227">
      <c r="A227" s="62"/>
      <c r="B227" s="552" t="str">
        <f>IFERROR(__xludf.DUMMYFUNCTION("""COMPUTED_VALUE"""),"SMS")</f>
        <v>SMS</v>
      </c>
      <c r="C227" s="62"/>
      <c r="D227" s="62"/>
      <c r="E227" s="62"/>
      <c r="F227" s="62"/>
      <c r="G227" s="504">
        <f>IFERROR(__xludf.DUMMYFUNCTION("""COMPUTED_VALUE"""),0.0)</f>
        <v>0</v>
      </c>
      <c r="H227" s="62"/>
      <c r="I227" s="62">
        <f>IFERROR(__xludf.DUMMYFUNCTION("""COMPUTED_VALUE"""),1.0)</f>
        <v>1</v>
      </c>
      <c r="J227" s="552">
        <f>IFERROR(__xludf.DUMMYFUNCTION("""COMPUTED_VALUE"""),30000.0)</f>
        <v>30000</v>
      </c>
      <c r="K227" s="62"/>
      <c r="L227" s="504">
        <f>IFERROR(__xludf.DUMMYFUNCTION("""COMPUTED_VALUE"""),0.0)</f>
        <v>0</v>
      </c>
      <c r="M227" s="504">
        <f>IFERROR(__xludf.DUMMYFUNCTION("""COMPUTED_VALUE"""),0.0)</f>
        <v>0</v>
      </c>
      <c r="N227" s="504">
        <f>IFERROR(__xludf.DUMMYFUNCTION("""COMPUTED_VALUE"""),0.0)</f>
        <v>0</v>
      </c>
      <c r="O227" s="62"/>
      <c r="P227" s="62"/>
      <c r="Q227" s="62"/>
      <c r="R227" s="62"/>
      <c r="S227" s="62"/>
      <c r="T227" s="62"/>
      <c r="U227" s="62"/>
      <c r="V227" s="62"/>
      <c r="W227" s="62"/>
      <c r="X227" s="62"/>
      <c r="Y227" s="62"/>
      <c r="Z227" s="62"/>
    </row>
    <row r="228">
      <c r="A228" s="62"/>
      <c r="B228" s="62" t="str">
        <f>IFERROR(__xludf.DUMMYFUNCTION("""COMPUTED_VALUE"""),"紹介")</f>
        <v>紹介</v>
      </c>
      <c r="C228" s="62"/>
      <c r="D228" s="62"/>
      <c r="E228" s="62"/>
      <c r="F228" s="62"/>
      <c r="G228" s="504">
        <f>IFERROR(__xludf.DUMMYFUNCTION("""COMPUTED_VALUE"""),0.0)</f>
        <v>0</v>
      </c>
      <c r="H228" s="62"/>
      <c r="I228" s="62"/>
      <c r="J228" s="62"/>
      <c r="K228" s="62"/>
      <c r="L228" s="504">
        <f>IFERROR(__xludf.DUMMYFUNCTION("""COMPUTED_VALUE"""),0.0)</f>
        <v>0</v>
      </c>
      <c r="M228" s="504">
        <f>IFERROR(__xludf.DUMMYFUNCTION("""COMPUTED_VALUE"""),0.0)</f>
        <v>0</v>
      </c>
      <c r="N228" s="504">
        <f>IFERROR(__xludf.DUMMYFUNCTION("""COMPUTED_VALUE"""),0.0)</f>
        <v>0</v>
      </c>
      <c r="O228" s="62"/>
      <c r="P228" s="62"/>
      <c r="Q228" s="62"/>
      <c r="R228" s="62"/>
      <c r="S228" s="62"/>
      <c r="T228" s="62"/>
      <c r="U228" s="62"/>
      <c r="V228" s="62"/>
      <c r="W228" s="62"/>
      <c r="X228" s="62"/>
      <c r="Y228" s="62"/>
      <c r="Z228" s="62"/>
    </row>
    <row r="229">
      <c r="A229" s="62"/>
      <c r="B229" s="62" t="str">
        <f>IFERROR(__xludf.DUMMYFUNCTION("""COMPUTED_VALUE"""),"仁子")</f>
        <v>仁子</v>
      </c>
      <c r="C229" s="62"/>
      <c r="D229" s="62"/>
      <c r="E229" s="62"/>
      <c r="F229" s="62"/>
      <c r="G229" s="504">
        <f>IFERROR(__xludf.DUMMYFUNCTION("""COMPUTED_VALUE"""),0.0)</f>
        <v>0</v>
      </c>
      <c r="H229" s="62"/>
      <c r="I229" s="62">
        <f>IFERROR(__xludf.DUMMYFUNCTION("""COMPUTED_VALUE"""),5.0)</f>
        <v>5</v>
      </c>
      <c r="J229" s="552">
        <f>IFERROR(__xludf.DUMMYFUNCTION("""COMPUTED_VALUE"""),240000.0)</f>
        <v>240000</v>
      </c>
      <c r="K229" s="62"/>
      <c r="L229" s="504">
        <f>IFERROR(__xludf.DUMMYFUNCTION("""COMPUTED_VALUE"""),0.0)</f>
        <v>0</v>
      </c>
      <c r="M229" s="504">
        <f>IFERROR(__xludf.DUMMYFUNCTION("""COMPUTED_VALUE"""),0.0)</f>
        <v>0</v>
      </c>
      <c r="N229" s="504">
        <f>IFERROR(__xludf.DUMMYFUNCTION("""COMPUTED_VALUE"""),0.0)</f>
        <v>0</v>
      </c>
      <c r="O229" s="62"/>
      <c r="P229" s="62"/>
      <c r="Q229" s="62"/>
      <c r="R229" s="62"/>
      <c r="S229" s="62"/>
      <c r="T229" s="62"/>
      <c r="U229" s="62"/>
      <c r="V229" s="62"/>
      <c r="W229" s="62"/>
      <c r="X229" s="62"/>
      <c r="Y229" s="62"/>
      <c r="Z229" s="62"/>
    </row>
    <row r="230">
      <c r="A230" s="62"/>
      <c r="B230" s="62" t="str">
        <f>IFERROR(__xludf.DUMMYFUNCTION("""COMPUTED_VALUE"""),"鈴木")</f>
        <v>鈴木</v>
      </c>
      <c r="C230" s="62"/>
      <c r="D230" s="62"/>
      <c r="E230" s="62"/>
      <c r="F230" s="62"/>
      <c r="G230" s="504">
        <f>IFERROR(__xludf.DUMMYFUNCTION("""COMPUTED_VALUE"""),0.0)</f>
        <v>0</v>
      </c>
      <c r="H230" s="62"/>
      <c r="I230" s="62">
        <f>IFERROR(__xludf.DUMMYFUNCTION("""COMPUTED_VALUE"""),3.0)</f>
        <v>3</v>
      </c>
      <c r="J230" s="552">
        <f>IFERROR(__xludf.DUMMYFUNCTION("""COMPUTED_VALUE"""),530000.0)</f>
        <v>530000</v>
      </c>
      <c r="K230" s="62"/>
      <c r="L230" s="504">
        <f>IFERROR(__xludf.DUMMYFUNCTION("""COMPUTED_VALUE"""),0.0)</f>
        <v>0</v>
      </c>
      <c r="M230" s="504">
        <f>IFERROR(__xludf.DUMMYFUNCTION("""COMPUTED_VALUE"""),0.0)</f>
        <v>0</v>
      </c>
      <c r="N230" s="504">
        <f>IFERROR(__xludf.DUMMYFUNCTION("""COMPUTED_VALUE"""),0.0)</f>
        <v>0</v>
      </c>
      <c r="O230" s="62"/>
      <c r="P230" s="62"/>
      <c r="Q230" s="62"/>
      <c r="R230" s="62"/>
      <c r="S230" s="62"/>
      <c r="T230" s="62"/>
      <c r="U230" s="62"/>
      <c r="V230" s="62"/>
      <c r="W230" s="62"/>
      <c r="X230" s="62"/>
      <c r="Y230" s="62"/>
      <c r="Z230" s="62"/>
    </row>
    <row r="231">
      <c r="A231" s="62"/>
      <c r="B231" s="62" t="str">
        <f>IFERROR(__xludf.DUMMYFUNCTION("""COMPUTED_VALUE"""),"仲間")</f>
        <v>仲間</v>
      </c>
      <c r="C231" s="62">
        <f>IFERROR(__xludf.DUMMYFUNCTION("""COMPUTED_VALUE"""),35.0)</f>
        <v>35</v>
      </c>
      <c r="D231" s="62">
        <f>IFERROR(__xludf.DUMMYFUNCTION("""COMPUTED_VALUE"""),3.0)</f>
        <v>3</v>
      </c>
      <c r="E231" s="62"/>
      <c r="F231" s="62">
        <f>IFERROR(__xludf.DUMMYFUNCTION("""COMPUTED_VALUE"""),3.0)</f>
        <v>3</v>
      </c>
      <c r="G231" s="504">
        <f>IFERROR(__xludf.DUMMYFUNCTION("""COMPUTED_VALUE"""),0.08571428571428572)</f>
        <v>0.08571428571</v>
      </c>
      <c r="H231" s="62"/>
      <c r="I231" s="62"/>
      <c r="J231" s="62"/>
      <c r="K231" s="62"/>
      <c r="L231" s="504">
        <f>IFERROR(__xludf.DUMMYFUNCTION("""COMPUTED_VALUE"""),0.0)</f>
        <v>0</v>
      </c>
      <c r="M231" s="504">
        <f>IFERROR(__xludf.DUMMYFUNCTION("""COMPUTED_VALUE"""),0.0)</f>
        <v>0</v>
      </c>
      <c r="N231" s="504">
        <f>IFERROR(__xludf.DUMMYFUNCTION("""COMPUTED_VALUE"""),0.0)</f>
        <v>0</v>
      </c>
      <c r="O231" s="62"/>
      <c r="P231" s="62"/>
      <c r="Q231" s="62"/>
      <c r="R231" s="62"/>
      <c r="S231" s="62"/>
      <c r="T231" s="62"/>
      <c r="U231" s="62"/>
      <c r="V231" s="62"/>
      <c r="W231" s="62"/>
      <c r="X231" s="62"/>
      <c r="Y231" s="62"/>
      <c r="Z231" s="62"/>
    </row>
    <row r="232">
      <c r="A232" s="62"/>
      <c r="B232" s="62" t="str">
        <f>IFERROR(__xludf.DUMMYFUNCTION("""COMPUTED_VALUE"""),"高坂")</f>
        <v>高坂</v>
      </c>
      <c r="C232" s="62"/>
      <c r="D232" s="62"/>
      <c r="E232" s="62"/>
      <c r="F232" s="62"/>
      <c r="G232" s="504">
        <f>IFERROR(__xludf.DUMMYFUNCTION("""COMPUTED_VALUE"""),0.0)</f>
        <v>0</v>
      </c>
      <c r="H232" s="62"/>
      <c r="I232" s="62">
        <f>IFERROR(__xludf.DUMMYFUNCTION("""COMPUTED_VALUE"""),1.0)</f>
        <v>1</v>
      </c>
      <c r="J232" s="552">
        <f>IFERROR(__xludf.DUMMYFUNCTION("""COMPUTED_VALUE"""),30000.0)</f>
        <v>30000</v>
      </c>
      <c r="K232" s="62"/>
      <c r="L232" s="504">
        <f>IFERROR(__xludf.DUMMYFUNCTION("""COMPUTED_VALUE"""),0.0)</f>
        <v>0</v>
      </c>
      <c r="M232" s="504">
        <f>IFERROR(__xludf.DUMMYFUNCTION("""COMPUTED_VALUE"""),0.0)</f>
        <v>0</v>
      </c>
      <c r="N232" s="504">
        <f>IFERROR(__xludf.DUMMYFUNCTION("""COMPUTED_VALUE"""),0.0)</f>
        <v>0</v>
      </c>
      <c r="O232" s="62"/>
      <c r="P232" s="62"/>
      <c r="Q232" s="62"/>
      <c r="R232" s="62"/>
      <c r="S232" s="62"/>
      <c r="T232" s="62"/>
      <c r="U232" s="62"/>
      <c r="V232" s="62"/>
      <c r="W232" s="62"/>
      <c r="X232" s="62"/>
      <c r="Y232" s="62"/>
      <c r="Z232" s="62"/>
    </row>
    <row r="233">
      <c r="A233" s="62"/>
      <c r="B233" s="62" t="str">
        <f>IFERROR(__xludf.DUMMYFUNCTION("""COMPUTED_VALUE"""),"合計")</f>
        <v>合計</v>
      </c>
      <c r="C233" s="62">
        <f>IFERROR(__xludf.DUMMYFUNCTION("""COMPUTED_VALUE"""),129.0)</f>
        <v>129</v>
      </c>
      <c r="D233" s="62">
        <f>IFERROR(__xludf.DUMMYFUNCTION("""COMPUTED_VALUE"""),16.0)</f>
        <v>16</v>
      </c>
      <c r="E233" s="62">
        <f>IFERROR(__xludf.DUMMYFUNCTION("""COMPUTED_VALUE"""),1.0)</f>
        <v>1</v>
      </c>
      <c r="F233" s="62">
        <f>IFERROR(__xludf.DUMMYFUNCTION("""COMPUTED_VALUE"""),14.0)</f>
        <v>14</v>
      </c>
      <c r="G233" s="504">
        <f>IFERROR(__xludf.DUMMYFUNCTION("""COMPUTED_VALUE"""),0.12403100775193798)</f>
        <v>0.1240310078</v>
      </c>
      <c r="H233" s="62">
        <f>IFERROR(__xludf.DUMMYFUNCTION("""COMPUTED_VALUE"""),3.0)</f>
        <v>3</v>
      </c>
      <c r="I233" s="62">
        <f>IFERROR(__xludf.DUMMYFUNCTION("""COMPUTED_VALUE"""),19.0)</f>
        <v>19</v>
      </c>
      <c r="J233" s="552">
        <f>IFERROR(__xludf.DUMMYFUNCTION("""COMPUTED_VALUE"""),1470000.0)</f>
        <v>1470000</v>
      </c>
      <c r="K233" s="62">
        <f>IFERROR(__xludf.DUMMYFUNCTION("""COMPUTED_VALUE"""),0.0)</f>
        <v>0</v>
      </c>
      <c r="L233" s="504">
        <f>IFERROR(__xludf.DUMMYFUNCTION("""COMPUTED_VALUE"""),0.023255813953488372)</f>
        <v>0.02325581395</v>
      </c>
      <c r="M233" s="504">
        <f>IFERROR(__xludf.DUMMYFUNCTION("""COMPUTED_VALUE"""),0.14728682170542637)</f>
        <v>0.1472868217</v>
      </c>
      <c r="N233" s="504">
        <f>IFERROR(__xludf.DUMMYFUNCTION("""COMPUTED_VALUE"""),6.333333333333333)</f>
        <v>6.333333333</v>
      </c>
      <c r="O233" s="62"/>
      <c r="P233" s="62"/>
      <c r="Q233" s="62"/>
      <c r="R233" s="62"/>
      <c r="S233" s="62"/>
      <c r="T233" s="62"/>
      <c r="U233" s="62"/>
      <c r="V233" s="62"/>
      <c r="W233" s="62"/>
      <c r="X233" s="62"/>
      <c r="Y233" s="62"/>
      <c r="Z233" s="62"/>
    </row>
    <row r="234">
      <c r="A234" s="62" t="str">
        <f>IFERROR(__xludf.DUMMYFUNCTION("""COMPUTED_VALUE"""),"日付")</f>
        <v>日付</v>
      </c>
      <c r="B234" s="62" t="str">
        <f>IFERROR(__xludf.DUMMYFUNCTION("""COMPUTED_VALUE"""),"名前")</f>
        <v>名前</v>
      </c>
      <c r="C234" s="62" t="str">
        <f>IFERROR(__xludf.DUMMYFUNCTION("""COMPUTED_VALUE"""),"打電件数")</f>
        <v>打電件数</v>
      </c>
      <c r="D234" s="62" t="str">
        <f>IFERROR(__xludf.DUMMYFUNCTION("""COMPUTED_VALUE"""),"着電件数")</f>
        <v>着電件数</v>
      </c>
      <c r="E234" s="62" t="str">
        <f>IFERROR(__xludf.DUMMYFUNCTION("""COMPUTED_VALUE"""),"折り返し件数")</f>
        <v>折り返し件数</v>
      </c>
      <c r="F234" s="62" t="str">
        <f>IFERROR(__xludf.DUMMYFUNCTION("""COMPUTED_VALUE"""),"拒否")</f>
        <v>拒否</v>
      </c>
      <c r="G234" s="62" t="str">
        <f>IFERROR(__xludf.DUMMYFUNCTION("""COMPUTED_VALUE"""),"着電率")</f>
        <v>着電率</v>
      </c>
      <c r="H234" s="62" t="str">
        <f>IFERROR(__xludf.DUMMYFUNCTION("""COMPUTED_VALUE"""),"LINE登録")</f>
        <v>LINE登録</v>
      </c>
      <c r="I234" s="62" t="str">
        <f>IFERROR(__xludf.DUMMYFUNCTION("""COMPUTED_VALUE"""),"アカウント作成")</f>
        <v>アカウント作成</v>
      </c>
      <c r="J234" s="552" t="str">
        <f>IFERROR(__xludf.DUMMYFUNCTION("""COMPUTED_VALUE"""),"新規信用枠額")</f>
        <v>新規信用枠額</v>
      </c>
      <c r="K234" s="62" t="str">
        <f>IFERROR(__xludf.DUMMYFUNCTION("""COMPUTED_VALUE"""),"リスト死回線数")</f>
        <v>リスト死回線数</v>
      </c>
      <c r="L234" s="62" t="str">
        <f>IFERROR(__xludf.DUMMYFUNCTION("""COMPUTED_VALUE"""),"LINE率(打電から)")</f>
        <v>LINE率(打電から)</v>
      </c>
      <c r="M234" s="62" t="str">
        <f>IFERROR(__xludf.DUMMYFUNCTION("""COMPUTED_VALUE"""),"アカウント作成率(打電から)")</f>
        <v>アカウント作成率(打電から)</v>
      </c>
      <c r="N234" s="62" t="str">
        <f>IFERROR(__xludf.DUMMYFUNCTION("""COMPUTED_VALUE"""),"アカウント作成率(LINEから)")</f>
        <v>アカウント作成率(LINEから)</v>
      </c>
      <c r="O234" s="62" t="str">
        <f>IFERROR(__xludf.DUMMYFUNCTION("""COMPUTED_VALUE"""),"リスト名")</f>
        <v>リスト名</v>
      </c>
      <c r="P234" s="553" t="str">
        <f>IFERROR(__xludf.DUMMYFUNCTION("""COMPUTED_VALUE"""),"日本基準")</f>
        <v>日本基準</v>
      </c>
      <c r="Q234" s="62"/>
      <c r="R234" s="62"/>
      <c r="S234" s="62"/>
      <c r="T234" s="62"/>
      <c r="U234" s="62"/>
      <c r="V234" s="62"/>
      <c r="W234" s="62"/>
      <c r="X234" s="62"/>
      <c r="Y234" s="62"/>
      <c r="Z234" s="62"/>
    </row>
    <row r="235">
      <c r="A235" s="556">
        <f>IFERROR(__xludf.DUMMYFUNCTION("""COMPUTED_VALUE"""),45912.0)</f>
        <v>45912</v>
      </c>
      <c r="B235" s="62" t="str">
        <f>IFERROR(__xludf.DUMMYFUNCTION("""COMPUTED_VALUE"""),"あり")</f>
        <v>あり</v>
      </c>
      <c r="C235" s="62"/>
      <c r="D235" s="62"/>
      <c r="E235" s="62"/>
      <c r="F235" s="62"/>
      <c r="G235" s="504">
        <f>IFERROR(__xludf.DUMMYFUNCTION("""COMPUTED_VALUE"""),0.0)</f>
        <v>0</v>
      </c>
      <c r="H235" s="62">
        <f>IFERROR(__xludf.DUMMYFUNCTION("""COMPUTED_VALUE"""),5.0)</f>
        <v>5</v>
      </c>
      <c r="I235" s="62">
        <f>IFERROR(__xludf.DUMMYFUNCTION("""COMPUTED_VALUE"""),5.0)</f>
        <v>5</v>
      </c>
      <c r="J235" s="552">
        <f>IFERROR(__xludf.DUMMYFUNCTION("""COMPUTED_VALUE"""),360000.0)</f>
        <v>360000</v>
      </c>
      <c r="K235" s="62"/>
      <c r="L235" s="504">
        <f>IFERROR(__xludf.DUMMYFUNCTION("""COMPUTED_VALUE"""),0.0)</f>
        <v>0</v>
      </c>
      <c r="M235" s="504">
        <f>IFERROR(__xludf.DUMMYFUNCTION("""COMPUTED_VALUE"""),0.0)</f>
        <v>0</v>
      </c>
      <c r="N235" s="504">
        <f>IFERROR(__xludf.DUMMYFUNCTION("""COMPUTED_VALUE"""),1.0)</f>
        <v>1</v>
      </c>
      <c r="O235" s="62"/>
      <c r="P235" s="62"/>
      <c r="Q235" s="62"/>
      <c r="R235" s="62"/>
      <c r="S235" s="62"/>
      <c r="T235" s="62"/>
      <c r="U235" s="62"/>
      <c r="V235" s="62"/>
      <c r="W235" s="62"/>
      <c r="X235" s="62"/>
      <c r="Y235" s="62"/>
      <c r="Z235" s="62"/>
    </row>
    <row r="236">
      <c r="A236" s="62"/>
      <c r="B236" s="62" t="str">
        <f>IFERROR(__xludf.DUMMYFUNCTION("""COMPUTED_VALUE"""),"しょうま")</f>
        <v>しょうま</v>
      </c>
      <c r="C236" s="62"/>
      <c r="D236" s="62"/>
      <c r="E236" s="62"/>
      <c r="F236" s="62"/>
      <c r="G236" s="504">
        <f>IFERROR(__xludf.DUMMYFUNCTION("""COMPUTED_VALUE"""),0.0)</f>
        <v>0</v>
      </c>
      <c r="H236" s="62"/>
      <c r="I236" s="62"/>
      <c r="J236" s="62"/>
      <c r="K236" s="62"/>
      <c r="L236" s="504">
        <f>IFERROR(__xludf.DUMMYFUNCTION("""COMPUTED_VALUE"""),0.0)</f>
        <v>0</v>
      </c>
      <c r="M236" s="504">
        <f>IFERROR(__xludf.DUMMYFUNCTION("""COMPUTED_VALUE"""),0.0)</f>
        <v>0</v>
      </c>
      <c r="N236" s="504">
        <f>IFERROR(__xludf.DUMMYFUNCTION("""COMPUTED_VALUE"""),0.0)</f>
        <v>0</v>
      </c>
      <c r="O236" s="62"/>
      <c r="P236" s="62"/>
      <c r="Q236" s="62"/>
      <c r="R236" s="62"/>
      <c r="S236" s="62"/>
      <c r="T236" s="62"/>
      <c r="U236" s="62"/>
      <c r="V236" s="62"/>
      <c r="W236" s="62"/>
      <c r="X236" s="62"/>
      <c r="Y236" s="62"/>
      <c r="Z236" s="62"/>
    </row>
    <row r="237">
      <c r="A237" s="62"/>
      <c r="B237" s="62"/>
      <c r="C237" s="62"/>
      <c r="D237" s="62"/>
      <c r="E237" s="62"/>
      <c r="F237" s="62"/>
      <c r="G237" s="504">
        <f>IFERROR(__xludf.DUMMYFUNCTION("""COMPUTED_VALUE"""),0.0)</f>
        <v>0</v>
      </c>
      <c r="H237" s="62"/>
      <c r="I237" s="62"/>
      <c r="J237" s="62"/>
      <c r="K237" s="62"/>
      <c r="L237" s="504">
        <f>IFERROR(__xludf.DUMMYFUNCTION("""COMPUTED_VALUE"""),0.0)</f>
        <v>0</v>
      </c>
      <c r="M237" s="504">
        <f>IFERROR(__xludf.DUMMYFUNCTION("""COMPUTED_VALUE"""),0.0)</f>
        <v>0</v>
      </c>
      <c r="N237" s="504">
        <f>IFERROR(__xludf.DUMMYFUNCTION("""COMPUTED_VALUE"""),0.0)</f>
        <v>0</v>
      </c>
      <c r="O237" s="62"/>
      <c r="P237" s="62"/>
      <c r="Q237" s="62"/>
      <c r="R237" s="62"/>
      <c r="S237" s="62"/>
      <c r="T237" s="62"/>
      <c r="U237" s="62"/>
      <c r="V237" s="62"/>
      <c r="W237" s="62"/>
      <c r="X237" s="62"/>
      <c r="Y237" s="62"/>
      <c r="Z237" s="62"/>
    </row>
    <row r="238">
      <c r="A238" s="62"/>
      <c r="B238" s="62" t="str">
        <f>IFERROR(__xludf.DUMMYFUNCTION("""COMPUTED_VALUE"""),"ジョーナ")</f>
        <v>ジョーナ</v>
      </c>
      <c r="C238" s="62"/>
      <c r="D238" s="62"/>
      <c r="E238" s="62"/>
      <c r="F238" s="62"/>
      <c r="G238" s="504">
        <f>IFERROR(__xludf.DUMMYFUNCTION("""COMPUTED_VALUE"""),0.0)</f>
        <v>0</v>
      </c>
      <c r="H238" s="62"/>
      <c r="I238" s="62"/>
      <c r="J238" s="62"/>
      <c r="K238" s="62"/>
      <c r="L238" s="504">
        <f>IFERROR(__xludf.DUMMYFUNCTION("""COMPUTED_VALUE"""),0.0)</f>
        <v>0</v>
      </c>
      <c r="M238" s="504">
        <f>IFERROR(__xludf.DUMMYFUNCTION("""COMPUTED_VALUE"""),0.0)</f>
        <v>0</v>
      </c>
      <c r="N238" s="504">
        <f>IFERROR(__xludf.DUMMYFUNCTION("""COMPUTED_VALUE"""),0.0)</f>
        <v>0</v>
      </c>
      <c r="O238" s="62"/>
      <c r="P238" s="62"/>
      <c r="Q238" s="62"/>
      <c r="R238" s="62"/>
      <c r="S238" s="62"/>
      <c r="T238" s="62"/>
      <c r="U238" s="62"/>
      <c r="V238" s="62"/>
      <c r="W238" s="62"/>
      <c r="X238" s="62"/>
      <c r="Y238" s="62"/>
      <c r="Z238" s="62"/>
    </row>
    <row r="239">
      <c r="A239" s="62"/>
      <c r="B239" s="62" t="str">
        <f>IFERROR(__xludf.DUMMYFUNCTION("""COMPUTED_VALUE"""),"武田")</f>
        <v>武田</v>
      </c>
      <c r="C239" s="62"/>
      <c r="D239" s="62"/>
      <c r="E239" s="62"/>
      <c r="F239" s="62"/>
      <c r="G239" s="504">
        <f>IFERROR(__xludf.DUMMYFUNCTION("""COMPUTED_VALUE"""),0.0)</f>
        <v>0</v>
      </c>
      <c r="H239" s="62"/>
      <c r="I239" s="62"/>
      <c r="J239" s="62"/>
      <c r="K239" s="62"/>
      <c r="L239" s="504">
        <f>IFERROR(__xludf.DUMMYFUNCTION("""COMPUTED_VALUE"""),0.0)</f>
        <v>0</v>
      </c>
      <c r="M239" s="504">
        <f>IFERROR(__xludf.DUMMYFUNCTION("""COMPUTED_VALUE"""),0.0)</f>
        <v>0</v>
      </c>
      <c r="N239" s="504">
        <f>IFERROR(__xludf.DUMMYFUNCTION("""COMPUTED_VALUE"""),0.0)</f>
        <v>0</v>
      </c>
      <c r="O239" s="62"/>
      <c r="P239" s="62"/>
      <c r="Q239" s="62"/>
      <c r="R239" s="62"/>
      <c r="S239" s="62"/>
      <c r="T239" s="62"/>
      <c r="U239" s="62"/>
      <c r="V239" s="62"/>
      <c r="W239" s="62"/>
      <c r="X239" s="62"/>
      <c r="Y239" s="62"/>
      <c r="Z239" s="62"/>
    </row>
    <row r="240">
      <c r="A240" s="62"/>
      <c r="B240" s="62" t="str">
        <f>IFERROR(__xludf.DUMMYFUNCTION("""COMPUTED_VALUE"""),"高木")</f>
        <v>高木</v>
      </c>
      <c r="C240" s="62">
        <f>IFERROR(__xludf.DUMMYFUNCTION("""COMPUTED_VALUE"""),80.0)</f>
        <v>80</v>
      </c>
      <c r="D240" s="62">
        <f>IFERROR(__xludf.DUMMYFUNCTION("""COMPUTED_VALUE"""),11.0)</f>
        <v>11</v>
      </c>
      <c r="E240" s="62">
        <f>IFERROR(__xludf.DUMMYFUNCTION("""COMPUTED_VALUE"""),1.0)</f>
        <v>1</v>
      </c>
      <c r="F240" s="62">
        <f>IFERROR(__xludf.DUMMYFUNCTION("""COMPUTED_VALUE"""),9.0)</f>
        <v>9</v>
      </c>
      <c r="G240" s="504">
        <f>IFERROR(__xludf.DUMMYFUNCTION("""COMPUTED_VALUE"""),0.1375)</f>
        <v>0.1375</v>
      </c>
      <c r="H240" s="62">
        <f>IFERROR(__xludf.DUMMYFUNCTION("""COMPUTED_VALUE"""),2.0)</f>
        <v>2</v>
      </c>
      <c r="I240" s="62">
        <f>IFERROR(__xludf.DUMMYFUNCTION("""COMPUTED_VALUE"""),2.0)</f>
        <v>2</v>
      </c>
      <c r="J240" s="552">
        <f>IFERROR(__xludf.DUMMYFUNCTION("""COMPUTED_VALUE"""),200000.0)</f>
        <v>200000</v>
      </c>
      <c r="K240" s="62">
        <f>IFERROR(__xludf.DUMMYFUNCTION("""COMPUTED_VALUE"""),7.0)</f>
        <v>7</v>
      </c>
      <c r="L240" s="504">
        <f>IFERROR(__xludf.DUMMYFUNCTION("""COMPUTED_VALUE"""),0.025)</f>
        <v>0.025</v>
      </c>
      <c r="M240" s="504">
        <f>IFERROR(__xludf.DUMMYFUNCTION("""COMPUTED_VALUE"""),0.025)</f>
        <v>0.025</v>
      </c>
      <c r="N240" s="504">
        <f>IFERROR(__xludf.DUMMYFUNCTION("""COMPUTED_VALUE"""),1.0)</f>
        <v>1</v>
      </c>
      <c r="O240" s="62" t="str">
        <f>IFERROR(__xludf.DUMMYFUNCTION("""COMPUTED_VALUE"""),"リストE")</f>
        <v>リストE</v>
      </c>
      <c r="P240" s="553" t="str">
        <f>IFERROR(__xludf.DUMMYFUNCTION("""COMPUTED_VALUE"""),"平日")</f>
        <v>平日</v>
      </c>
      <c r="Q240" s="62"/>
      <c r="R240" s="62"/>
      <c r="S240" s="62"/>
      <c r="T240" s="62"/>
      <c r="U240" s="62"/>
      <c r="V240" s="62"/>
      <c r="W240" s="62"/>
      <c r="X240" s="62"/>
      <c r="Y240" s="62"/>
      <c r="Z240" s="62"/>
    </row>
    <row r="241">
      <c r="A241" s="62"/>
      <c r="B241" s="62"/>
      <c r="C241" s="62"/>
      <c r="D241" s="62"/>
      <c r="E241" s="62"/>
      <c r="F241" s="62"/>
      <c r="G241" s="504">
        <f>IFERROR(__xludf.DUMMYFUNCTION("""COMPUTED_VALUE"""),0.0)</f>
        <v>0</v>
      </c>
      <c r="H241" s="62"/>
      <c r="I241" s="62"/>
      <c r="J241" s="62"/>
      <c r="K241" s="62"/>
      <c r="L241" s="504">
        <f>IFERROR(__xludf.DUMMYFUNCTION("""COMPUTED_VALUE"""),0.0)</f>
        <v>0</v>
      </c>
      <c r="M241" s="504">
        <f>IFERROR(__xludf.DUMMYFUNCTION("""COMPUTED_VALUE"""),0.0)</f>
        <v>0</v>
      </c>
      <c r="N241" s="504">
        <f>IFERROR(__xludf.DUMMYFUNCTION("""COMPUTED_VALUE"""),0.0)</f>
        <v>0</v>
      </c>
      <c r="O241" s="62"/>
      <c r="P241" s="62"/>
      <c r="Q241" s="62"/>
      <c r="R241" s="62"/>
      <c r="S241" s="62"/>
      <c r="T241" s="62"/>
      <c r="U241" s="62"/>
      <c r="V241" s="62"/>
      <c r="W241" s="62"/>
      <c r="X241" s="62"/>
      <c r="Y241" s="62"/>
      <c r="Z241" s="62"/>
    </row>
    <row r="242">
      <c r="A242" s="62"/>
      <c r="B242" s="62" t="str">
        <f>IFERROR(__xludf.DUMMYFUNCTION("""COMPUTED_VALUE"""),"大谷")</f>
        <v>大谷</v>
      </c>
      <c r="C242" s="62"/>
      <c r="D242" s="62"/>
      <c r="E242" s="62"/>
      <c r="F242" s="62"/>
      <c r="G242" s="504">
        <f>IFERROR(__xludf.DUMMYFUNCTION("""COMPUTED_VALUE"""),0.0)</f>
        <v>0</v>
      </c>
      <c r="H242" s="62"/>
      <c r="I242" s="62"/>
      <c r="J242" s="62"/>
      <c r="K242" s="62"/>
      <c r="L242" s="504">
        <f>IFERROR(__xludf.DUMMYFUNCTION("""COMPUTED_VALUE"""),0.0)</f>
        <v>0</v>
      </c>
      <c r="M242" s="504">
        <f>IFERROR(__xludf.DUMMYFUNCTION("""COMPUTED_VALUE"""),0.0)</f>
        <v>0</v>
      </c>
      <c r="N242" s="504">
        <f>IFERROR(__xludf.DUMMYFUNCTION("""COMPUTED_VALUE"""),0.0)</f>
        <v>0</v>
      </c>
      <c r="O242" s="62"/>
      <c r="P242" s="62"/>
      <c r="Q242" s="62"/>
      <c r="R242" s="62"/>
      <c r="S242" s="62"/>
      <c r="T242" s="62"/>
      <c r="U242" s="62"/>
      <c r="V242" s="62"/>
      <c r="W242" s="62"/>
      <c r="X242" s="62"/>
      <c r="Y242" s="62"/>
      <c r="Z242" s="62"/>
    </row>
    <row r="243">
      <c r="A243" s="62"/>
      <c r="B243" s="62"/>
      <c r="C243" s="62"/>
      <c r="D243" s="62"/>
      <c r="E243" s="62"/>
      <c r="F243" s="62"/>
      <c r="G243" s="504">
        <f>IFERROR(__xludf.DUMMYFUNCTION("""COMPUTED_VALUE"""),0.0)</f>
        <v>0</v>
      </c>
      <c r="H243" s="62"/>
      <c r="I243" s="62"/>
      <c r="J243" s="62"/>
      <c r="K243" s="62"/>
      <c r="L243" s="504">
        <f>IFERROR(__xludf.DUMMYFUNCTION("""COMPUTED_VALUE"""),0.0)</f>
        <v>0</v>
      </c>
      <c r="M243" s="504">
        <f>IFERROR(__xludf.DUMMYFUNCTION("""COMPUTED_VALUE"""),0.0)</f>
        <v>0</v>
      </c>
      <c r="N243" s="504">
        <f>IFERROR(__xludf.DUMMYFUNCTION("""COMPUTED_VALUE"""),0.0)</f>
        <v>0</v>
      </c>
      <c r="O243" s="62"/>
      <c r="P243" s="62"/>
      <c r="Q243" s="62"/>
      <c r="R243" s="62"/>
      <c r="S243" s="62"/>
      <c r="T243" s="62"/>
      <c r="U243" s="62"/>
      <c r="V243" s="62"/>
      <c r="W243" s="62"/>
      <c r="X243" s="62"/>
      <c r="Y243" s="62"/>
      <c r="Z243" s="62"/>
    </row>
    <row r="244">
      <c r="A244" s="62"/>
      <c r="B244" s="62" t="str">
        <f>IFERROR(__xludf.DUMMYFUNCTION("""COMPUTED_VALUE"""),"森")</f>
        <v>森</v>
      </c>
      <c r="C244" s="62"/>
      <c r="D244" s="62"/>
      <c r="E244" s="62"/>
      <c r="F244" s="62"/>
      <c r="G244" s="504">
        <f>IFERROR(__xludf.DUMMYFUNCTION("""COMPUTED_VALUE"""),0.0)</f>
        <v>0</v>
      </c>
      <c r="H244" s="62"/>
      <c r="I244" s="62"/>
      <c r="J244" s="62"/>
      <c r="K244" s="62"/>
      <c r="L244" s="504">
        <f>IFERROR(__xludf.DUMMYFUNCTION("""COMPUTED_VALUE"""),0.0)</f>
        <v>0</v>
      </c>
      <c r="M244" s="504">
        <f>IFERROR(__xludf.DUMMYFUNCTION("""COMPUTED_VALUE"""),0.0)</f>
        <v>0</v>
      </c>
      <c r="N244" s="504">
        <f>IFERROR(__xludf.DUMMYFUNCTION("""COMPUTED_VALUE"""),0.0)</f>
        <v>0</v>
      </c>
      <c r="O244" s="62"/>
      <c r="P244" s="62"/>
      <c r="Q244" s="62"/>
      <c r="R244" s="62"/>
      <c r="S244" s="62"/>
      <c r="T244" s="62"/>
      <c r="U244" s="62"/>
      <c r="V244" s="62"/>
      <c r="W244" s="62"/>
      <c r="X244" s="62"/>
      <c r="Y244" s="62"/>
      <c r="Z244" s="62"/>
    </row>
    <row r="245">
      <c r="A245" s="62"/>
      <c r="B245" s="62"/>
      <c r="C245" s="62"/>
      <c r="D245" s="62"/>
      <c r="E245" s="62"/>
      <c r="F245" s="62"/>
      <c r="G245" s="504">
        <f>IFERROR(__xludf.DUMMYFUNCTION("""COMPUTED_VALUE"""),0.0)</f>
        <v>0</v>
      </c>
      <c r="H245" s="62"/>
      <c r="I245" s="62"/>
      <c r="J245" s="62"/>
      <c r="K245" s="62"/>
      <c r="L245" s="504">
        <f>IFERROR(__xludf.DUMMYFUNCTION("""COMPUTED_VALUE"""),0.0)</f>
        <v>0</v>
      </c>
      <c r="M245" s="504">
        <f>IFERROR(__xludf.DUMMYFUNCTION("""COMPUTED_VALUE"""),0.0)</f>
        <v>0</v>
      </c>
      <c r="N245" s="504">
        <f>IFERROR(__xludf.DUMMYFUNCTION("""COMPUTED_VALUE"""),0.0)</f>
        <v>0</v>
      </c>
      <c r="O245" s="62"/>
      <c r="P245" s="62"/>
      <c r="Q245" s="62"/>
      <c r="R245" s="62"/>
      <c r="S245" s="62"/>
      <c r="T245" s="62"/>
      <c r="U245" s="62"/>
      <c r="V245" s="62"/>
      <c r="W245" s="62"/>
      <c r="X245" s="62"/>
      <c r="Y245" s="62"/>
      <c r="Z245" s="62"/>
    </row>
    <row r="246">
      <c r="A246" s="62"/>
      <c r="B246" s="62" t="str">
        <f>IFERROR(__xludf.DUMMYFUNCTION("""COMPUTED_VALUE"""),"金子")</f>
        <v>金子</v>
      </c>
      <c r="C246" s="62"/>
      <c r="D246" s="62"/>
      <c r="E246" s="62"/>
      <c r="F246" s="62"/>
      <c r="G246" s="504">
        <f>IFERROR(__xludf.DUMMYFUNCTION("""COMPUTED_VALUE"""),0.0)</f>
        <v>0</v>
      </c>
      <c r="H246" s="62"/>
      <c r="I246" s="62"/>
      <c r="J246" s="62"/>
      <c r="K246" s="62"/>
      <c r="L246" s="504">
        <f>IFERROR(__xludf.DUMMYFUNCTION("""COMPUTED_VALUE"""),0.0)</f>
        <v>0</v>
      </c>
      <c r="M246" s="504">
        <f>IFERROR(__xludf.DUMMYFUNCTION("""COMPUTED_VALUE"""),0.0)</f>
        <v>0</v>
      </c>
      <c r="N246" s="504">
        <f>IFERROR(__xludf.DUMMYFUNCTION("""COMPUTED_VALUE"""),0.0)</f>
        <v>0</v>
      </c>
      <c r="O246" s="62"/>
      <c r="P246" s="62"/>
      <c r="Q246" s="62"/>
      <c r="R246" s="62"/>
      <c r="S246" s="62"/>
      <c r="T246" s="62"/>
      <c r="U246" s="62"/>
      <c r="V246" s="62"/>
      <c r="W246" s="62"/>
      <c r="X246" s="62"/>
      <c r="Y246" s="62"/>
      <c r="Z246" s="62"/>
    </row>
    <row r="247">
      <c r="A247" s="62"/>
      <c r="B247" s="62"/>
      <c r="C247" s="62"/>
      <c r="D247" s="62"/>
      <c r="E247" s="62"/>
      <c r="F247" s="62"/>
      <c r="G247" s="504">
        <f>IFERROR(__xludf.DUMMYFUNCTION("""COMPUTED_VALUE"""),0.0)</f>
        <v>0</v>
      </c>
      <c r="H247" s="62"/>
      <c r="I247" s="62"/>
      <c r="J247" s="62"/>
      <c r="K247" s="62"/>
      <c r="L247" s="504">
        <f>IFERROR(__xludf.DUMMYFUNCTION("""COMPUTED_VALUE"""),0.0)</f>
        <v>0</v>
      </c>
      <c r="M247" s="504">
        <f>IFERROR(__xludf.DUMMYFUNCTION("""COMPUTED_VALUE"""),0.0)</f>
        <v>0</v>
      </c>
      <c r="N247" s="504">
        <f>IFERROR(__xludf.DUMMYFUNCTION("""COMPUTED_VALUE"""),0.0)</f>
        <v>0</v>
      </c>
      <c r="O247" s="62"/>
      <c r="P247" s="62"/>
      <c r="Q247" s="62"/>
      <c r="R247" s="62"/>
      <c r="S247" s="62"/>
      <c r="T247" s="62"/>
      <c r="U247" s="62"/>
      <c r="V247" s="62"/>
      <c r="W247" s="62"/>
      <c r="X247" s="62"/>
      <c r="Y247" s="62"/>
      <c r="Z247" s="62"/>
    </row>
    <row r="248">
      <c r="A248" s="62"/>
      <c r="B248" s="552" t="str">
        <f>IFERROR(__xludf.DUMMYFUNCTION("""COMPUTED_VALUE"""),"SMS")</f>
        <v>SMS</v>
      </c>
      <c r="C248" s="62"/>
      <c r="D248" s="62"/>
      <c r="E248" s="62"/>
      <c r="F248" s="62"/>
      <c r="G248" s="504">
        <f>IFERROR(__xludf.DUMMYFUNCTION("""COMPUTED_VALUE"""),0.0)</f>
        <v>0</v>
      </c>
      <c r="H248" s="62"/>
      <c r="I248" s="62"/>
      <c r="J248" s="62"/>
      <c r="K248" s="62"/>
      <c r="L248" s="504">
        <f>IFERROR(__xludf.DUMMYFUNCTION("""COMPUTED_VALUE"""),0.0)</f>
        <v>0</v>
      </c>
      <c r="M248" s="504">
        <f>IFERROR(__xludf.DUMMYFUNCTION("""COMPUTED_VALUE"""),0.0)</f>
        <v>0</v>
      </c>
      <c r="N248" s="504">
        <f>IFERROR(__xludf.DUMMYFUNCTION("""COMPUTED_VALUE"""),0.0)</f>
        <v>0</v>
      </c>
      <c r="O248" s="62"/>
      <c r="P248" s="62"/>
      <c r="Q248" s="62"/>
      <c r="R248" s="62"/>
      <c r="S248" s="62"/>
      <c r="T248" s="62"/>
      <c r="U248" s="62"/>
      <c r="V248" s="62"/>
      <c r="W248" s="62"/>
      <c r="X248" s="62"/>
      <c r="Y248" s="62"/>
      <c r="Z248" s="62"/>
    </row>
    <row r="249">
      <c r="A249" s="62"/>
      <c r="B249" s="62" t="str">
        <f>IFERROR(__xludf.DUMMYFUNCTION("""COMPUTED_VALUE"""),"紹介")</f>
        <v>紹介</v>
      </c>
      <c r="C249" s="62"/>
      <c r="D249" s="62"/>
      <c r="E249" s="62"/>
      <c r="F249" s="62"/>
      <c r="G249" s="504">
        <f>IFERROR(__xludf.DUMMYFUNCTION("""COMPUTED_VALUE"""),0.0)</f>
        <v>0</v>
      </c>
      <c r="H249" s="62"/>
      <c r="I249" s="62"/>
      <c r="J249" s="62"/>
      <c r="K249" s="62"/>
      <c r="L249" s="504">
        <f>IFERROR(__xludf.DUMMYFUNCTION("""COMPUTED_VALUE"""),0.0)</f>
        <v>0</v>
      </c>
      <c r="M249" s="504">
        <f>IFERROR(__xludf.DUMMYFUNCTION("""COMPUTED_VALUE"""),0.0)</f>
        <v>0</v>
      </c>
      <c r="N249" s="504">
        <f>IFERROR(__xludf.DUMMYFUNCTION("""COMPUTED_VALUE"""),0.0)</f>
        <v>0</v>
      </c>
      <c r="O249" s="62"/>
      <c r="P249" s="62"/>
      <c r="Q249" s="62"/>
      <c r="R249" s="62"/>
      <c r="S249" s="62"/>
      <c r="T249" s="62"/>
      <c r="U249" s="62"/>
      <c r="V249" s="62"/>
      <c r="W249" s="62"/>
      <c r="X249" s="62"/>
      <c r="Y249" s="62"/>
      <c r="Z249" s="62"/>
    </row>
    <row r="250">
      <c r="A250" s="62"/>
      <c r="B250" s="62" t="str">
        <f>IFERROR(__xludf.DUMMYFUNCTION("""COMPUTED_VALUE"""),"仁子")</f>
        <v>仁子</v>
      </c>
      <c r="C250" s="62"/>
      <c r="D250" s="62"/>
      <c r="E250" s="62"/>
      <c r="F250" s="62"/>
      <c r="G250" s="504">
        <f>IFERROR(__xludf.DUMMYFUNCTION("""COMPUTED_VALUE"""),0.0)</f>
        <v>0</v>
      </c>
      <c r="H250" s="62"/>
      <c r="I250" s="62">
        <f>IFERROR(__xludf.DUMMYFUNCTION("""COMPUTED_VALUE"""),3.0)</f>
        <v>3</v>
      </c>
      <c r="J250" s="552">
        <f>IFERROR(__xludf.DUMMYFUNCTION("""COMPUTED_VALUE"""),130000.0)</f>
        <v>130000</v>
      </c>
      <c r="K250" s="62"/>
      <c r="L250" s="504">
        <f>IFERROR(__xludf.DUMMYFUNCTION("""COMPUTED_VALUE"""),0.0)</f>
        <v>0</v>
      </c>
      <c r="M250" s="504">
        <f>IFERROR(__xludf.DUMMYFUNCTION("""COMPUTED_VALUE"""),0.0)</f>
        <v>0</v>
      </c>
      <c r="N250" s="504">
        <f>IFERROR(__xludf.DUMMYFUNCTION("""COMPUTED_VALUE"""),0.0)</f>
        <v>0</v>
      </c>
      <c r="O250" s="62"/>
      <c r="P250" s="62"/>
      <c r="Q250" s="62"/>
      <c r="R250" s="62"/>
      <c r="S250" s="62"/>
      <c r="T250" s="62"/>
      <c r="U250" s="62"/>
      <c r="V250" s="62"/>
      <c r="W250" s="62"/>
      <c r="X250" s="62"/>
      <c r="Y250" s="62"/>
      <c r="Z250" s="62"/>
    </row>
    <row r="251">
      <c r="A251" s="62"/>
      <c r="B251" s="62" t="str">
        <f>IFERROR(__xludf.DUMMYFUNCTION("""COMPUTED_VALUE"""),"鈴木")</f>
        <v>鈴木</v>
      </c>
      <c r="C251" s="62"/>
      <c r="D251" s="62"/>
      <c r="E251" s="62"/>
      <c r="F251" s="62"/>
      <c r="G251" s="504">
        <f>IFERROR(__xludf.DUMMYFUNCTION("""COMPUTED_VALUE"""),0.0)</f>
        <v>0</v>
      </c>
      <c r="H251" s="62"/>
      <c r="I251" s="62">
        <f>IFERROR(__xludf.DUMMYFUNCTION("""COMPUTED_VALUE"""),3.0)</f>
        <v>3</v>
      </c>
      <c r="J251" s="552">
        <f>IFERROR(__xludf.DUMMYFUNCTION("""COMPUTED_VALUE"""),180000.0)</f>
        <v>180000</v>
      </c>
      <c r="K251" s="62"/>
      <c r="L251" s="504">
        <f>IFERROR(__xludf.DUMMYFUNCTION("""COMPUTED_VALUE"""),0.0)</f>
        <v>0</v>
      </c>
      <c r="M251" s="504">
        <f>IFERROR(__xludf.DUMMYFUNCTION("""COMPUTED_VALUE"""),0.0)</f>
        <v>0</v>
      </c>
      <c r="N251" s="504">
        <f>IFERROR(__xludf.DUMMYFUNCTION("""COMPUTED_VALUE"""),0.0)</f>
        <v>0</v>
      </c>
      <c r="O251" s="62"/>
      <c r="P251" s="62"/>
      <c r="Q251" s="62"/>
      <c r="R251" s="62"/>
      <c r="S251" s="62"/>
      <c r="T251" s="62"/>
      <c r="U251" s="62"/>
      <c r="V251" s="62"/>
      <c r="W251" s="62"/>
      <c r="X251" s="62"/>
      <c r="Y251" s="62"/>
      <c r="Z251" s="62"/>
    </row>
    <row r="252">
      <c r="A252" s="62"/>
      <c r="B252" s="62" t="str">
        <f>IFERROR(__xludf.DUMMYFUNCTION("""COMPUTED_VALUE"""),"仲間")</f>
        <v>仲間</v>
      </c>
      <c r="C252" s="62">
        <f>IFERROR(__xludf.DUMMYFUNCTION("""COMPUTED_VALUE"""),52.0)</f>
        <v>52</v>
      </c>
      <c r="D252" s="62">
        <f>IFERROR(__xludf.DUMMYFUNCTION("""COMPUTED_VALUE"""),13.0)</f>
        <v>13</v>
      </c>
      <c r="E252" s="62"/>
      <c r="F252" s="62">
        <f>IFERROR(__xludf.DUMMYFUNCTION("""COMPUTED_VALUE"""),13.0)</f>
        <v>13</v>
      </c>
      <c r="G252" s="504">
        <f>IFERROR(__xludf.DUMMYFUNCTION("""COMPUTED_VALUE"""),0.25)</f>
        <v>0.25</v>
      </c>
      <c r="H252" s="62"/>
      <c r="I252" s="62"/>
      <c r="J252" s="62"/>
      <c r="K252" s="62"/>
      <c r="L252" s="504">
        <f>IFERROR(__xludf.DUMMYFUNCTION("""COMPUTED_VALUE"""),0.0)</f>
        <v>0</v>
      </c>
      <c r="M252" s="504">
        <f>IFERROR(__xludf.DUMMYFUNCTION("""COMPUTED_VALUE"""),0.0)</f>
        <v>0</v>
      </c>
      <c r="N252" s="504">
        <f>IFERROR(__xludf.DUMMYFUNCTION("""COMPUTED_VALUE"""),0.0)</f>
        <v>0</v>
      </c>
      <c r="O252" s="62"/>
      <c r="P252" s="62"/>
      <c r="Q252" s="62"/>
      <c r="R252" s="62"/>
      <c r="S252" s="62"/>
      <c r="T252" s="62"/>
      <c r="U252" s="62"/>
      <c r="V252" s="62"/>
      <c r="W252" s="62"/>
      <c r="X252" s="62"/>
      <c r="Y252" s="62"/>
      <c r="Z252" s="62"/>
    </row>
    <row r="253">
      <c r="A253" s="62"/>
      <c r="B253" s="62"/>
      <c r="C253" s="62"/>
      <c r="D253" s="62"/>
      <c r="E253" s="62"/>
      <c r="F253" s="62"/>
      <c r="G253" s="504">
        <f>IFERROR(__xludf.DUMMYFUNCTION("""COMPUTED_VALUE"""),0.0)</f>
        <v>0</v>
      </c>
      <c r="H253" s="62"/>
      <c r="I253" s="62"/>
      <c r="J253" s="62"/>
      <c r="K253" s="62"/>
      <c r="L253" s="504">
        <f>IFERROR(__xludf.DUMMYFUNCTION("""COMPUTED_VALUE"""),0.0)</f>
        <v>0</v>
      </c>
      <c r="M253" s="504">
        <f>IFERROR(__xludf.DUMMYFUNCTION("""COMPUTED_VALUE"""),0.0)</f>
        <v>0</v>
      </c>
      <c r="N253" s="504">
        <f>IFERROR(__xludf.DUMMYFUNCTION("""COMPUTED_VALUE"""),0.0)</f>
        <v>0</v>
      </c>
      <c r="O253" s="62"/>
      <c r="P253" s="62"/>
      <c r="Q253" s="62"/>
      <c r="R253" s="62"/>
      <c r="S253" s="62"/>
      <c r="T253" s="62"/>
      <c r="U253" s="62"/>
      <c r="V253" s="62"/>
      <c r="W253" s="62"/>
      <c r="X253" s="62"/>
      <c r="Y253" s="62"/>
      <c r="Z253" s="62"/>
    </row>
    <row r="254">
      <c r="A254" s="62"/>
      <c r="B254" s="62" t="str">
        <f>IFERROR(__xludf.DUMMYFUNCTION("""COMPUTED_VALUE"""),"合計")</f>
        <v>合計</v>
      </c>
      <c r="C254" s="62">
        <f>IFERROR(__xludf.DUMMYFUNCTION("""COMPUTED_VALUE"""),132.0)</f>
        <v>132</v>
      </c>
      <c r="D254" s="62">
        <f>IFERROR(__xludf.DUMMYFUNCTION("""COMPUTED_VALUE"""),24.0)</f>
        <v>24</v>
      </c>
      <c r="E254" s="62">
        <f>IFERROR(__xludf.DUMMYFUNCTION("""COMPUTED_VALUE"""),1.0)</f>
        <v>1</v>
      </c>
      <c r="F254" s="62">
        <f>IFERROR(__xludf.DUMMYFUNCTION("""COMPUTED_VALUE"""),22.0)</f>
        <v>22</v>
      </c>
      <c r="G254" s="504">
        <f>IFERROR(__xludf.DUMMYFUNCTION("""COMPUTED_VALUE"""),0.18181818181818182)</f>
        <v>0.1818181818</v>
      </c>
      <c r="H254" s="62">
        <f>IFERROR(__xludf.DUMMYFUNCTION("""COMPUTED_VALUE"""),7.0)</f>
        <v>7</v>
      </c>
      <c r="I254" s="62">
        <f>IFERROR(__xludf.DUMMYFUNCTION("""COMPUTED_VALUE"""),13.0)</f>
        <v>13</v>
      </c>
      <c r="J254" s="552">
        <f>IFERROR(__xludf.DUMMYFUNCTION("""COMPUTED_VALUE"""),870000.0)</f>
        <v>870000</v>
      </c>
      <c r="K254" s="62">
        <f>IFERROR(__xludf.DUMMYFUNCTION("""COMPUTED_VALUE"""),7.0)</f>
        <v>7</v>
      </c>
      <c r="L254" s="504">
        <f>IFERROR(__xludf.DUMMYFUNCTION("""COMPUTED_VALUE"""),0.05303030303030303)</f>
        <v>0.05303030303</v>
      </c>
      <c r="M254" s="504">
        <f>IFERROR(__xludf.DUMMYFUNCTION("""COMPUTED_VALUE"""),0.09848484848484848)</f>
        <v>0.09848484848</v>
      </c>
      <c r="N254" s="504">
        <f>IFERROR(__xludf.DUMMYFUNCTION("""COMPUTED_VALUE"""),1.8571428571428572)</f>
        <v>1.857142857</v>
      </c>
      <c r="O254" s="62"/>
      <c r="P254" s="62"/>
      <c r="Q254" s="62"/>
      <c r="R254" s="62"/>
      <c r="S254" s="62"/>
      <c r="T254" s="62"/>
      <c r="U254" s="62"/>
      <c r="V254" s="62"/>
      <c r="W254" s="62"/>
      <c r="X254" s="62"/>
      <c r="Y254" s="62"/>
      <c r="Z254" s="62"/>
    </row>
    <row r="255">
      <c r="A255" s="62" t="str">
        <f>IFERROR(__xludf.DUMMYFUNCTION("""COMPUTED_VALUE"""),"日付")</f>
        <v>日付</v>
      </c>
      <c r="B255" s="62" t="str">
        <f>IFERROR(__xludf.DUMMYFUNCTION("""COMPUTED_VALUE"""),"名前")</f>
        <v>名前</v>
      </c>
      <c r="C255" s="62" t="str">
        <f>IFERROR(__xludf.DUMMYFUNCTION("""COMPUTED_VALUE"""),"打電件数")</f>
        <v>打電件数</v>
      </c>
      <c r="D255" s="62" t="str">
        <f>IFERROR(__xludf.DUMMYFUNCTION("""COMPUTED_VALUE"""),"着電件数")</f>
        <v>着電件数</v>
      </c>
      <c r="E255" s="62" t="str">
        <f>IFERROR(__xludf.DUMMYFUNCTION("""COMPUTED_VALUE"""),"折り返し件数")</f>
        <v>折り返し件数</v>
      </c>
      <c r="F255" s="62" t="str">
        <f>IFERROR(__xludf.DUMMYFUNCTION("""COMPUTED_VALUE"""),"拒否")</f>
        <v>拒否</v>
      </c>
      <c r="G255" s="62" t="str">
        <f>IFERROR(__xludf.DUMMYFUNCTION("""COMPUTED_VALUE"""),"着電率")</f>
        <v>着電率</v>
      </c>
      <c r="H255" s="62" t="str">
        <f>IFERROR(__xludf.DUMMYFUNCTION("""COMPUTED_VALUE"""),"LINE登録")</f>
        <v>LINE登録</v>
      </c>
      <c r="I255" s="62" t="str">
        <f>IFERROR(__xludf.DUMMYFUNCTION("""COMPUTED_VALUE"""),"アカウント作成")</f>
        <v>アカウント作成</v>
      </c>
      <c r="J255" s="552" t="str">
        <f>IFERROR(__xludf.DUMMYFUNCTION("""COMPUTED_VALUE"""),"新規信用枠額")</f>
        <v>新規信用枠額</v>
      </c>
      <c r="K255" s="62" t="str">
        <f>IFERROR(__xludf.DUMMYFUNCTION("""COMPUTED_VALUE"""),"リスト死回線数")</f>
        <v>リスト死回線数</v>
      </c>
      <c r="L255" s="62" t="str">
        <f>IFERROR(__xludf.DUMMYFUNCTION("""COMPUTED_VALUE"""),"LINE率(打電から)")</f>
        <v>LINE率(打電から)</v>
      </c>
      <c r="M255" s="62" t="str">
        <f>IFERROR(__xludf.DUMMYFUNCTION("""COMPUTED_VALUE"""),"アカウント作成率(打電から)")</f>
        <v>アカウント作成率(打電から)</v>
      </c>
      <c r="N255" s="62" t="str">
        <f>IFERROR(__xludf.DUMMYFUNCTION("""COMPUTED_VALUE"""),"アカウント作成率(LINEから)")</f>
        <v>アカウント作成率(LINEから)</v>
      </c>
      <c r="O255" s="62" t="str">
        <f>IFERROR(__xludf.DUMMYFUNCTION("""COMPUTED_VALUE"""),"リスト名")</f>
        <v>リスト名</v>
      </c>
      <c r="P255" s="553" t="str">
        <f>IFERROR(__xludf.DUMMYFUNCTION("""COMPUTED_VALUE"""),"日本基準")</f>
        <v>日本基準</v>
      </c>
      <c r="Q255" s="62"/>
      <c r="R255" s="62"/>
      <c r="S255" s="62"/>
      <c r="T255" s="62"/>
      <c r="U255" s="62"/>
      <c r="V255" s="62"/>
      <c r="W255" s="62"/>
      <c r="X255" s="62"/>
      <c r="Y255" s="62"/>
      <c r="Z255" s="62"/>
    </row>
    <row r="256">
      <c r="A256" s="556">
        <f>IFERROR(__xludf.DUMMYFUNCTION("""COMPUTED_VALUE"""),45913.0)</f>
        <v>45913</v>
      </c>
      <c r="B256" s="62" t="str">
        <f>IFERROR(__xludf.DUMMYFUNCTION("""COMPUTED_VALUE"""),"あり")</f>
        <v>あり</v>
      </c>
      <c r="C256" s="62"/>
      <c r="D256" s="62"/>
      <c r="E256" s="62"/>
      <c r="F256" s="62"/>
      <c r="G256" s="504">
        <f>IFERROR(__xludf.DUMMYFUNCTION("""COMPUTED_VALUE"""),0.0)</f>
        <v>0</v>
      </c>
      <c r="H256" s="62">
        <f>IFERROR(__xludf.DUMMYFUNCTION("""COMPUTED_VALUE"""),7.0)</f>
        <v>7</v>
      </c>
      <c r="I256" s="62">
        <f>IFERROR(__xludf.DUMMYFUNCTION("""COMPUTED_VALUE"""),5.0)</f>
        <v>5</v>
      </c>
      <c r="J256" s="552">
        <f>IFERROR(__xludf.DUMMYFUNCTION("""COMPUTED_VALUE"""),200000.0)</f>
        <v>200000</v>
      </c>
      <c r="K256" s="62"/>
      <c r="L256" s="504">
        <f>IFERROR(__xludf.DUMMYFUNCTION("""COMPUTED_VALUE"""),0.0)</f>
        <v>0</v>
      </c>
      <c r="M256" s="504">
        <f>IFERROR(__xludf.DUMMYFUNCTION("""COMPUTED_VALUE"""),0.0)</f>
        <v>0</v>
      </c>
      <c r="N256" s="504">
        <f>IFERROR(__xludf.DUMMYFUNCTION("""COMPUTED_VALUE"""),0.7142857142857143)</f>
        <v>0.7142857143</v>
      </c>
      <c r="O256" s="62"/>
      <c r="P256" s="62"/>
      <c r="Q256" s="62"/>
      <c r="R256" s="62"/>
      <c r="S256" s="62"/>
      <c r="T256" s="62"/>
      <c r="U256" s="62"/>
      <c r="V256" s="62"/>
      <c r="W256" s="62"/>
      <c r="X256" s="62"/>
      <c r="Y256" s="62"/>
      <c r="Z256" s="62"/>
    </row>
    <row r="257">
      <c r="A257" s="62"/>
      <c r="B257" s="62" t="str">
        <f>IFERROR(__xludf.DUMMYFUNCTION("""COMPUTED_VALUE"""),"しょうま")</f>
        <v>しょうま</v>
      </c>
      <c r="C257" s="62">
        <f>IFERROR(__xludf.DUMMYFUNCTION("""COMPUTED_VALUE"""),81.0)</f>
        <v>81</v>
      </c>
      <c r="D257" s="62">
        <f>IFERROR(__xludf.DUMMYFUNCTION("""COMPUTED_VALUE"""),10.0)</f>
        <v>10</v>
      </c>
      <c r="E257" s="62">
        <f>IFERROR(__xludf.DUMMYFUNCTION("""COMPUTED_VALUE"""),1.0)</f>
        <v>1</v>
      </c>
      <c r="F257" s="62">
        <f>IFERROR(__xludf.DUMMYFUNCTION("""COMPUTED_VALUE"""),7.0)</f>
        <v>7</v>
      </c>
      <c r="G257" s="504">
        <f>IFERROR(__xludf.DUMMYFUNCTION("""COMPUTED_VALUE"""),0.12345679012345678)</f>
        <v>0.1234567901</v>
      </c>
      <c r="H257" s="62">
        <f>IFERROR(__xludf.DUMMYFUNCTION("""COMPUTED_VALUE"""),5.0)</f>
        <v>5</v>
      </c>
      <c r="I257" s="62">
        <f>IFERROR(__xludf.DUMMYFUNCTION("""COMPUTED_VALUE"""),5.0)</f>
        <v>5</v>
      </c>
      <c r="J257" s="552">
        <f>IFERROR(__xludf.DUMMYFUNCTION("""COMPUTED_VALUE"""),240000.0)</f>
        <v>240000</v>
      </c>
      <c r="K257" s="62">
        <f>IFERROR(__xludf.DUMMYFUNCTION("""COMPUTED_VALUE"""),1.0)</f>
        <v>1</v>
      </c>
      <c r="L257" s="504">
        <f>IFERROR(__xludf.DUMMYFUNCTION("""COMPUTED_VALUE"""),0.06172839506172839)</f>
        <v>0.06172839506</v>
      </c>
      <c r="M257" s="504">
        <f>IFERROR(__xludf.DUMMYFUNCTION("""COMPUTED_VALUE"""),0.06172839506172839)</f>
        <v>0.06172839506</v>
      </c>
      <c r="N257" s="504">
        <f>IFERROR(__xludf.DUMMYFUNCTION("""COMPUTED_VALUE"""),1.0)</f>
        <v>1</v>
      </c>
      <c r="O257" s="62" t="str">
        <f>IFERROR(__xludf.DUMMYFUNCTION("""COMPUTED_VALUE"""),"リストE")</f>
        <v>リストE</v>
      </c>
      <c r="P257" s="553" t="str">
        <f>IFERROR(__xludf.DUMMYFUNCTION("""COMPUTED_VALUE"""),"平日")</f>
        <v>平日</v>
      </c>
      <c r="Q257" s="62"/>
      <c r="R257" s="62"/>
      <c r="S257" s="62"/>
      <c r="T257" s="62"/>
      <c r="U257" s="62"/>
      <c r="V257" s="62"/>
      <c r="W257" s="62"/>
      <c r="X257" s="62"/>
      <c r="Y257" s="62"/>
      <c r="Z257" s="62"/>
    </row>
    <row r="258">
      <c r="A258" s="62"/>
      <c r="B258" s="62"/>
      <c r="C258" s="62"/>
      <c r="D258" s="62"/>
      <c r="E258" s="62"/>
      <c r="F258" s="62"/>
      <c r="G258" s="504">
        <f>IFERROR(__xludf.DUMMYFUNCTION("""COMPUTED_VALUE"""),0.0)</f>
        <v>0</v>
      </c>
      <c r="H258" s="62"/>
      <c r="I258" s="62"/>
      <c r="J258" s="62"/>
      <c r="K258" s="62"/>
      <c r="L258" s="504">
        <f>IFERROR(__xludf.DUMMYFUNCTION("""COMPUTED_VALUE"""),0.0)</f>
        <v>0</v>
      </c>
      <c r="M258" s="504">
        <f>IFERROR(__xludf.DUMMYFUNCTION("""COMPUTED_VALUE"""),0.0)</f>
        <v>0</v>
      </c>
      <c r="N258" s="504">
        <f>IFERROR(__xludf.DUMMYFUNCTION("""COMPUTED_VALUE"""),0.0)</f>
        <v>0</v>
      </c>
      <c r="O258" s="62"/>
      <c r="P258" s="62"/>
      <c r="Q258" s="62"/>
      <c r="R258" s="62"/>
      <c r="S258" s="62"/>
      <c r="T258" s="62"/>
      <c r="U258" s="62"/>
      <c r="V258" s="62"/>
      <c r="W258" s="62"/>
      <c r="X258" s="62"/>
      <c r="Y258" s="62"/>
      <c r="Z258" s="62"/>
    </row>
    <row r="259">
      <c r="A259" s="62"/>
      <c r="B259" s="62" t="str">
        <f>IFERROR(__xludf.DUMMYFUNCTION("""COMPUTED_VALUE"""),"ジョーナ")</f>
        <v>ジョーナ</v>
      </c>
      <c r="C259" s="62"/>
      <c r="D259" s="62"/>
      <c r="E259" s="62"/>
      <c r="F259" s="62"/>
      <c r="G259" s="504">
        <f>IFERROR(__xludf.DUMMYFUNCTION("""COMPUTED_VALUE"""),0.0)</f>
        <v>0</v>
      </c>
      <c r="H259" s="62"/>
      <c r="I259" s="62"/>
      <c r="J259" s="62"/>
      <c r="K259" s="62"/>
      <c r="L259" s="504">
        <f>IFERROR(__xludf.DUMMYFUNCTION("""COMPUTED_VALUE"""),0.0)</f>
        <v>0</v>
      </c>
      <c r="M259" s="504">
        <f>IFERROR(__xludf.DUMMYFUNCTION("""COMPUTED_VALUE"""),0.0)</f>
        <v>0</v>
      </c>
      <c r="N259" s="504">
        <f>IFERROR(__xludf.DUMMYFUNCTION("""COMPUTED_VALUE"""),0.0)</f>
        <v>0</v>
      </c>
      <c r="O259" s="62"/>
      <c r="P259" s="62"/>
      <c r="Q259" s="62"/>
      <c r="R259" s="62"/>
      <c r="S259" s="62"/>
      <c r="T259" s="62"/>
      <c r="U259" s="62"/>
      <c r="V259" s="62"/>
      <c r="W259" s="62"/>
      <c r="X259" s="62"/>
      <c r="Y259" s="62"/>
      <c r="Z259" s="62"/>
    </row>
    <row r="260">
      <c r="A260" s="62"/>
      <c r="B260" s="62" t="str">
        <f>IFERROR(__xludf.DUMMYFUNCTION("""COMPUTED_VALUE"""),"武田")</f>
        <v>武田</v>
      </c>
      <c r="C260" s="62"/>
      <c r="D260" s="62"/>
      <c r="E260" s="62"/>
      <c r="F260" s="62"/>
      <c r="G260" s="504">
        <f>IFERROR(__xludf.DUMMYFUNCTION("""COMPUTED_VALUE"""),0.0)</f>
        <v>0</v>
      </c>
      <c r="H260" s="62"/>
      <c r="I260" s="62"/>
      <c r="J260" s="62"/>
      <c r="K260" s="62"/>
      <c r="L260" s="504">
        <f>IFERROR(__xludf.DUMMYFUNCTION("""COMPUTED_VALUE"""),0.0)</f>
        <v>0</v>
      </c>
      <c r="M260" s="504">
        <f>IFERROR(__xludf.DUMMYFUNCTION("""COMPUTED_VALUE"""),0.0)</f>
        <v>0</v>
      </c>
      <c r="N260" s="504">
        <f>IFERROR(__xludf.DUMMYFUNCTION("""COMPUTED_VALUE"""),0.0)</f>
        <v>0</v>
      </c>
      <c r="O260" s="62"/>
      <c r="P260" s="62"/>
      <c r="Q260" s="62"/>
      <c r="R260" s="62"/>
      <c r="S260" s="62"/>
      <c r="T260" s="62"/>
      <c r="U260" s="62"/>
      <c r="V260" s="62"/>
      <c r="W260" s="62"/>
      <c r="X260" s="62"/>
      <c r="Y260" s="62"/>
      <c r="Z260" s="62"/>
    </row>
    <row r="261">
      <c r="A261" s="62"/>
      <c r="B261" s="62" t="str">
        <f>IFERROR(__xludf.DUMMYFUNCTION("""COMPUTED_VALUE"""),"高木")</f>
        <v>高木</v>
      </c>
      <c r="C261" s="62">
        <f>IFERROR(__xludf.DUMMYFUNCTION("""COMPUTED_VALUE"""),91.0)</f>
        <v>91</v>
      </c>
      <c r="D261" s="62">
        <f>IFERROR(__xludf.DUMMYFUNCTION("""COMPUTED_VALUE"""),14.0)</f>
        <v>14</v>
      </c>
      <c r="E261" s="62">
        <f>IFERROR(__xludf.DUMMYFUNCTION("""COMPUTED_VALUE"""),1.0)</f>
        <v>1</v>
      </c>
      <c r="F261" s="62">
        <f>IFERROR(__xludf.DUMMYFUNCTION("""COMPUTED_VALUE"""),12.0)</f>
        <v>12</v>
      </c>
      <c r="G261" s="504">
        <f>IFERROR(__xludf.DUMMYFUNCTION("""COMPUTED_VALUE"""),0.15384615384615385)</f>
        <v>0.1538461538</v>
      </c>
      <c r="H261" s="62">
        <f>IFERROR(__xludf.DUMMYFUNCTION("""COMPUTED_VALUE"""),3.0)</f>
        <v>3</v>
      </c>
      <c r="I261" s="62">
        <f>IFERROR(__xludf.DUMMYFUNCTION("""COMPUTED_VALUE"""),3.0)</f>
        <v>3</v>
      </c>
      <c r="J261" s="552">
        <f>IFERROR(__xludf.DUMMYFUNCTION("""COMPUTED_VALUE"""),180000.0)</f>
        <v>180000</v>
      </c>
      <c r="K261" s="62">
        <f>IFERROR(__xludf.DUMMYFUNCTION("""COMPUTED_VALUE"""),4.0)</f>
        <v>4</v>
      </c>
      <c r="L261" s="504">
        <f>IFERROR(__xludf.DUMMYFUNCTION("""COMPUTED_VALUE"""),0.03296703296703297)</f>
        <v>0.03296703297</v>
      </c>
      <c r="M261" s="504">
        <f>IFERROR(__xludf.DUMMYFUNCTION("""COMPUTED_VALUE"""),0.03296703296703297)</f>
        <v>0.03296703297</v>
      </c>
      <c r="N261" s="504">
        <f>IFERROR(__xludf.DUMMYFUNCTION("""COMPUTED_VALUE"""),1.0)</f>
        <v>1</v>
      </c>
      <c r="O261" s="62"/>
      <c r="P261" s="62"/>
      <c r="Q261" s="62"/>
      <c r="R261" s="62"/>
      <c r="S261" s="62"/>
      <c r="T261" s="62"/>
      <c r="U261" s="62"/>
      <c r="V261" s="62"/>
      <c r="W261" s="62"/>
      <c r="X261" s="62"/>
      <c r="Y261" s="62"/>
      <c r="Z261" s="62"/>
    </row>
    <row r="262">
      <c r="A262" s="62"/>
      <c r="B262" s="62"/>
      <c r="C262" s="62"/>
      <c r="D262" s="62"/>
      <c r="E262" s="62"/>
      <c r="F262" s="62"/>
      <c r="G262" s="504">
        <f>IFERROR(__xludf.DUMMYFUNCTION("""COMPUTED_VALUE"""),0.0)</f>
        <v>0</v>
      </c>
      <c r="H262" s="62"/>
      <c r="I262" s="62"/>
      <c r="J262" s="62"/>
      <c r="K262" s="62"/>
      <c r="L262" s="504">
        <f>IFERROR(__xludf.DUMMYFUNCTION("""COMPUTED_VALUE"""),0.0)</f>
        <v>0</v>
      </c>
      <c r="M262" s="504">
        <f>IFERROR(__xludf.DUMMYFUNCTION("""COMPUTED_VALUE"""),0.0)</f>
        <v>0</v>
      </c>
      <c r="N262" s="504">
        <f>IFERROR(__xludf.DUMMYFUNCTION("""COMPUTED_VALUE"""),0.0)</f>
        <v>0</v>
      </c>
      <c r="O262" s="62"/>
      <c r="P262" s="62"/>
      <c r="Q262" s="62"/>
      <c r="R262" s="62"/>
      <c r="S262" s="62"/>
      <c r="T262" s="62"/>
      <c r="U262" s="62"/>
      <c r="V262" s="62"/>
      <c r="W262" s="62"/>
      <c r="X262" s="62"/>
      <c r="Y262" s="62"/>
      <c r="Z262" s="62"/>
    </row>
    <row r="263">
      <c r="A263" s="62"/>
      <c r="B263" s="62" t="str">
        <f>IFERROR(__xludf.DUMMYFUNCTION("""COMPUTED_VALUE"""),"大谷")</f>
        <v>大谷</v>
      </c>
      <c r="C263" s="62"/>
      <c r="D263" s="62"/>
      <c r="E263" s="62"/>
      <c r="F263" s="62"/>
      <c r="G263" s="504">
        <f>IFERROR(__xludf.DUMMYFUNCTION("""COMPUTED_VALUE"""),0.0)</f>
        <v>0</v>
      </c>
      <c r="H263" s="62"/>
      <c r="I263" s="62"/>
      <c r="J263" s="62"/>
      <c r="K263" s="62"/>
      <c r="L263" s="504">
        <f>IFERROR(__xludf.DUMMYFUNCTION("""COMPUTED_VALUE"""),0.0)</f>
        <v>0</v>
      </c>
      <c r="M263" s="504">
        <f>IFERROR(__xludf.DUMMYFUNCTION("""COMPUTED_VALUE"""),0.0)</f>
        <v>0</v>
      </c>
      <c r="N263" s="504">
        <f>IFERROR(__xludf.DUMMYFUNCTION("""COMPUTED_VALUE"""),0.0)</f>
        <v>0</v>
      </c>
      <c r="O263" s="62"/>
      <c r="P263" s="62"/>
      <c r="Q263" s="62"/>
      <c r="R263" s="62"/>
      <c r="S263" s="62"/>
      <c r="T263" s="62"/>
      <c r="U263" s="62"/>
      <c r="V263" s="62"/>
      <c r="W263" s="62"/>
      <c r="X263" s="62"/>
      <c r="Y263" s="62"/>
      <c r="Z263" s="62"/>
    </row>
    <row r="264">
      <c r="A264" s="62"/>
      <c r="B264" s="62"/>
      <c r="C264" s="62"/>
      <c r="D264" s="62"/>
      <c r="E264" s="62"/>
      <c r="F264" s="62"/>
      <c r="G264" s="504">
        <f>IFERROR(__xludf.DUMMYFUNCTION("""COMPUTED_VALUE"""),0.0)</f>
        <v>0</v>
      </c>
      <c r="H264" s="62"/>
      <c r="I264" s="62"/>
      <c r="J264" s="62"/>
      <c r="K264" s="62"/>
      <c r="L264" s="504">
        <f>IFERROR(__xludf.DUMMYFUNCTION("""COMPUTED_VALUE"""),0.0)</f>
        <v>0</v>
      </c>
      <c r="M264" s="504">
        <f>IFERROR(__xludf.DUMMYFUNCTION("""COMPUTED_VALUE"""),0.0)</f>
        <v>0</v>
      </c>
      <c r="N264" s="504">
        <f>IFERROR(__xludf.DUMMYFUNCTION("""COMPUTED_VALUE"""),0.0)</f>
        <v>0</v>
      </c>
      <c r="O264" s="62"/>
      <c r="P264" s="62"/>
      <c r="Q264" s="62"/>
      <c r="R264" s="62"/>
      <c r="S264" s="62"/>
      <c r="T264" s="62"/>
      <c r="U264" s="62"/>
      <c r="V264" s="62"/>
      <c r="W264" s="62"/>
      <c r="X264" s="62"/>
      <c r="Y264" s="62"/>
      <c r="Z264" s="62"/>
    </row>
    <row r="265">
      <c r="A265" s="62"/>
      <c r="B265" s="62" t="str">
        <f>IFERROR(__xludf.DUMMYFUNCTION("""COMPUTED_VALUE"""),"森")</f>
        <v>森</v>
      </c>
      <c r="C265" s="62"/>
      <c r="D265" s="62"/>
      <c r="E265" s="62"/>
      <c r="F265" s="62"/>
      <c r="G265" s="504">
        <f>IFERROR(__xludf.DUMMYFUNCTION("""COMPUTED_VALUE"""),0.0)</f>
        <v>0</v>
      </c>
      <c r="H265" s="62"/>
      <c r="I265" s="62"/>
      <c r="J265" s="62"/>
      <c r="K265" s="62"/>
      <c r="L265" s="504">
        <f>IFERROR(__xludf.DUMMYFUNCTION("""COMPUTED_VALUE"""),0.0)</f>
        <v>0</v>
      </c>
      <c r="M265" s="504">
        <f>IFERROR(__xludf.DUMMYFUNCTION("""COMPUTED_VALUE"""),0.0)</f>
        <v>0</v>
      </c>
      <c r="N265" s="504">
        <f>IFERROR(__xludf.DUMMYFUNCTION("""COMPUTED_VALUE"""),0.0)</f>
        <v>0</v>
      </c>
      <c r="O265" s="62"/>
      <c r="P265" s="62"/>
      <c r="Q265" s="62"/>
      <c r="R265" s="62"/>
      <c r="S265" s="62"/>
      <c r="T265" s="62"/>
      <c r="U265" s="62"/>
      <c r="V265" s="62"/>
      <c r="W265" s="62"/>
      <c r="X265" s="62"/>
      <c r="Y265" s="62"/>
      <c r="Z265" s="62"/>
    </row>
    <row r="266">
      <c r="A266" s="62"/>
      <c r="B266" s="62"/>
      <c r="C266" s="62"/>
      <c r="D266" s="62"/>
      <c r="E266" s="62"/>
      <c r="F266" s="62"/>
      <c r="G266" s="504">
        <f>IFERROR(__xludf.DUMMYFUNCTION("""COMPUTED_VALUE"""),0.0)</f>
        <v>0</v>
      </c>
      <c r="H266" s="62"/>
      <c r="I266" s="62"/>
      <c r="J266" s="62"/>
      <c r="K266" s="62"/>
      <c r="L266" s="504">
        <f>IFERROR(__xludf.DUMMYFUNCTION("""COMPUTED_VALUE"""),0.0)</f>
        <v>0</v>
      </c>
      <c r="M266" s="504">
        <f>IFERROR(__xludf.DUMMYFUNCTION("""COMPUTED_VALUE"""),0.0)</f>
        <v>0</v>
      </c>
      <c r="N266" s="504">
        <f>IFERROR(__xludf.DUMMYFUNCTION("""COMPUTED_VALUE"""),0.0)</f>
        <v>0</v>
      </c>
      <c r="O266" s="62"/>
      <c r="P266" s="62"/>
      <c r="Q266" s="62"/>
      <c r="R266" s="62"/>
      <c r="S266" s="62"/>
      <c r="T266" s="62"/>
      <c r="U266" s="62"/>
      <c r="V266" s="62"/>
      <c r="W266" s="62"/>
      <c r="X266" s="62"/>
      <c r="Y266" s="62"/>
      <c r="Z266" s="62"/>
    </row>
    <row r="267">
      <c r="A267" s="62"/>
      <c r="B267" s="62" t="str">
        <f>IFERROR(__xludf.DUMMYFUNCTION("""COMPUTED_VALUE"""),"金子")</f>
        <v>金子</v>
      </c>
      <c r="C267" s="62"/>
      <c r="D267" s="62"/>
      <c r="E267" s="62"/>
      <c r="F267" s="62"/>
      <c r="G267" s="504">
        <f>IFERROR(__xludf.DUMMYFUNCTION("""COMPUTED_VALUE"""),0.0)</f>
        <v>0</v>
      </c>
      <c r="H267" s="62"/>
      <c r="I267" s="62"/>
      <c r="J267" s="62"/>
      <c r="K267" s="62"/>
      <c r="L267" s="504">
        <f>IFERROR(__xludf.DUMMYFUNCTION("""COMPUTED_VALUE"""),0.0)</f>
        <v>0</v>
      </c>
      <c r="M267" s="504">
        <f>IFERROR(__xludf.DUMMYFUNCTION("""COMPUTED_VALUE"""),0.0)</f>
        <v>0</v>
      </c>
      <c r="N267" s="504">
        <f>IFERROR(__xludf.DUMMYFUNCTION("""COMPUTED_VALUE"""),0.0)</f>
        <v>0</v>
      </c>
      <c r="O267" s="62"/>
      <c r="P267" s="62"/>
      <c r="Q267" s="62"/>
      <c r="R267" s="62"/>
      <c r="S267" s="62"/>
      <c r="T267" s="62"/>
      <c r="U267" s="62"/>
      <c r="V267" s="62"/>
      <c r="W267" s="62"/>
      <c r="X267" s="62"/>
      <c r="Y267" s="62"/>
      <c r="Z267" s="62"/>
    </row>
    <row r="268">
      <c r="A268" s="62"/>
      <c r="B268" s="62"/>
      <c r="C268" s="62"/>
      <c r="D268" s="62"/>
      <c r="E268" s="62"/>
      <c r="F268" s="62"/>
      <c r="G268" s="504">
        <f>IFERROR(__xludf.DUMMYFUNCTION("""COMPUTED_VALUE"""),0.0)</f>
        <v>0</v>
      </c>
      <c r="H268" s="62"/>
      <c r="I268" s="62"/>
      <c r="J268" s="62"/>
      <c r="K268" s="62"/>
      <c r="L268" s="504">
        <f>IFERROR(__xludf.DUMMYFUNCTION("""COMPUTED_VALUE"""),0.0)</f>
        <v>0</v>
      </c>
      <c r="M268" s="504">
        <f>IFERROR(__xludf.DUMMYFUNCTION("""COMPUTED_VALUE"""),0.0)</f>
        <v>0</v>
      </c>
      <c r="N268" s="504">
        <f>IFERROR(__xludf.DUMMYFUNCTION("""COMPUTED_VALUE"""),0.0)</f>
        <v>0</v>
      </c>
      <c r="O268" s="62"/>
      <c r="P268" s="62"/>
      <c r="Q268" s="62"/>
      <c r="R268" s="62"/>
      <c r="S268" s="62"/>
      <c r="T268" s="62"/>
      <c r="U268" s="62"/>
      <c r="V268" s="62"/>
      <c r="W268" s="62"/>
      <c r="X268" s="62"/>
      <c r="Y268" s="62"/>
      <c r="Z268" s="62"/>
    </row>
    <row r="269">
      <c r="A269" s="62"/>
      <c r="B269" s="552" t="str">
        <f>IFERROR(__xludf.DUMMYFUNCTION("""COMPUTED_VALUE"""),"SMS")</f>
        <v>SMS</v>
      </c>
      <c r="C269" s="62"/>
      <c r="D269" s="62"/>
      <c r="E269" s="62"/>
      <c r="F269" s="62"/>
      <c r="G269" s="504">
        <f>IFERROR(__xludf.DUMMYFUNCTION("""COMPUTED_VALUE"""),0.0)</f>
        <v>0</v>
      </c>
      <c r="H269" s="62"/>
      <c r="I269" s="62">
        <f>IFERROR(__xludf.DUMMYFUNCTION("""COMPUTED_VALUE"""),1.0)</f>
        <v>1</v>
      </c>
      <c r="J269" s="552">
        <f>IFERROR(__xludf.DUMMYFUNCTION("""COMPUTED_VALUE"""),50000.0)</f>
        <v>50000</v>
      </c>
      <c r="K269" s="62"/>
      <c r="L269" s="504">
        <f>IFERROR(__xludf.DUMMYFUNCTION("""COMPUTED_VALUE"""),0.0)</f>
        <v>0</v>
      </c>
      <c r="M269" s="504">
        <f>IFERROR(__xludf.DUMMYFUNCTION("""COMPUTED_VALUE"""),0.0)</f>
        <v>0</v>
      </c>
      <c r="N269" s="504">
        <f>IFERROR(__xludf.DUMMYFUNCTION("""COMPUTED_VALUE"""),0.0)</f>
        <v>0</v>
      </c>
      <c r="O269" s="62"/>
      <c r="P269" s="62"/>
      <c r="Q269" s="62"/>
      <c r="R269" s="62"/>
      <c r="S269" s="62"/>
      <c r="T269" s="62"/>
      <c r="U269" s="62"/>
      <c r="V269" s="62"/>
      <c r="W269" s="62"/>
      <c r="X269" s="62"/>
      <c r="Y269" s="62"/>
      <c r="Z269" s="62"/>
    </row>
    <row r="270">
      <c r="A270" s="62"/>
      <c r="B270" s="62" t="str">
        <f>IFERROR(__xludf.DUMMYFUNCTION("""COMPUTED_VALUE"""),"紹介")</f>
        <v>紹介</v>
      </c>
      <c r="C270" s="62"/>
      <c r="D270" s="62"/>
      <c r="E270" s="62"/>
      <c r="F270" s="62"/>
      <c r="G270" s="504">
        <f>IFERROR(__xludf.DUMMYFUNCTION("""COMPUTED_VALUE"""),0.0)</f>
        <v>0</v>
      </c>
      <c r="H270" s="62"/>
      <c r="I270" s="62"/>
      <c r="J270" s="62"/>
      <c r="K270" s="62"/>
      <c r="L270" s="504">
        <f>IFERROR(__xludf.DUMMYFUNCTION("""COMPUTED_VALUE"""),0.0)</f>
        <v>0</v>
      </c>
      <c r="M270" s="504">
        <f>IFERROR(__xludf.DUMMYFUNCTION("""COMPUTED_VALUE"""),0.0)</f>
        <v>0</v>
      </c>
      <c r="N270" s="504">
        <f>IFERROR(__xludf.DUMMYFUNCTION("""COMPUTED_VALUE"""),0.0)</f>
        <v>0</v>
      </c>
      <c r="O270" s="62"/>
      <c r="P270" s="62"/>
      <c r="Q270" s="62"/>
      <c r="R270" s="62"/>
      <c r="S270" s="62"/>
      <c r="T270" s="62"/>
      <c r="U270" s="62"/>
      <c r="V270" s="62"/>
      <c r="W270" s="62"/>
      <c r="X270" s="62"/>
      <c r="Y270" s="62"/>
      <c r="Z270" s="62"/>
    </row>
    <row r="271">
      <c r="A271" s="62"/>
      <c r="B271" s="62" t="str">
        <f>IFERROR(__xludf.DUMMYFUNCTION("""COMPUTED_VALUE"""),"仁子")</f>
        <v>仁子</v>
      </c>
      <c r="C271" s="62"/>
      <c r="D271" s="62"/>
      <c r="E271" s="62"/>
      <c r="F271" s="62"/>
      <c r="G271" s="504">
        <f>IFERROR(__xludf.DUMMYFUNCTION("""COMPUTED_VALUE"""),0.0)</f>
        <v>0</v>
      </c>
      <c r="H271" s="62"/>
      <c r="I271" s="62">
        <f>IFERROR(__xludf.DUMMYFUNCTION("""COMPUTED_VALUE"""),1.0)</f>
        <v>1</v>
      </c>
      <c r="J271" s="552">
        <f>IFERROR(__xludf.DUMMYFUNCTION("""COMPUTED_VALUE"""),100000.0)</f>
        <v>100000</v>
      </c>
      <c r="K271" s="62"/>
      <c r="L271" s="504">
        <f>IFERROR(__xludf.DUMMYFUNCTION("""COMPUTED_VALUE"""),0.0)</f>
        <v>0</v>
      </c>
      <c r="M271" s="504">
        <f>IFERROR(__xludf.DUMMYFUNCTION("""COMPUTED_VALUE"""),0.0)</f>
        <v>0</v>
      </c>
      <c r="N271" s="504">
        <f>IFERROR(__xludf.DUMMYFUNCTION("""COMPUTED_VALUE"""),0.0)</f>
        <v>0</v>
      </c>
      <c r="O271" s="62"/>
      <c r="P271" s="62"/>
      <c r="Q271" s="62"/>
      <c r="R271" s="62"/>
      <c r="S271" s="62"/>
      <c r="T271" s="62"/>
      <c r="U271" s="62"/>
      <c r="V271" s="62"/>
      <c r="W271" s="62"/>
      <c r="X271" s="62"/>
      <c r="Y271" s="62"/>
      <c r="Z271" s="62"/>
    </row>
    <row r="272">
      <c r="A272" s="62"/>
      <c r="B272" s="62" t="str">
        <f>IFERROR(__xludf.DUMMYFUNCTION("""COMPUTED_VALUE"""),"鈴木")</f>
        <v>鈴木</v>
      </c>
      <c r="C272" s="62"/>
      <c r="D272" s="62"/>
      <c r="E272" s="62"/>
      <c r="F272" s="62"/>
      <c r="G272" s="504">
        <f>IFERROR(__xludf.DUMMYFUNCTION("""COMPUTED_VALUE"""),0.0)</f>
        <v>0</v>
      </c>
      <c r="H272" s="62"/>
      <c r="I272" s="62"/>
      <c r="J272" s="62"/>
      <c r="K272" s="62"/>
      <c r="L272" s="504">
        <f>IFERROR(__xludf.DUMMYFUNCTION("""COMPUTED_VALUE"""),0.0)</f>
        <v>0</v>
      </c>
      <c r="M272" s="504">
        <f>IFERROR(__xludf.DUMMYFUNCTION("""COMPUTED_VALUE"""),0.0)</f>
        <v>0</v>
      </c>
      <c r="N272" s="504">
        <f>IFERROR(__xludf.DUMMYFUNCTION("""COMPUTED_VALUE"""),0.0)</f>
        <v>0</v>
      </c>
      <c r="O272" s="62"/>
      <c r="P272" s="62"/>
      <c r="Q272" s="62"/>
      <c r="R272" s="62"/>
      <c r="S272" s="62"/>
      <c r="T272" s="62"/>
      <c r="U272" s="62"/>
      <c r="V272" s="62"/>
      <c r="W272" s="62"/>
      <c r="X272" s="62"/>
      <c r="Y272" s="62"/>
      <c r="Z272" s="62"/>
    </row>
    <row r="273">
      <c r="A273" s="62"/>
      <c r="B273" s="62" t="str">
        <f>IFERROR(__xludf.DUMMYFUNCTION("""COMPUTED_VALUE"""),"仲間")</f>
        <v>仲間</v>
      </c>
      <c r="C273" s="62">
        <f>IFERROR(__xludf.DUMMYFUNCTION("""COMPUTED_VALUE"""),45.0)</f>
        <v>45</v>
      </c>
      <c r="D273" s="62">
        <f>IFERROR(__xludf.DUMMYFUNCTION("""COMPUTED_VALUE"""),16.0)</f>
        <v>16</v>
      </c>
      <c r="E273" s="62"/>
      <c r="F273" s="62">
        <f>IFERROR(__xludf.DUMMYFUNCTION("""COMPUTED_VALUE"""),14.0)</f>
        <v>14</v>
      </c>
      <c r="G273" s="504">
        <f>IFERROR(__xludf.DUMMYFUNCTION("""COMPUTED_VALUE"""),0.35555555555555557)</f>
        <v>0.3555555556</v>
      </c>
      <c r="H273" s="62">
        <f>IFERROR(__xludf.DUMMYFUNCTION("""COMPUTED_VALUE"""),1.0)</f>
        <v>1</v>
      </c>
      <c r="I273" s="62">
        <f>IFERROR(__xludf.DUMMYFUNCTION("""COMPUTED_VALUE"""),1.0)</f>
        <v>1</v>
      </c>
      <c r="J273" s="552">
        <f>IFERROR(__xludf.DUMMYFUNCTION("""COMPUTED_VALUE"""),100000.0)</f>
        <v>100000</v>
      </c>
      <c r="K273" s="62"/>
      <c r="L273" s="504">
        <f>IFERROR(__xludf.DUMMYFUNCTION("""COMPUTED_VALUE"""),0.022222222222222223)</f>
        <v>0.02222222222</v>
      </c>
      <c r="M273" s="504">
        <f>IFERROR(__xludf.DUMMYFUNCTION("""COMPUTED_VALUE"""),0.022222222222222223)</f>
        <v>0.02222222222</v>
      </c>
      <c r="N273" s="504">
        <f>IFERROR(__xludf.DUMMYFUNCTION("""COMPUTED_VALUE"""),1.0)</f>
        <v>1</v>
      </c>
      <c r="O273" s="62" t="str">
        <f>IFERROR(__xludf.DUMMYFUNCTION("""COMPUTED_VALUE"""),"リストE")</f>
        <v>リストE</v>
      </c>
      <c r="P273" s="553" t="str">
        <f>IFERROR(__xludf.DUMMYFUNCTION("""COMPUTED_VALUE"""),"平日")</f>
        <v>平日</v>
      </c>
      <c r="Q273" s="62"/>
      <c r="R273" s="62"/>
      <c r="S273" s="62"/>
      <c r="T273" s="62"/>
      <c r="U273" s="62"/>
      <c r="V273" s="62"/>
      <c r="W273" s="62"/>
      <c r="X273" s="62"/>
      <c r="Y273" s="62"/>
      <c r="Z273" s="62"/>
    </row>
    <row r="274">
      <c r="A274" s="62"/>
      <c r="B274" s="62"/>
      <c r="C274" s="62"/>
      <c r="D274" s="62"/>
      <c r="E274" s="62"/>
      <c r="F274" s="62"/>
      <c r="G274" s="504">
        <f>IFERROR(__xludf.DUMMYFUNCTION("""COMPUTED_VALUE"""),0.0)</f>
        <v>0</v>
      </c>
      <c r="H274" s="62"/>
      <c r="I274" s="62"/>
      <c r="J274" s="62"/>
      <c r="K274" s="62"/>
      <c r="L274" s="504">
        <f>IFERROR(__xludf.DUMMYFUNCTION("""COMPUTED_VALUE"""),0.0)</f>
        <v>0</v>
      </c>
      <c r="M274" s="504">
        <f>IFERROR(__xludf.DUMMYFUNCTION("""COMPUTED_VALUE"""),0.0)</f>
        <v>0</v>
      </c>
      <c r="N274" s="504">
        <f>IFERROR(__xludf.DUMMYFUNCTION("""COMPUTED_VALUE"""),0.0)</f>
        <v>0</v>
      </c>
      <c r="O274" s="62"/>
      <c r="P274" s="62"/>
      <c r="Q274" s="62"/>
      <c r="R274" s="62"/>
      <c r="S274" s="62"/>
      <c r="T274" s="62"/>
      <c r="U274" s="62"/>
      <c r="V274" s="62"/>
      <c r="W274" s="62"/>
      <c r="X274" s="62"/>
      <c r="Y274" s="62"/>
      <c r="Z274" s="62"/>
    </row>
    <row r="275">
      <c r="A275" s="62"/>
      <c r="B275" s="62" t="str">
        <f>IFERROR(__xludf.DUMMYFUNCTION("""COMPUTED_VALUE"""),"合計")</f>
        <v>合計</v>
      </c>
      <c r="C275" s="62">
        <f>IFERROR(__xludf.DUMMYFUNCTION("""COMPUTED_VALUE"""),217.0)</f>
        <v>217</v>
      </c>
      <c r="D275" s="62">
        <f>IFERROR(__xludf.DUMMYFUNCTION("""COMPUTED_VALUE"""),40.0)</f>
        <v>40</v>
      </c>
      <c r="E275" s="62">
        <f>IFERROR(__xludf.DUMMYFUNCTION("""COMPUTED_VALUE"""),2.0)</f>
        <v>2</v>
      </c>
      <c r="F275" s="62">
        <f>IFERROR(__xludf.DUMMYFUNCTION("""COMPUTED_VALUE"""),33.0)</f>
        <v>33</v>
      </c>
      <c r="G275" s="504">
        <f>IFERROR(__xludf.DUMMYFUNCTION("""COMPUTED_VALUE"""),0.18433179723502305)</f>
        <v>0.1843317972</v>
      </c>
      <c r="H275" s="62">
        <f>IFERROR(__xludf.DUMMYFUNCTION("""COMPUTED_VALUE"""),16.0)</f>
        <v>16</v>
      </c>
      <c r="I275" s="62">
        <f>IFERROR(__xludf.DUMMYFUNCTION("""COMPUTED_VALUE"""),16.0)</f>
        <v>16</v>
      </c>
      <c r="J275" s="552">
        <f>IFERROR(__xludf.DUMMYFUNCTION("""COMPUTED_VALUE"""),870000.0)</f>
        <v>870000</v>
      </c>
      <c r="K275" s="62">
        <f>IFERROR(__xludf.DUMMYFUNCTION("""COMPUTED_VALUE"""),5.0)</f>
        <v>5</v>
      </c>
      <c r="L275" s="504">
        <f>IFERROR(__xludf.DUMMYFUNCTION("""COMPUTED_VALUE"""),0.07373271889400922)</f>
        <v>0.07373271889</v>
      </c>
      <c r="M275" s="504">
        <f>IFERROR(__xludf.DUMMYFUNCTION("""COMPUTED_VALUE"""),0.07373271889400922)</f>
        <v>0.07373271889</v>
      </c>
      <c r="N275" s="504">
        <f>IFERROR(__xludf.DUMMYFUNCTION("""COMPUTED_VALUE"""),1.0)</f>
        <v>1</v>
      </c>
      <c r="O275" s="62"/>
      <c r="P275" s="62"/>
      <c r="Q275" s="62"/>
      <c r="R275" s="62"/>
      <c r="S275" s="62"/>
      <c r="T275" s="62"/>
      <c r="U275" s="62"/>
      <c r="V275" s="62"/>
      <c r="W275" s="62"/>
      <c r="X275" s="62"/>
      <c r="Y275" s="62"/>
      <c r="Z275" s="62"/>
    </row>
    <row r="276">
      <c r="A276" s="62" t="str">
        <f>IFERROR(__xludf.DUMMYFUNCTION("""COMPUTED_VALUE"""),"日付")</f>
        <v>日付</v>
      </c>
      <c r="B276" s="62" t="str">
        <f>IFERROR(__xludf.DUMMYFUNCTION("""COMPUTED_VALUE"""),"名前")</f>
        <v>名前</v>
      </c>
      <c r="C276" s="62" t="str">
        <f>IFERROR(__xludf.DUMMYFUNCTION("""COMPUTED_VALUE"""),"打電件数")</f>
        <v>打電件数</v>
      </c>
      <c r="D276" s="62" t="str">
        <f>IFERROR(__xludf.DUMMYFUNCTION("""COMPUTED_VALUE"""),"着電件数")</f>
        <v>着電件数</v>
      </c>
      <c r="E276" s="62" t="str">
        <f>IFERROR(__xludf.DUMMYFUNCTION("""COMPUTED_VALUE"""),"折り返し件数")</f>
        <v>折り返し件数</v>
      </c>
      <c r="F276" s="62" t="str">
        <f>IFERROR(__xludf.DUMMYFUNCTION("""COMPUTED_VALUE"""),"拒否")</f>
        <v>拒否</v>
      </c>
      <c r="G276" s="62" t="str">
        <f>IFERROR(__xludf.DUMMYFUNCTION("""COMPUTED_VALUE"""),"着電率")</f>
        <v>着電率</v>
      </c>
      <c r="H276" s="62" t="str">
        <f>IFERROR(__xludf.DUMMYFUNCTION("""COMPUTED_VALUE"""),"LINE登録")</f>
        <v>LINE登録</v>
      </c>
      <c r="I276" s="62" t="str">
        <f>IFERROR(__xludf.DUMMYFUNCTION("""COMPUTED_VALUE"""),"アカウント作成")</f>
        <v>アカウント作成</v>
      </c>
      <c r="J276" s="552" t="str">
        <f>IFERROR(__xludf.DUMMYFUNCTION("""COMPUTED_VALUE"""),"新規信用枠額")</f>
        <v>新規信用枠額</v>
      </c>
      <c r="K276" s="62" t="str">
        <f>IFERROR(__xludf.DUMMYFUNCTION("""COMPUTED_VALUE"""),"リスト死回線数")</f>
        <v>リスト死回線数</v>
      </c>
      <c r="L276" s="62" t="str">
        <f>IFERROR(__xludf.DUMMYFUNCTION("""COMPUTED_VALUE"""),"LINE率(打電から)")</f>
        <v>LINE率(打電から)</v>
      </c>
      <c r="M276" s="62" t="str">
        <f>IFERROR(__xludf.DUMMYFUNCTION("""COMPUTED_VALUE"""),"アカウント作成率(打電から)")</f>
        <v>アカウント作成率(打電から)</v>
      </c>
      <c r="N276" s="62" t="str">
        <f>IFERROR(__xludf.DUMMYFUNCTION("""COMPUTED_VALUE"""),"アカウント作成率(LINEから)")</f>
        <v>アカウント作成率(LINEから)</v>
      </c>
      <c r="O276" s="62" t="str">
        <f>IFERROR(__xludf.DUMMYFUNCTION("""COMPUTED_VALUE"""),"リスト名")</f>
        <v>リスト名</v>
      </c>
      <c r="P276" s="553" t="str">
        <f>IFERROR(__xludf.DUMMYFUNCTION("""COMPUTED_VALUE"""),"日本基準")</f>
        <v>日本基準</v>
      </c>
      <c r="Q276" s="62"/>
      <c r="R276" s="62"/>
      <c r="S276" s="62"/>
      <c r="T276" s="62"/>
      <c r="U276" s="62"/>
      <c r="V276" s="62"/>
      <c r="W276" s="62"/>
      <c r="X276" s="62"/>
      <c r="Y276" s="62"/>
      <c r="Z276" s="62"/>
    </row>
    <row r="277">
      <c r="A277" s="556">
        <f>IFERROR(__xludf.DUMMYFUNCTION("""COMPUTED_VALUE"""),45914.0)</f>
        <v>45914</v>
      </c>
      <c r="B277" s="62" t="str">
        <f>IFERROR(__xludf.DUMMYFUNCTION("""COMPUTED_VALUE"""),"あり")</f>
        <v>あり</v>
      </c>
      <c r="C277" s="62">
        <f>IFERROR(__xludf.DUMMYFUNCTION("""COMPUTED_VALUE"""),59.0)</f>
        <v>59</v>
      </c>
      <c r="D277" s="62">
        <f>IFERROR(__xludf.DUMMYFUNCTION("""COMPUTED_VALUE"""),19.0)</f>
        <v>19</v>
      </c>
      <c r="E277" s="62"/>
      <c r="F277" s="62">
        <f>IFERROR(__xludf.DUMMYFUNCTION("""COMPUTED_VALUE"""),10.0)</f>
        <v>10</v>
      </c>
      <c r="G277" s="504">
        <f>IFERROR(__xludf.DUMMYFUNCTION("""COMPUTED_VALUE"""),0.3220338983050847)</f>
        <v>0.3220338983</v>
      </c>
      <c r="H277" s="62">
        <f>IFERROR(__xludf.DUMMYFUNCTION("""COMPUTED_VALUE"""),6.0)</f>
        <v>6</v>
      </c>
      <c r="I277" s="62">
        <f>IFERROR(__xludf.DUMMYFUNCTION("""COMPUTED_VALUE"""),2.0)</f>
        <v>2</v>
      </c>
      <c r="J277" s="552">
        <f>IFERROR(__xludf.DUMMYFUNCTION("""COMPUTED_VALUE"""),60000.0)</f>
        <v>60000</v>
      </c>
      <c r="K277" s="62"/>
      <c r="L277" s="504">
        <f>IFERROR(__xludf.DUMMYFUNCTION("""COMPUTED_VALUE"""),0.1016949152542373)</f>
        <v>0.1016949153</v>
      </c>
      <c r="M277" s="504">
        <f>IFERROR(__xludf.DUMMYFUNCTION("""COMPUTED_VALUE"""),0.03389830508474576)</f>
        <v>0.03389830508</v>
      </c>
      <c r="N277" s="504">
        <f>IFERROR(__xludf.DUMMYFUNCTION("""COMPUTED_VALUE"""),0.3333333333333333)</f>
        <v>0.3333333333</v>
      </c>
      <c r="O277" s="62" t="str">
        <f>IFERROR(__xludf.DUMMYFUNCTION("""COMPUTED_VALUE"""),"リストS")</f>
        <v>リストS</v>
      </c>
      <c r="P277" s="553" t="str">
        <f>IFERROR(__xludf.DUMMYFUNCTION("""COMPUTED_VALUE"""),"祝日")</f>
        <v>祝日</v>
      </c>
      <c r="Q277" s="62"/>
      <c r="R277" s="62"/>
      <c r="S277" s="62"/>
      <c r="T277" s="62"/>
      <c r="U277" s="62"/>
      <c r="V277" s="62"/>
      <c r="W277" s="62"/>
      <c r="X277" s="62"/>
      <c r="Y277" s="62"/>
      <c r="Z277" s="62"/>
    </row>
    <row r="278">
      <c r="A278" s="62"/>
      <c r="B278" s="62" t="str">
        <f>IFERROR(__xludf.DUMMYFUNCTION("""COMPUTED_VALUE"""),"しょうま")</f>
        <v>しょうま</v>
      </c>
      <c r="C278" s="62">
        <f>IFERROR(__xludf.DUMMYFUNCTION("""COMPUTED_VALUE"""),148.0)</f>
        <v>148</v>
      </c>
      <c r="D278" s="62">
        <f>IFERROR(__xludf.DUMMYFUNCTION("""COMPUTED_VALUE"""),26.0)</f>
        <v>26</v>
      </c>
      <c r="E278" s="62">
        <f>IFERROR(__xludf.DUMMYFUNCTION("""COMPUTED_VALUE"""),2.0)</f>
        <v>2</v>
      </c>
      <c r="F278" s="62">
        <f>IFERROR(__xludf.DUMMYFUNCTION("""COMPUTED_VALUE"""),22.0)</f>
        <v>22</v>
      </c>
      <c r="G278" s="504">
        <f>IFERROR(__xludf.DUMMYFUNCTION("""COMPUTED_VALUE"""),0.17567567567567569)</f>
        <v>0.1756756757</v>
      </c>
      <c r="H278" s="62">
        <f>IFERROR(__xludf.DUMMYFUNCTION("""COMPUTED_VALUE"""),4.0)</f>
        <v>4</v>
      </c>
      <c r="I278" s="62">
        <f>IFERROR(__xludf.DUMMYFUNCTION("""COMPUTED_VALUE"""),4.0)</f>
        <v>4</v>
      </c>
      <c r="J278" s="552">
        <f>IFERROR(__xludf.DUMMYFUNCTION("""COMPUTED_VALUE"""),420000.0)</f>
        <v>420000</v>
      </c>
      <c r="K278" s="62"/>
      <c r="L278" s="504">
        <f>IFERROR(__xludf.DUMMYFUNCTION("""COMPUTED_VALUE"""),0.02702702702702703)</f>
        <v>0.02702702703</v>
      </c>
      <c r="M278" s="504">
        <f>IFERROR(__xludf.DUMMYFUNCTION("""COMPUTED_VALUE"""),0.02702702702702703)</f>
        <v>0.02702702703</v>
      </c>
      <c r="N278" s="504">
        <f>IFERROR(__xludf.DUMMYFUNCTION("""COMPUTED_VALUE"""),1.0)</f>
        <v>1</v>
      </c>
      <c r="O278" s="62" t="str">
        <f>IFERROR(__xludf.DUMMYFUNCTION("""COMPUTED_VALUE"""),"リストE")</f>
        <v>リストE</v>
      </c>
      <c r="P278" s="553" t="str">
        <f>IFERROR(__xludf.DUMMYFUNCTION("""COMPUTED_VALUE"""),"祝日")</f>
        <v>祝日</v>
      </c>
      <c r="Q278" s="62"/>
      <c r="R278" s="62"/>
      <c r="S278" s="62"/>
      <c r="T278" s="62"/>
      <c r="U278" s="62"/>
      <c r="V278" s="62"/>
      <c r="W278" s="62"/>
      <c r="X278" s="62"/>
      <c r="Y278" s="62"/>
      <c r="Z278" s="62"/>
    </row>
    <row r="279">
      <c r="A279" s="62"/>
      <c r="B279" s="62"/>
      <c r="C279" s="62"/>
      <c r="D279" s="62"/>
      <c r="E279" s="62"/>
      <c r="F279" s="62"/>
      <c r="G279" s="504">
        <f>IFERROR(__xludf.DUMMYFUNCTION("""COMPUTED_VALUE"""),0.0)</f>
        <v>0</v>
      </c>
      <c r="H279" s="62"/>
      <c r="I279" s="62"/>
      <c r="J279" s="62"/>
      <c r="K279" s="62"/>
      <c r="L279" s="504">
        <f>IFERROR(__xludf.DUMMYFUNCTION("""COMPUTED_VALUE"""),0.0)</f>
        <v>0</v>
      </c>
      <c r="M279" s="504">
        <f>IFERROR(__xludf.DUMMYFUNCTION("""COMPUTED_VALUE"""),0.0)</f>
        <v>0</v>
      </c>
      <c r="N279" s="504">
        <f>IFERROR(__xludf.DUMMYFUNCTION("""COMPUTED_VALUE"""),0.0)</f>
        <v>0</v>
      </c>
      <c r="O279" s="62"/>
      <c r="P279" s="62"/>
      <c r="Q279" s="62"/>
      <c r="R279" s="62"/>
      <c r="S279" s="62"/>
      <c r="T279" s="62"/>
      <c r="U279" s="62"/>
      <c r="V279" s="62"/>
      <c r="W279" s="62"/>
      <c r="X279" s="62"/>
      <c r="Y279" s="62"/>
      <c r="Z279" s="62"/>
    </row>
    <row r="280">
      <c r="A280" s="62"/>
      <c r="B280" s="62" t="str">
        <f>IFERROR(__xludf.DUMMYFUNCTION("""COMPUTED_VALUE"""),"ジョーナ")</f>
        <v>ジョーナ</v>
      </c>
      <c r="C280" s="62"/>
      <c r="D280" s="62"/>
      <c r="E280" s="62"/>
      <c r="F280" s="62"/>
      <c r="G280" s="504">
        <f>IFERROR(__xludf.DUMMYFUNCTION("""COMPUTED_VALUE"""),0.0)</f>
        <v>0</v>
      </c>
      <c r="H280" s="62"/>
      <c r="I280" s="62"/>
      <c r="J280" s="62"/>
      <c r="K280" s="62"/>
      <c r="L280" s="504">
        <f>IFERROR(__xludf.DUMMYFUNCTION("""COMPUTED_VALUE"""),0.0)</f>
        <v>0</v>
      </c>
      <c r="M280" s="504">
        <f>IFERROR(__xludf.DUMMYFUNCTION("""COMPUTED_VALUE"""),0.0)</f>
        <v>0</v>
      </c>
      <c r="N280" s="504">
        <f>IFERROR(__xludf.DUMMYFUNCTION("""COMPUTED_VALUE"""),0.0)</f>
        <v>0</v>
      </c>
      <c r="O280" s="62"/>
      <c r="P280" s="62"/>
      <c r="Q280" s="62"/>
      <c r="R280" s="62"/>
      <c r="S280" s="62"/>
      <c r="T280" s="62"/>
      <c r="U280" s="62"/>
      <c r="V280" s="62"/>
      <c r="W280" s="62"/>
      <c r="X280" s="62"/>
      <c r="Y280" s="62"/>
      <c r="Z280" s="62"/>
    </row>
    <row r="281">
      <c r="A281" s="62"/>
      <c r="B281" s="62" t="str">
        <f>IFERROR(__xludf.DUMMYFUNCTION("""COMPUTED_VALUE"""),"武田")</f>
        <v>武田</v>
      </c>
      <c r="C281" s="62"/>
      <c r="D281" s="62"/>
      <c r="E281" s="62"/>
      <c r="F281" s="62"/>
      <c r="G281" s="504">
        <f>IFERROR(__xludf.DUMMYFUNCTION("""COMPUTED_VALUE"""),0.0)</f>
        <v>0</v>
      </c>
      <c r="H281" s="62"/>
      <c r="I281" s="62"/>
      <c r="J281" s="62"/>
      <c r="K281" s="62"/>
      <c r="L281" s="504">
        <f>IFERROR(__xludf.DUMMYFUNCTION("""COMPUTED_VALUE"""),0.0)</f>
        <v>0</v>
      </c>
      <c r="M281" s="504">
        <f>IFERROR(__xludf.DUMMYFUNCTION("""COMPUTED_VALUE"""),0.0)</f>
        <v>0</v>
      </c>
      <c r="N281" s="504">
        <f>IFERROR(__xludf.DUMMYFUNCTION("""COMPUTED_VALUE"""),0.0)</f>
        <v>0</v>
      </c>
      <c r="O281" s="62"/>
      <c r="P281" s="62"/>
      <c r="Q281" s="62"/>
      <c r="R281" s="62"/>
      <c r="S281" s="62"/>
      <c r="T281" s="62"/>
      <c r="U281" s="62"/>
      <c r="V281" s="62"/>
      <c r="W281" s="62"/>
      <c r="X281" s="62"/>
      <c r="Y281" s="62"/>
      <c r="Z281" s="62"/>
    </row>
    <row r="282">
      <c r="A282" s="62"/>
      <c r="B282" s="62" t="str">
        <f>IFERROR(__xludf.DUMMYFUNCTION("""COMPUTED_VALUE"""),"高木")</f>
        <v>高木</v>
      </c>
      <c r="C282" s="62"/>
      <c r="D282" s="62"/>
      <c r="E282" s="62"/>
      <c r="F282" s="62"/>
      <c r="G282" s="504">
        <f>IFERROR(__xludf.DUMMYFUNCTION("""COMPUTED_VALUE"""),0.0)</f>
        <v>0</v>
      </c>
      <c r="H282" s="62"/>
      <c r="I282" s="62"/>
      <c r="J282" s="62"/>
      <c r="K282" s="62"/>
      <c r="L282" s="504">
        <f>IFERROR(__xludf.DUMMYFUNCTION("""COMPUTED_VALUE"""),0.0)</f>
        <v>0</v>
      </c>
      <c r="M282" s="504">
        <f>IFERROR(__xludf.DUMMYFUNCTION("""COMPUTED_VALUE"""),0.0)</f>
        <v>0</v>
      </c>
      <c r="N282" s="504">
        <f>IFERROR(__xludf.DUMMYFUNCTION("""COMPUTED_VALUE"""),0.0)</f>
        <v>0</v>
      </c>
      <c r="O282" s="62"/>
      <c r="P282" s="62"/>
      <c r="Q282" s="62"/>
      <c r="R282" s="62"/>
      <c r="S282" s="62"/>
      <c r="T282" s="62"/>
      <c r="U282" s="62"/>
      <c r="V282" s="62"/>
      <c r="W282" s="62"/>
      <c r="X282" s="62"/>
      <c r="Y282" s="62"/>
      <c r="Z282" s="62"/>
    </row>
    <row r="283">
      <c r="A283" s="62"/>
      <c r="B283" s="62"/>
      <c r="C283" s="62"/>
      <c r="D283" s="62"/>
      <c r="E283" s="62"/>
      <c r="F283" s="62"/>
      <c r="G283" s="504">
        <f>IFERROR(__xludf.DUMMYFUNCTION("""COMPUTED_VALUE"""),0.0)</f>
        <v>0</v>
      </c>
      <c r="H283" s="62"/>
      <c r="I283" s="62"/>
      <c r="J283" s="62"/>
      <c r="K283" s="62"/>
      <c r="L283" s="504">
        <f>IFERROR(__xludf.DUMMYFUNCTION("""COMPUTED_VALUE"""),0.0)</f>
        <v>0</v>
      </c>
      <c r="M283" s="504">
        <f>IFERROR(__xludf.DUMMYFUNCTION("""COMPUTED_VALUE"""),0.0)</f>
        <v>0</v>
      </c>
      <c r="N283" s="504">
        <f>IFERROR(__xludf.DUMMYFUNCTION("""COMPUTED_VALUE"""),0.0)</f>
        <v>0</v>
      </c>
      <c r="O283" s="62"/>
      <c r="P283" s="62"/>
      <c r="Q283" s="62"/>
      <c r="R283" s="62"/>
      <c r="S283" s="62"/>
      <c r="T283" s="62"/>
      <c r="U283" s="62"/>
      <c r="V283" s="62"/>
      <c r="W283" s="62"/>
      <c r="X283" s="62"/>
      <c r="Y283" s="62"/>
      <c r="Z283" s="62"/>
    </row>
    <row r="284">
      <c r="A284" s="62"/>
      <c r="B284" s="62" t="str">
        <f>IFERROR(__xludf.DUMMYFUNCTION("""COMPUTED_VALUE"""),"大谷")</f>
        <v>大谷</v>
      </c>
      <c r="C284" s="62"/>
      <c r="D284" s="62"/>
      <c r="E284" s="62"/>
      <c r="F284" s="62"/>
      <c r="G284" s="504">
        <f>IFERROR(__xludf.DUMMYFUNCTION("""COMPUTED_VALUE"""),0.0)</f>
        <v>0</v>
      </c>
      <c r="H284" s="62"/>
      <c r="I284" s="62"/>
      <c r="J284" s="62"/>
      <c r="K284" s="62"/>
      <c r="L284" s="504">
        <f>IFERROR(__xludf.DUMMYFUNCTION("""COMPUTED_VALUE"""),0.0)</f>
        <v>0</v>
      </c>
      <c r="M284" s="504">
        <f>IFERROR(__xludf.DUMMYFUNCTION("""COMPUTED_VALUE"""),0.0)</f>
        <v>0</v>
      </c>
      <c r="N284" s="504">
        <f>IFERROR(__xludf.DUMMYFUNCTION("""COMPUTED_VALUE"""),0.0)</f>
        <v>0</v>
      </c>
      <c r="O284" s="62"/>
      <c r="P284" s="62"/>
      <c r="Q284" s="62"/>
      <c r="R284" s="62"/>
      <c r="S284" s="62"/>
      <c r="T284" s="62"/>
      <c r="U284" s="62"/>
      <c r="V284" s="62"/>
      <c r="W284" s="62"/>
      <c r="X284" s="62"/>
      <c r="Y284" s="62"/>
      <c r="Z284" s="62"/>
    </row>
    <row r="285">
      <c r="A285" s="62"/>
      <c r="B285" s="62"/>
      <c r="C285" s="62"/>
      <c r="D285" s="62"/>
      <c r="E285" s="62"/>
      <c r="F285" s="62"/>
      <c r="G285" s="504">
        <f>IFERROR(__xludf.DUMMYFUNCTION("""COMPUTED_VALUE"""),0.0)</f>
        <v>0</v>
      </c>
      <c r="H285" s="62"/>
      <c r="I285" s="62"/>
      <c r="J285" s="62"/>
      <c r="K285" s="62"/>
      <c r="L285" s="504">
        <f>IFERROR(__xludf.DUMMYFUNCTION("""COMPUTED_VALUE"""),0.0)</f>
        <v>0</v>
      </c>
      <c r="M285" s="504">
        <f>IFERROR(__xludf.DUMMYFUNCTION("""COMPUTED_VALUE"""),0.0)</f>
        <v>0</v>
      </c>
      <c r="N285" s="504">
        <f>IFERROR(__xludf.DUMMYFUNCTION("""COMPUTED_VALUE"""),0.0)</f>
        <v>0</v>
      </c>
      <c r="O285" s="62"/>
      <c r="P285" s="62"/>
      <c r="Q285" s="62"/>
      <c r="R285" s="62"/>
      <c r="S285" s="62"/>
      <c r="T285" s="62"/>
      <c r="U285" s="62"/>
      <c r="V285" s="62"/>
      <c r="W285" s="62"/>
      <c r="X285" s="62"/>
      <c r="Y285" s="62"/>
      <c r="Z285" s="62"/>
    </row>
    <row r="286">
      <c r="A286" s="62"/>
      <c r="B286" s="62" t="str">
        <f>IFERROR(__xludf.DUMMYFUNCTION("""COMPUTED_VALUE"""),"森")</f>
        <v>森</v>
      </c>
      <c r="C286" s="62"/>
      <c r="D286" s="62"/>
      <c r="E286" s="62"/>
      <c r="F286" s="62"/>
      <c r="G286" s="504">
        <f>IFERROR(__xludf.DUMMYFUNCTION("""COMPUTED_VALUE"""),0.0)</f>
        <v>0</v>
      </c>
      <c r="H286" s="62"/>
      <c r="I286" s="62"/>
      <c r="J286" s="62"/>
      <c r="K286" s="62"/>
      <c r="L286" s="504">
        <f>IFERROR(__xludf.DUMMYFUNCTION("""COMPUTED_VALUE"""),0.0)</f>
        <v>0</v>
      </c>
      <c r="M286" s="504">
        <f>IFERROR(__xludf.DUMMYFUNCTION("""COMPUTED_VALUE"""),0.0)</f>
        <v>0</v>
      </c>
      <c r="N286" s="504">
        <f>IFERROR(__xludf.DUMMYFUNCTION("""COMPUTED_VALUE"""),0.0)</f>
        <v>0</v>
      </c>
      <c r="O286" s="62"/>
      <c r="P286" s="62"/>
      <c r="Q286" s="62"/>
      <c r="R286" s="62"/>
      <c r="S286" s="62"/>
      <c r="T286" s="62"/>
      <c r="U286" s="62"/>
      <c r="V286" s="62"/>
      <c r="W286" s="62"/>
      <c r="X286" s="62"/>
      <c r="Y286" s="62"/>
      <c r="Z286" s="62"/>
    </row>
    <row r="287">
      <c r="A287" s="62"/>
      <c r="B287" s="62"/>
      <c r="C287" s="62"/>
      <c r="D287" s="62"/>
      <c r="E287" s="62"/>
      <c r="F287" s="62"/>
      <c r="G287" s="504">
        <f>IFERROR(__xludf.DUMMYFUNCTION("""COMPUTED_VALUE"""),0.0)</f>
        <v>0</v>
      </c>
      <c r="H287" s="62"/>
      <c r="I287" s="62"/>
      <c r="J287" s="62"/>
      <c r="K287" s="62"/>
      <c r="L287" s="504">
        <f>IFERROR(__xludf.DUMMYFUNCTION("""COMPUTED_VALUE"""),0.0)</f>
        <v>0</v>
      </c>
      <c r="M287" s="504">
        <f>IFERROR(__xludf.DUMMYFUNCTION("""COMPUTED_VALUE"""),0.0)</f>
        <v>0</v>
      </c>
      <c r="N287" s="504">
        <f>IFERROR(__xludf.DUMMYFUNCTION("""COMPUTED_VALUE"""),0.0)</f>
        <v>0</v>
      </c>
      <c r="O287" s="62"/>
      <c r="P287" s="62"/>
      <c r="Q287" s="62"/>
      <c r="R287" s="62"/>
      <c r="S287" s="62"/>
      <c r="T287" s="62"/>
      <c r="U287" s="62"/>
      <c r="V287" s="62"/>
      <c r="W287" s="62"/>
      <c r="X287" s="62"/>
      <c r="Y287" s="62"/>
      <c r="Z287" s="62"/>
    </row>
    <row r="288">
      <c r="A288" s="62"/>
      <c r="B288" s="62" t="str">
        <f>IFERROR(__xludf.DUMMYFUNCTION("""COMPUTED_VALUE"""),"金子")</f>
        <v>金子</v>
      </c>
      <c r="C288" s="62"/>
      <c r="D288" s="62"/>
      <c r="E288" s="62"/>
      <c r="F288" s="62"/>
      <c r="G288" s="504">
        <f>IFERROR(__xludf.DUMMYFUNCTION("""COMPUTED_VALUE"""),0.0)</f>
        <v>0</v>
      </c>
      <c r="H288" s="62"/>
      <c r="I288" s="62"/>
      <c r="J288" s="62"/>
      <c r="K288" s="62"/>
      <c r="L288" s="504">
        <f>IFERROR(__xludf.DUMMYFUNCTION("""COMPUTED_VALUE"""),0.0)</f>
        <v>0</v>
      </c>
      <c r="M288" s="504">
        <f>IFERROR(__xludf.DUMMYFUNCTION("""COMPUTED_VALUE"""),0.0)</f>
        <v>0</v>
      </c>
      <c r="N288" s="504">
        <f>IFERROR(__xludf.DUMMYFUNCTION("""COMPUTED_VALUE"""),0.0)</f>
        <v>0</v>
      </c>
      <c r="O288" s="62"/>
      <c r="P288" s="62"/>
      <c r="Q288" s="62"/>
      <c r="R288" s="62"/>
      <c r="S288" s="62"/>
      <c r="T288" s="62"/>
      <c r="U288" s="62"/>
      <c r="V288" s="62"/>
      <c r="W288" s="62"/>
      <c r="X288" s="62"/>
      <c r="Y288" s="62"/>
      <c r="Z288" s="62"/>
    </row>
    <row r="289">
      <c r="A289" s="62"/>
      <c r="B289" s="62"/>
      <c r="C289" s="62"/>
      <c r="D289" s="62"/>
      <c r="E289" s="62"/>
      <c r="F289" s="62"/>
      <c r="G289" s="504">
        <f>IFERROR(__xludf.DUMMYFUNCTION("""COMPUTED_VALUE"""),0.0)</f>
        <v>0</v>
      </c>
      <c r="H289" s="62"/>
      <c r="I289" s="62"/>
      <c r="J289" s="62"/>
      <c r="K289" s="62"/>
      <c r="L289" s="504">
        <f>IFERROR(__xludf.DUMMYFUNCTION("""COMPUTED_VALUE"""),0.0)</f>
        <v>0</v>
      </c>
      <c r="M289" s="504">
        <f>IFERROR(__xludf.DUMMYFUNCTION("""COMPUTED_VALUE"""),0.0)</f>
        <v>0</v>
      </c>
      <c r="N289" s="504">
        <f>IFERROR(__xludf.DUMMYFUNCTION("""COMPUTED_VALUE"""),0.0)</f>
        <v>0</v>
      </c>
      <c r="O289" s="62"/>
      <c r="P289" s="62"/>
      <c r="Q289" s="62"/>
      <c r="R289" s="62"/>
      <c r="S289" s="62"/>
      <c r="T289" s="62"/>
      <c r="U289" s="62"/>
      <c r="V289" s="62"/>
      <c r="W289" s="62"/>
      <c r="X289" s="62"/>
      <c r="Y289" s="62"/>
      <c r="Z289" s="62"/>
    </row>
    <row r="290">
      <c r="A290" s="62"/>
      <c r="B290" s="552" t="str">
        <f>IFERROR(__xludf.DUMMYFUNCTION("""COMPUTED_VALUE"""),"SMS")</f>
        <v>SMS</v>
      </c>
      <c r="C290" s="62"/>
      <c r="D290" s="62"/>
      <c r="E290" s="62"/>
      <c r="F290" s="62"/>
      <c r="G290" s="504">
        <f>IFERROR(__xludf.DUMMYFUNCTION("""COMPUTED_VALUE"""),0.0)</f>
        <v>0</v>
      </c>
      <c r="H290" s="62"/>
      <c r="I290" s="62">
        <f>IFERROR(__xludf.DUMMYFUNCTION("""COMPUTED_VALUE"""),1.0)</f>
        <v>1</v>
      </c>
      <c r="J290" s="552">
        <f>IFERROR(__xludf.DUMMYFUNCTION("""COMPUTED_VALUE"""),30000.0)</f>
        <v>30000</v>
      </c>
      <c r="K290" s="62"/>
      <c r="L290" s="504">
        <f>IFERROR(__xludf.DUMMYFUNCTION("""COMPUTED_VALUE"""),0.0)</f>
        <v>0</v>
      </c>
      <c r="M290" s="504">
        <f>IFERROR(__xludf.DUMMYFUNCTION("""COMPUTED_VALUE"""),0.0)</f>
        <v>0</v>
      </c>
      <c r="N290" s="504">
        <f>IFERROR(__xludf.DUMMYFUNCTION("""COMPUTED_VALUE"""),0.0)</f>
        <v>0</v>
      </c>
      <c r="O290" s="62"/>
      <c r="P290" s="62"/>
      <c r="Q290" s="62"/>
      <c r="R290" s="62"/>
      <c r="S290" s="62"/>
      <c r="T290" s="62"/>
      <c r="U290" s="62"/>
      <c r="V290" s="62"/>
      <c r="W290" s="62"/>
      <c r="X290" s="62"/>
      <c r="Y290" s="62"/>
      <c r="Z290" s="62"/>
    </row>
    <row r="291">
      <c r="A291" s="62"/>
      <c r="B291" s="62" t="str">
        <f>IFERROR(__xludf.DUMMYFUNCTION("""COMPUTED_VALUE"""),"紹介")</f>
        <v>紹介</v>
      </c>
      <c r="C291" s="62"/>
      <c r="D291" s="62"/>
      <c r="E291" s="62"/>
      <c r="F291" s="62"/>
      <c r="G291" s="504">
        <f>IFERROR(__xludf.DUMMYFUNCTION("""COMPUTED_VALUE"""),0.0)</f>
        <v>0</v>
      </c>
      <c r="H291" s="62"/>
      <c r="I291" s="62"/>
      <c r="J291" s="62"/>
      <c r="K291" s="62"/>
      <c r="L291" s="504">
        <f>IFERROR(__xludf.DUMMYFUNCTION("""COMPUTED_VALUE"""),0.0)</f>
        <v>0</v>
      </c>
      <c r="M291" s="504">
        <f>IFERROR(__xludf.DUMMYFUNCTION("""COMPUTED_VALUE"""),0.0)</f>
        <v>0</v>
      </c>
      <c r="N291" s="504">
        <f>IFERROR(__xludf.DUMMYFUNCTION("""COMPUTED_VALUE"""),0.0)</f>
        <v>0</v>
      </c>
      <c r="O291" s="62"/>
      <c r="P291" s="62"/>
      <c r="Q291" s="62"/>
      <c r="R291" s="62"/>
      <c r="S291" s="62"/>
      <c r="T291" s="62"/>
      <c r="U291" s="62"/>
      <c r="V291" s="62"/>
      <c r="W291" s="62"/>
      <c r="X291" s="62"/>
      <c r="Y291" s="62"/>
      <c r="Z291" s="62"/>
    </row>
    <row r="292">
      <c r="A292" s="62"/>
      <c r="B292" s="62" t="str">
        <f>IFERROR(__xludf.DUMMYFUNCTION("""COMPUTED_VALUE"""),"仁子")</f>
        <v>仁子</v>
      </c>
      <c r="C292" s="62"/>
      <c r="D292" s="62"/>
      <c r="E292" s="62"/>
      <c r="F292" s="62"/>
      <c r="G292" s="504">
        <f>IFERROR(__xludf.DUMMYFUNCTION("""COMPUTED_VALUE"""),0.0)</f>
        <v>0</v>
      </c>
      <c r="H292" s="62"/>
      <c r="I292" s="62">
        <f>IFERROR(__xludf.DUMMYFUNCTION("""COMPUTED_VALUE"""),4.0)</f>
        <v>4</v>
      </c>
      <c r="J292" s="552">
        <f>IFERROR(__xludf.DUMMYFUNCTION("""COMPUTED_VALUE"""),120000.0)</f>
        <v>120000</v>
      </c>
      <c r="K292" s="62"/>
      <c r="L292" s="504">
        <f>IFERROR(__xludf.DUMMYFUNCTION("""COMPUTED_VALUE"""),0.0)</f>
        <v>0</v>
      </c>
      <c r="M292" s="504">
        <f>IFERROR(__xludf.DUMMYFUNCTION("""COMPUTED_VALUE"""),0.0)</f>
        <v>0</v>
      </c>
      <c r="N292" s="504">
        <f>IFERROR(__xludf.DUMMYFUNCTION("""COMPUTED_VALUE"""),0.0)</f>
        <v>0</v>
      </c>
      <c r="O292" s="62"/>
      <c r="P292" s="62"/>
      <c r="Q292" s="62"/>
      <c r="R292" s="62"/>
      <c r="S292" s="62"/>
      <c r="T292" s="62"/>
      <c r="U292" s="62"/>
      <c r="V292" s="62"/>
      <c r="W292" s="62"/>
      <c r="X292" s="62"/>
      <c r="Y292" s="62"/>
      <c r="Z292" s="62"/>
    </row>
    <row r="293">
      <c r="A293" s="62"/>
      <c r="B293" s="62" t="str">
        <f>IFERROR(__xludf.DUMMYFUNCTION("""COMPUTED_VALUE"""),"鈴木")</f>
        <v>鈴木</v>
      </c>
      <c r="C293" s="62"/>
      <c r="D293" s="62"/>
      <c r="E293" s="62"/>
      <c r="F293" s="62"/>
      <c r="G293" s="504">
        <f>IFERROR(__xludf.DUMMYFUNCTION("""COMPUTED_VALUE"""),0.0)</f>
        <v>0</v>
      </c>
      <c r="H293" s="62"/>
      <c r="I293" s="62"/>
      <c r="J293" s="62"/>
      <c r="K293" s="62"/>
      <c r="L293" s="504">
        <f>IFERROR(__xludf.DUMMYFUNCTION("""COMPUTED_VALUE"""),0.0)</f>
        <v>0</v>
      </c>
      <c r="M293" s="504">
        <f>IFERROR(__xludf.DUMMYFUNCTION("""COMPUTED_VALUE"""),0.0)</f>
        <v>0</v>
      </c>
      <c r="N293" s="504">
        <f>IFERROR(__xludf.DUMMYFUNCTION("""COMPUTED_VALUE"""),0.0)</f>
        <v>0</v>
      </c>
      <c r="O293" s="62"/>
      <c r="P293" s="62"/>
      <c r="Q293" s="62"/>
      <c r="R293" s="62"/>
      <c r="S293" s="62"/>
      <c r="T293" s="62"/>
      <c r="U293" s="62"/>
      <c r="V293" s="62"/>
      <c r="W293" s="62"/>
      <c r="X293" s="62"/>
      <c r="Y293" s="62"/>
      <c r="Z293" s="62"/>
    </row>
    <row r="294">
      <c r="A294" s="62"/>
      <c r="B294" s="62" t="str">
        <f>IFERROR(__xludf.DUMMYFUNCTION("""COMPUTED_VALUE"""),"仲間")</f>
        <v>仲間</v>
      </c>
      <c r="C294" s="62"/>
      <c r="D294" s="62"/>
      <c r="E294" s="62"/>
      <c r="F294" s="62"/>
      <c r="G294" s="504">
        <f>IFERROR(__xludf.DUMMYFUNCTION("""COMPUTED_VALUE"""),0.0)</f>
        <v>0</v>
      </c>
      <c r="H294" s="62"/>
      <c r="I294" s="62"/>
      <c r="J294" s="62"/>
      <c r="K294" s="62"/>
      <c r="L294" s="504">
        <f>IFERROR(__xludf.DUMMYFUNCTION("""COMPUTED_VALUE"""),0.0)</f>
        <v>0</v>
      </c>
      <c r="M294" s="504">
        <f>IFERROR(__xludf.DUMMYFUNCTION("""COMPUTED_VALUE"""),0.0)</f>
        <v>0</v>
      </c>
      <c r="N294" s="504">
        <f>IFERROR(__xludf.DUMMYFUNCTION("""COMPUTED_VALUE"""),0.0)</f>
        <v>0</v>
      </c>
      <c r="O294" s="62"/>
      <c r="P294" s="62"/>
      <c r="Q294" s="62"/>
      <c r="R294" s="62"/>
      <c r="S294" s="62"/>
      <c r="T294" s="62"/>
      <c r="U294" s="62"/>
      <c r="V294" s="62"/>
      <c r="W294" s="62"/>
      <c r="X294" s="62"/>
      <c r="Y294" s="62"/>
      <c r="Z294" s="62"/>
    </row>
    <row r="295">
      <c r="A295" s="62"/>
      <c r="B295" s="62"/>
      <c r="C295" s="62"/>
      <c r="D295" s="62"/>
      <c r="E295" s="62"/>
      <c r="F295" s="62"/>
      <c r="G295" s="504">
        <f>IFERROR(__xludf.DUMMYFUNCTION("""COMPUTED_VALUE"""),0.0)</f>
        <v>0</v>
      </c>
      <c r="H295" s="62"/>
      <c r="I295" s="62"/>
      <c r="J295" s="62"/>
      <c r="K295" s="62"/>
      <c r="L295" s="504">
        <f>IFERROR(__xludf.DUMMYFUNCTION("""COMPUTED_VALUE"""),0.0)</f>
        <v>0</v>
      </c>
      <c r="M295" s="504">
        <f>IFERROR(__xludf.DUMMYFUNCTION("""COMPUTED_VALUE"""),0.0)</f>
        <v>0</v>
      </c>
      <c r="N295" s="504">
        <f>IFERROR(__xludf.DUMMYFUNCTION("""COMPUTED_VALUE"""),0.0)</f>
        <v>0</v>
      </c>
      <c r="O295" s="62"/>
      <c r="P295" s="62"/>
      <c r="Q295" s="62"/>
      <c r="R295" s="62"/>
      <c r="S295" s="62"/>
      <c r="T295" s="62"/>
      <c r="U295" s="62"/>
      <c r="V295" s="62"/>
      <c r="W295" s="62"/>
      <c r="X295" s="62"/>
      <c r="Y295" s="62"/>
      <c r="Z295" s="62"/>
    </row>
    <row r="296">
      <c r="A296" s="62"/>
      <c r="B296" s="62" t="str">
        <f>IFERROR(__xludf.DUMMYFUNCTION("""COMPUTED_VALUE"""),"合計")</f>
        <v>合計</v>
      </c>
      <c r="C296" s="62">
        <f>IFERROR(__xludf.DUMMYFUNCTION("""COMPUTED_VALUE"""),207.0)</f>
        <v>207</v>
      </c>
      <c r="D296" s="62">
        <f>IFERROR(__xludf.DUMMYFUNCTION("""COMPUTED_VALUE"""),45.0)</f>
        <v>45</v>
      </c>
      <c r="E296" s="62">
        <f>IFERROR(__xludf.DUMMYFUNCTION("""COMPUTED_VALUE"""),2.0)</f>
        <v>2</v>
      </c>
      <c r="F296" s="62">
        <f>IFERROR(__xludf.DUMMYFUNCTION("""COMPUTED_VALUE"""),32.0)</f>
        <v>32</v>
      </c>
      <c r="G296" s="504">
        <f>IFERROR(__xludf.DUMMYFUNCTION("""COMPUTED_VALUE"""),0.21739130434782608)</f>
        <v>0.2173913043</v>
      </c>
      <c r="H296" s="62">
        <f>IFERROR(__xludf.DUMMYFUNCTION("""COMPUTED_VALUE"""),10.0)</f>
        <v>10</v>
      </c>
      <c r="I296" s="62">
        <f>IFERROR(__xludf.DUMMYFUNCTION("""COMPUTED_VALUE"""),11.0)</f>
        <v>11</v>
      </c>
      <c r="J296" s="552">
        <f>IFERROR(__xludf.DUMMYFUNCTION("""COMPUTED_VALUE"""),630000.0)</f>
        <v>630000</v>
      </c>
      <c r="K296" s="62">
        <f>IFERROR(__xludf.DUMMYFUNCTION("""COMPUTED_VALUE"""),0.0)</f>
        <v>0</v>
      </c>
      <c r="L296" s="504">
        <f>IFERROR(__xludf.DUMMYFUNCTION("""COMPUTED_VALUE"""),0.04830917874396135)</f>
        <v>0.04830917874</v>
      </c>
      <c r="M296" s="504">
        <f>IFERROR(__xludf.DUMMYFUNCTION("""COMPUTED_VALUE"""),0.05314009661835749)</f>
        <v>0.05314009662</v>
      </c>
      <c r="N296" s="504">
        <f>IFERROR(__xludf.DUMMYFUNCTION("""COMPUTED_VALUE"""),1.1)</f>
        <v>1.1</v>
      </c>
      <c r="O296" s="62"/>
      <c r="P296" s="62"/>
      <c r="Q296" s="62"/>
      <c r="R296" s="62"/>
      <c r="S296" s="62"/>
      <c r="T296" s="62"/>
      <c r="U296" s="62"/>
      <c r="V296" s="62"/>
      <c r="W296" s="62"/>
      <c r="X296" s="62"/>
      <c r="Y296" s="62"/>
      <c r="Z296" s="62"/>
    </row>
    <row r="297">
      <c r="A297" s="62" t="str">
        <f>IFERROR(__xludf.DUMMYFUNCTION("""COMPUTED_VALUE"""),"日付")</f>
        <v>日付</v>
      </c>
      <c r="B297" s="62" t="str">
        <f>IFERROR(__xludf.DUMMYFUNCTION("""COMPUTED_VALUE"""),"名前")</f>
        <v>名前</v>
      </c>
      <c r="C297" s="62" t="str">
        <f>IFERROR(__xludf.DUMMYFUNCTION("""COMPUTED_VALUE"""),"打電件数")</f>
        <v>打電件数</v>
      </c>
      <c r="D297" s="62" t="str">
        <f>IFERROR(__xludf.DUMMYFUNCTION("""COMPUTED_VALUE"""),"着電件数")</f>
        <v>着電件数</v>
      </c>
      <c r="E297" s="62" t="str">
        <f>IFERROR(__xludf.DUMMYFUNCTION("""COMPUTED_VALUE"""),"折り返し件数")</f>
        <v>折り返し件数</v>
      </c>
      <c r="F297" s="62" t="str">
        <f>IFERROR(__xludf.DUMMYFUNCTION("""COMPUTED_VALUE"""),"拒否")</f>
        <v>拒否</v>
      </c>
      <c r="G297" s="62" t="str">
        <f>IFERROR(__xludf.DUMMYFUNCTION("""COMPUTED_VALUE"""),"着電率")</f>
        <v>着電率</v>
      </c>
      <c r="H297" s="62" t="str">
        <f>IFERROR(__xludf.DUMMYFUNCTION("""COMPUTED_VALUE"""),"LINE登録")</f>
        <v>LINE登録</v>
      </c>
      <c r="I297" s="62" t="str">
        <f>IFERROR(__xludf.DUMMYFUNCTION("""COMPUTED_VALUE"""),"アカウント作成")</f>
        <v>アカウント作成</v>
      </c>
      <c r="J297" s="552" t="str">
        <f>IFERROR(__xludf.DUMMYFUNCTION("""COMPUTED_VALUE"""),"新規信用枠額")</f>
        <v>新規信用枠額</v>
      </c>
      <c r="K297" s="62" t="str">
        <f>IFERROR(__xludf.DUMMYFUNCTION("""COMPUTED_VALUE"""),"リスト死回線数")</f>
        <v>リスト死回線数</v>
      </c>
      <c r="L297" s="62" t="str">
        <f>IFERROR(__xludf.DUMMYFUNCTION("""COMPUTED_VALUE"""),"LINE率(打電から)")</f>
        <v>LINE率(打電から)</v>
      </c>
      <c r="M297" s="62" t="str">
        <f>IFERROR(__xludf.DUMMYFUNCTION("""COMPUTED_VALUE"""),"アカウント作成率(打電から)")</f>
        <v>アカウント作成率(打電から)</v>
      </c>
      <c r="N297" s="62" t="str">
        <f>IFERROR(__xludf.DUMMYFUNCTION("""COMPUTED_VALUE"""),"アカウント作成率(LINEから)")</f>
        <v>アカウント作成率(LINEから)</v>
      </c>
      <c r="O297" s="62" t="str">
        <f>IFERROR(__xludf.DUMMYFUNCTION("""COMPUTED_VALUE"""),"リスト名")</f>
        <v>リスト名</v>
      </c>
      <c r="P297" s="553" t="str">
        <f>IFERROR(__xludf.DUMMYFUNCTION("""COMPUTED_VALUE"""),"日本基準")</f>
        <v>日本基準</v>
      </c>
      <c r="Q297" s="62"/>
      <c r="R297" s="62"/>
      <c r="S297" s="62"/>
      <c r="T297" s="62"/>
      <c r="U297" s="62"/>
      <c r="V297" s="62"/>
      <c r="W297" s="62"/>
      <c r="X297" s="62"/>
      <c r="Y297" s="62"/>
      <c r="Z297" s="62"/>
    </row>
    <row r="298">
      <c r="A298" s="556">
        <f>IFERROR(__xludf.DUMMYFUNCTION("""COMPUTED_VALUE"""),45915.0)</f>
        <v>45915</v>
      </c>
      <c r="B298" s="62" t="str">
        <f>IFERROR(__xludf.DUMMYFUNCTION("""COMPUTED_VALUE"""),"あり")</f>
        <v>あり</v>
      </c>
      <c r="C298" s="62"/>
      <c r="D298" s="62"/>
      <c r="E298" s="62"/>
      <c r="F298" s="62"/>
      <c r="G298" s="504">
        <f>IFERROR(__xludf.DUMMYFUNCTION("""COMPUTED_VALUE"""),0.0)</f>
        <v>0</v>
      </c>
      <c r="H298" s="62">
        <f>IFERROR(__xludf.DUMMYFUNCTION("""COMPUTED_VALUE"""),4.0)</f>
        <v>4</v>
      </c>
      <c r="I298" s="62">
        <f>IFERROR(__xludf.DUMMYFUNCTION("""COMPUTED_VALUE"""),3.0)</f>
        <v>3</v>
      </c>
      <c r="J298" s="552">
        <f>IFERROR(__xludf.DUMMYFUNCTION("""COMPUTED_VALUE"""),110000.0)</f>
        <v>110000</v>
      </c>
      <c r="K298" s="62"/>
      <c r="L298" s="504">
        <f>IFERROR(__xludf.DUMMYFUNCTION("""COMPUTED_VALUE"""),0.0)</f>
        <v>0</v>
      </c>
      <c r="M298" s="504">
        <f>IFERROR(__xludf.DUMMYFUNCTION("""COMPUTED_VALUE"""),0.0)</f>
        <v>0</v>
      </c>
      <c r="N298" s="504">
        <f>IFERROR(__xludf.DUMMYFUNCTION("""COMPUTED_VALUE"""),0.75)</f>
        <v>0.75</v>
      </c>
      <c r="O298" s="62"/>
      <c r="P298" s="62"/>
      <c r="Q298" s="62"/>
      <c r="R298" s="62"/>
      <c r="S298" s="62"/>
      <c r="T298" s="62"/>
      <c r="U298" s="62"/>
      <c r="V298" s="62"/>
      <c r="W298" s="62"/>
      <c r="X298" s="62"/>
      <c r="Y298" s="62"/>
      <c r="Z298" s="62"/>
    </row>
    <row r="299">
      <c r="A299" s="62"/>
      <c r="B299" s="62" t="str">
        <f>IFERROR(__xludf.DUMMYFUNCTION("""COMPUTED_VALUE"""),"しょうま")</f>
        <v>しょうま</v>
      </c>
      <c r="C299" s="62">
        <f>IFERROR(__xludf.DUMMYFUNCTION("""COMPUTED_VALUE"""),54.0)</f>
        <v>54</v>
      </c>
      <c r="D299" s="62">
        <f>IFERROR(__xludf.DUMMYFUNCTION("""COMPUTED_VALUE"""),17.0)</f>
        <v>17</v>
      </c>
      <c r="E299" s="62">
        <f>IFERROR(__xludf.DUMMYFUNCTION("""COMPUTED_VALUE"""),4.0)</f>
        <v>4</v>
      </c>
      <c r="F299" s="62">
        <f>IFERROR(__xludf.DUMMYFUNCTION("""COMPUTED_VALUE"""),11.0)</f>
        <v>11</v>
      </c>
      <c r="G299" s="504">
        <f>IFERROR(__xludf.DUMMYFUNCTION("""COMPUTED_VALUE"""),0.3148148148148148)</f>
        <v>0.3148148148</v>
      </c>
      <c r="H299" s="62">
        <f>IFERROR(__xludf.DUMMYFUNCTION("""COMPUTED_VALUE"""),4.0)</f>
        <v>4</v>
      </c>
      <c r="I299" s="62">
        <f>IFERROR(__xludf.DUMMYFUNCTION("""COMPUTED_VALUE"""),4.0)</f>
        <v>4</v>
      </c>
      <c r="J299" s="552">
        <f>IFERROR(__xludf.DUMMYFUNCTION("""COMPUTED_VALUE"""),280000.0)</f>
        <v>280000</v>
      </c>
      <c r="K299" s="62">
        <f>IFERROR(__xludf.DUMMYFUNCTION("""COMPUTED_VALUE"""),4.0)</f>
        <v>4</v>
      </c>
      <c r="L299" s="504">
        <f>IFERROR(__xludf.DUMMYFUNCTION("""COMPUTED_VALUE"""),0.07407407407407407)</f>
        <v>0.07407407407</v>
      </c>
      <c r="M299" s="504">
        <f>IFERROR(__xludf.DUMMYFUNCTION("""COMPUTED_VALUE"""),0.07407407407407407)</f>
        <v>0.07407407407</v>
      </c>
      <c r="N299" s="504">
        <f>IFERROR(__xludf.DUMMYFUNCTION("""COMPUTED_VALUE"""),1.0)</f>
        <v>1</v>
      </c>
      <c r="O299" s="62" t="str">
        <f>IFERROR(__xludf.DUMMYFUNCTION("""COMPUTED_VALUE"""),"リストE")</f>
        <v>リストE</v>
      </c>
      <c r="P299" s="553" t="str">
        <f>IFERROR(__xludf.DUMMYFUNCTION("""COMPUTED_VALUE"""),"平日")</f>
        <v>平日</v>
      </c>
      <c r="Q299" s="62"/>
      <c r="R299" s="62"/>
      <c r="S299" s="62"/>
      <c r="T299" s="62"/>
      <c r="U299" s="62"/>
      <c r="V299" s="62"/>
      <c r="W299" s="62"/>
      <c r="X299" s="62"/>
      <c r="Y299" s="62"/>
      <c r="Z299" s="62"/>
    </row>
    <row r="300">
      <c r="A300" s="62"/>
      <c r="B300" s="62"/>
      <c r="C300" s="62"/>
      <c r="D300" s="62"/>
      <c r="E300" s="62"/>
      <c r="F300" s="62"/>
      <c r="G300" s="504">
        <f>IFERROR(__xludf.DUMMYFUNCTION("""COMPUTED_VALUE"""),0.0)</f>
        <v>0</v>
      </c>
      <c r="H300" s="62"/>
      <c r="I300" s="62"/>
      <c r="J300" s="62"/>
      <c r="K300" s="62"/>
      <c r="L300" s="504">
        <f>IFERROR(__xludf.DUMMYFUNCTION("""COMPUTED_VALUE"""),0.0)</f>
        <v>0</v>
      </c>
      <c r="M300" s="504">
        <f>IFERROR(__xludf.DUMMYFUNCTION("""COMPUTED_VALUE"""),0.0)</f>
        <v>0</v>
      </c>
      <c r="N300" s="504">
        <f>IFERROR(__xludf.DUMMYFUNCTION("""COMPUTED_VALUE"""),0.0)</f>
        <v>0</v>
      </c>
      <c r="O300" s="62"/>
      <c r="P300" s="62"/>
      <c r="Q300" s="62"/>
      <c r="R300" s="62"/>
      <c r="S300" s="62"/>
      <c r="T300" s="62"/>
      <c r="U300" s="62"/>
      <c r="V300" s="62"/>
      <c r="W300" s="62"/>
      <c r="X300" s="62"/>
      <c r="Y300" s="62"/>
      <c r="Z300" s="62"/>
    </row>
    <row r="301">
      <c r="A301" s="62"/>
      <c r="B301" s="62" t="str">
        <f>IFERROR(__xludf.DUMMYFUNCTION("""COMPUTED_VALUE"""),"ジョーナ")</f>
        <v>ジョーナ</v>
      </c>
      <c r="C301" s="62"/>
      <c r="D301" s="62"/>
      <c r="E301" s="62"/>
      <c r="F301" s="62"/>
      <c r="G301" s="504">
        <f>IFERROR(__xludf.DUMMYFUNCTION("""COMPUTED_VALUE"""),0.0)</f>
        <v>0</v>
      </c>
      <c r="H301" s="62"/>
      <c r="I301" s="62"/>
      <c r="J301" s="62"/>
      <c r="K301" s="62"/>
      <c r="L301" s="504">
        <f>IFERROR(__xludf.DUMMYFUNCTION("""COMPUTED_VALUE"""),0.0)</f>
        <v>0</v>
      </c>
      <c r="M301" s="504">
        <f>IFERROR(__xludf.DUMMYFUNCTION("""COMPUTED_VALUE"""),0.0)</f>
        <v>0</v>
      </c>
      <c r="N301" s="504">
        <f>IFERROR(__xludf.DUMMYFUNCTION("""COMPUTED_VALUE"""),0.0)</f>
        <v>0</v>
      </c>
      <c r="O301" s="62"/>
      <c r="P301" s="62"/>
      <c r="Q301" s="62"/>
      <c r="R301" s="62"/>
      <c r="S301" s="62"/>
      <c r="T301" s="62"/>
      <c r="U301" s="62"/>
      <c r="V301" s="62"/>
      <c r="W301" s="62"/>
      <c r="X301" s="62"/>
      <c r="Y301" s="62"/>
      <c r="Z301" s="62"/>
    </row>
    <row r="302">
      <c r="A302" s="62"/>
      <c r="B302" s="62" t="str">
        <f>IFERROR(__xludf.DUMMYFUNCTION("""COMPUTED_VALUE"""),"武田")</f>
        <v>武田</v>
      </c>
      <c r="C302" s="62"/>
      <c r="D302" s="62"/>
      <c r="E302" s="62"/>
      <c r="F302" s="62"/>
      <c r="G302" s="504">
        <f>IFERROR(__xludf.DUMMYFUNCTION("""COMPUTED_VALUE"""),0.0)</f>
        <v>0</v>
      </c>
      <c r="H302" s="62"/>
      <c r="I302" s="62"/>
      <c r="J302" s="62"/>
      <c r="K302" s="62"/>
      <c r="L302" s="504">
        <f>IFERROR(__xludf.DUMMYFUNCTION("""COMPUTED_VALUE"""),0.0)</f>
        <v>0</v>
      </c>
      <c r="M302" s="504">
        <f>IFERROR(__xludf.DUMMYFUNCTION("""COMPUTED_VALUE"""),0.0)</f>
        <v>0</v>
      </c>
      <c r="N302" s="504">
        <f>IFERROR(__xludf.DUMMYFUNCTION("""COMPUTED_VALUE"""),0.0)</f>
        <v>0</v>
      </c>
      <c r="O302" s="62"/>
      <c r="P302" s="62"/>
      <c r="Q302" s="62"/>
      <c r="R302" s="62"/>
      <c r="S302" s="62"/>
      <c r="T302" s="62"/>
      <c r="U302" s="62"/>
      <c r="V302" s="62"/>
      <c r="W302" s="62"/>
      <c r="X302" s="62"/>
      <c r="Y302" s="62"/>
      <c r="Z302" s="62"/>
    </row>
    <row r="303">
      <c r="A303" s="62"/>
      <c r="B303" s="62" t="str">
        <f>IFERROR(__xludf.DUMMYFUNCTION("""COMPUTED_VALUE"""),"高木")</f>
        <v>高木</v>
      </c>
      <c r="C303" s="62">
        <f>IFERROR(__xludf.DUMMYFUNCTION("""COMPUTED_VALUE"""),289.0)</f>
        <v>289</v>
      </c>
      <c r="D303" s="62">
        <f>IFERROR(__xludf.DUMMYFUNCTION("""COMPUTED_VALUE"""),62.0)</f>
        <v>62</v>
      </c>
      <c r="E303" s="62">
        <f>IFERROR(__xludf.DUMMYFUNCTION("""COMPUTED_VALUE"""),3.0)</f>
        <v>3</v>
      </c>
      <c r="F303" s="62">
        <f>IFERROR(__xludf.DUMMYFUNCTION("""COMPUTED_VALUE"""),48.0)</f>
        <v>48</v>
      </c>
      <c r="G303" s="504">
        <f>IFERROR(__xludf.DUMMYFUNCTION("""COMPUTED_VALUE"""),0.21453287197231835)</f>
        <v>0.214532872</v>
      </c>
      <c r="H303" s="62">
        <f>IFERROR(__xludf.DUMMYFUNCTION("""COMPUTED_VALUE"""),1.0)</f>
        <v>1</v>
      </c>
      <c r="I303" s="62">
        <f>IFERROR(__xludf.DUMMYFUNCTION("""COMPUTED_VALUE"""),1.0)</f>
        <v>1</v>
      </c>
      <c r="J303" s="552">
        <f>IFERROR(__xludf.DUMMYFUNCTION("""COMPUTED_VALUE"""),100000.0)</f>
        <v>100000</v>
      </c>
      <c r="K303" s="62">
        <f>IFERROR(__xludf.DUMMYFUNCTION("""COMPUTED_VALUE"""),14.0)</f>
        <v>14</v>
      </c>
      <c r="L303" s="504">
        <f>IFERROR(__xludf.DUMMYFUNCTION("""COMPUTED_VALUE"""),0.0034602076124567475)</f>
        <v>0.003460207612</v>
      </c>
      <c r="M303" s="504">
        <f>IFERROR(__xludf.DUMMYFUNCTION("""COMPUTED_VALUE"""),0.0034602076124567475)</f>
        <v>0.003460207612</v>
      </c>
      <c r="N303" s="504">
        <f>IFERROR(__xludf.DUMMYFUNCTION("""COMPUTED_VALUE"""),1.0)</f>
        <v>1</v>
      </c>
      <c r="O303" s="62"/>
      <c r="P303" s="62"/>
      <c r="Q303" s="62"/>
      <c r="R303" s="62"/>
      <c r="S303" s="62"/>
      <c r="T303" s="62"/>
      <c r="U303" s="62"/>
      <c r="V303" s="62"/>
      <c r="W303" s="62"/>
      <c r="X303" s="62"/>
      <c r="Y303" s="62"/>
      <c r="Z303" s="62"/>
    </row>
    <row r="304">
      <c r="A304" s="62"/>
      <c r="B304" s="62"/>
      <c r="C304" s="62"/>
      <c r="D304" s="62"/>
      <c r="E304" s="62"/>
      <c r="F304" s="62"/>
      <c r="G304" s="504">
        <f>IFERROR(__xludf.DUMMYFUNCTION("""COMPUTED_VALUE"""),0.0)</f>
        <v>0</v>
      </c>
      <c r="H304" s="62"/>
      <c r="I304" s="62"/>
      <c r="J304" s="62"/>
      <c r="K304" s="62"/>
      <c r="L304" s="504">
        <f>IFERROR(__xludf.DUMMYFUNCTION("""COMPUTED_VALUE"""),0.0)</f>
        <v>0</v>
      </c>
      <c r="M304" s="504">
        <f>IFERROR(__xludf.DUMMYFUNCTION("""COMPUTED_VALUE"""),0.0)</f>
        <v>0</v>
      </c>
      <c r="N304" s="504">
        <f>IFERROR(__xludf.DUMMYFUNCTION("""COMPUTED_VALUE"""),0.0)</f>
        <v>0</v>
      </c>
      <c r="O304" s="62"/>
      <c r="P304" s="62"/>
      <c r="Q304" s="62"/>
      <c r="R304" s="62"/>
      <c r="S304" s="62"/>
      <c r="T304" s="62"/>
      <c r="U304" s="62"/>
      <c r="V304" s="62"/>
      <c r="W304" s="62"/>
      <c r="X304" s="62"/>
      <c r="Y304" s="62"/>
      <c r="Z304" s="62"/>
    </row>
    <row r="305">
      <c r="A305" s="62"/>
      <c r="B305" s="62" t="str">
        <f>IFERROR(__xludf.DUMMYFUNCTION("""COMPUTED_VALUE"""),"大谷")</f>
        <v>大谷</v>
      </c>
      <c r="C305" s="62"/>
      <c r="D305" s="62"/>
      <c r="E305" s="62"/>
      <c r="F305" s="62"/>
      <c r="G305" s="504">
        <f>IFERROR(__xludf.DUMMYFUNCTION("""COMPUTED_VALUE"""),0.0)</f>
        <v>0</v>
      </c>
      <c r="H305" s="62"/>
      <c r="I305" s="62"/>
      <c r="J305" s="62"/>
      <c r="K305" s="62"/>
      <c r="L305" s="504">
        <f>IFERROR(__xludf.DUMMYFUNCTION("""COMPUTED_VALUE"""),0.0)</f>
        <v>0</v>
      </c>
      <c r="M305" s="504">
        <f>IFERROR(__xludf.DUMMYFUNCTION("""COMPUTED_VALUE"""),0.0)</f>
        <v>0</v>
      </c>
      <c r="N305" s="504">
        <f>IFERROR(__xludf.DUMMYFUNCTION("""COMPUTED_VALUE"""),0.0)</f>
        <v>0</v>
      </c>
      <c r="O305" s="62"/>
      <c r="P305" s="62"/>
      <c r="Q305" s="62"/>
      <c r="R305" s="62"/>
      <c r="S305" s="62"/>
      <c r="T305" s="62"/>
      <c r="U305" s="62"/>
      <c r="V305" s="62"/>
      <c r="W305" s="62"/>
      <c r="X305" s="62"/>
      <c r="Y305" s="62"/>
      <c r="Z305" s="62"/>
    </row>
    <row r="306">
      <c r="A306" s="62"/>
      <c r="B306" s="62"/>
      <c r="C306" s="62"/>
      <c r="D306" s="62"/>
      <c r="E306" s="62"/>
      <c r="F306" s="62"/>
      <c r="G306" s="504">
        <f>IFERROR(__xludf.DUMMYFUNCTION("""COMPUTED_VALUE"""),0.0)</f>
        <v>0</v>
      </c>
      <c r="H306" s="62"/>
      <c r="I306" s="62"/>
      <c r="J306" s="62"/>
      <c r="K306" s="62"/>
      <c r="L306" s="504">
        <f>IFERROR(__xludf.DUMMYFUNCTION("""COMPUTED_VALUE"""),0.0)</f>
        <v>0</v>
      </c>
      <c r="M306" s="504">
        <f>IFERROR(__xludf.DUMMYFUNCTION("""COMPUTED_VALUE"""),0.0)</f>
        <v>0</v>
      </c>
      <c r="N306" s="504">
        <f>IFERROR(__xludf.DUMMYFUNCTION("""COMPUTED_VALUE"""),0.0)</f>
        <v>0</v>
      </c>
      <c r="O306" s="62"/>
      <c r="P306" s="62"/>
      <c r="Q306" s="62"/>
      <c r="R306" s="62"/>
      <c r="S306" s="62"/>
      <c r="T306" s="62"/>
      <c r="U306" s="62"/>
      <c r="V306" s="62"/>
      <c r="W306" s="62"/>
      <c r="X306" s="62"/>
      <c r="Y306" s="62"/>
      <c r="Z306" s="62"/>
    </row>
    <row r="307">
      <c r="A307" s="62"/>
      <c r="B307" s="62" t="str">
        <f>IFERROR(__xludf.DUMMYFUNCTION("""COMPUTED_VALUE"""),"森")</f>
        <v>森</v>
      </c>
      <c r="C307" s="62"/>
      <c r="D307" s="62"/>
      <c r="E307" s="62"/>
      <c r="F307" s="62"/>
      <c r="G307" s="504">
        <f>IFERROR(__xludf.DUMMYFUNCTION("""COMPUTED_VALUE"""),0.0)</f>
        <v>0</v>
      </c>
      <c r="H307" s="62"/>
      <c r="I307" s="62"/>
      <c r="J307" s="62"/>
      <c r="K307" s="62"/>
      <c r="L307" s="504">
        <f>IFERROR(__xludf.DUMMYFUNCTION("""COMPUTED_VALUE"""),0.0)</f>
        <v>0</v>
      </c>
      <c r="M307" s="504">
        <f>IFERROR(__xludf.DUMMYFUNCTION("""COMPUTED_VALUE"""),0.0)</f>
        <v>0</v>
      </c>
      <c r="N307" s="504">
        <f>IFERROR(__xludf.DUMMYFUNCTION("""COMPUTED_VALUE"""),0.0)</f>
        <v>0</v>
      </c>
      <c r="O307" s="62"/>
      <c r="P307" s="62"/>
      <c r="Q307" s="62"/>
      <c r="R307" s="62"/>
      <c r="S307" s="62"/>
      <c r="T307" s="62"/>
      <c r="U307" s="62"/>
      <c r="V307" s="62"/>
      <c r="W307" s="62"/>
      <c r="X307" s="62"/>
      <c r="Y307" s="62"/>
      <c r="Z307" s="62"/>
    </row>
    <row r="308">
      <c r="A308" s="62"/>
      <c r="B308" s="62"/>
      <c r="C308" s="62"/>
      <c r="D308" s="62"/>
      <c r="E308" s="62"/>
      <c r="F308" s="62"/>
      <c r="G308" s="504">
        <f>IFERROR(__xludf.DUMMYFUNCTION("""COMPUTED_VALUE"""),0.0)</f>
        <v>0</v>
      </c>
      <c r="H308" s="62"/>
      <c r="I308" s="62"/>
      <c r="J308" s="62"/>
      <c r="K308" s="62"/>
      <c r="L308" s="504">
        <f>IFERROR(__xludf.DUMMYFUNCTION("""COMPUTED_VALUE"""),0.0)</f>
        <v>0</v>
      </c>
      <c r="M308" s="504">
        <f>IFERROR(__xludf.DUMMYFUNCTION("""COMPUTED_VALUE"""),0.0)</f>
        <v>0</v>
      </c>
      <c r="N308" s="504">
        <f>IFERROR(__xludf.DUMMYFUNCTION("""COMPUTED_VALUE"""),0.0)</f>
        <v>0</v>
      </c>
      <c r="O308" s="62"/>
      <c r="P308" s="62"/>
      <c r="Q308" s="62"/>
      <c r="R308" s="62"/>
      <c r="S308" s="62"/>
      <c r="T308" s="62"/>
      <c r="U308" s="62"/>
      <c r="V308" s="62"/>
      <c r="W308" s="62"/>
      <c r="X308" s="62"/>
      <c r="Y308" s="62"/>
      <c r="Z308" s="62"/>
    </row>
    <row r="309">
      <c r="A309" s="62"/>
      <c r="B309" s="62" t="str">
        <f>IFERROR(__xludf.DUMMYFUNCTION("""COMPUTED_VALUE"""),"金子")</f>
        <v>金子</v>
      </c>
      <c r="C309" s="62"/>
      <c r="D309" s="62"/>
      <c r="E309" s="62"/>
      <c r="F309" s="62"/>
      <c r="G309" s="504">
        <f>IFERROR(__xludf.DUMMYFUNCTION("""COMPUTED_VALUE"""),0.0)</f>
        <v>0</v>
      </c>
      <c r="H309" s="62"/>
      <c r="I309" s="62"/>
      <c r="J309" s="62"/>
      <c r="K309" s="62"/>
      <c r="L309" s="504">
        <f>IFERROR(__xludf.DUMMYFUNCTION("""COMPUTED_VALUE"""),0.0)</f>
        <v>0</v>
      </c>
      <c r="M309" s="504">
        <f>IFERROR(__xludf.DUMMYFUNCTION("""COMPUTED_VALUE"""),0.0)</f>
        <v>0</v>
      </c>
      <c r="N309" s="504">
        <f>IFERROR(__xludf.DUMMYFUNCTION("""COMPUTED_VALUE"""),0.0)</f>
        <v>0</v>
      </c>
      <c r="O309" s="62"/>
      <c r="P309" s="62"/>
      <c r="Q309" s="62"/>
      <c r="R309" s="62"/>
      <c r="S309" s="62"/>
      <c r="T309" s="62"/>
      <c r="U309" s="62"/>
      <c r="V309" s="62"/>
      <c r="W309" s="62"/>
      <c r="X309" s="62"/>
      <c r="Y309" s="62"/>
      <c r="Z309" s="62"/>
    </row>
    <row r="310">
      <c r="A310" s="62"/>
      <c r="B310" s="62"/>
      <c r="C310" s="62"/>
      <c r="D310" s="62"/>
      <c r="E310" s="62"/>
      <c r="F310" s="62"/>
      <c r="G310" s="504">
        <f>IFERROR(__xludf.DUMMYFUNCTION("""COMPUTED_VALUE"""),0.0)</f>
        <v>0</v>
      </c>
      <c r="H310" s="62"/>
      <c r="I310" s="62"/>
      <c r="J310" s="62"/>
      <c r="K310" s="62"/>
      <c r="L310" s="504">
        <f>IFERROR(__xludf.DUMMYFUNCTION("""COMPUTED_VALUE"""),0.0)</f>
        <v>0</v>
      </c>
      <c r="M310" s="504">
        <f>IFERROR(__xludf.DUMMYFUNCTION("""COMPUTED_VALUE"""),0.0)</f>
        <v>0</v>
      </c>
      <c r="N310" s="504">
        <f>IFERROR(__xludf.DUMMYFUNCTION("""COMPUTED_VALUE"""),0.0)</f>
        <v>0</v>
      </c>
      <c r="O310" s="62"/>
      <c r="P310" s="62"/>
      <c r="Q310" s="62"/>
      <c r="R310" s="62"/>
      <c r="S310" s="62"/>
      <c r="T310" s="62"/>
      <c r="U310" s="62"/>
      <c r="V310" s="62"/>
      <c r="W310" s="62"/>
      <c r="X310" s="62"/>
      <c r="Y310" s="62"/>
      <c r="Z310" s="62"/>
    </row>
    <row r="311">
      <c r="A311" s="62"/>
      <c r="B311" s="552" t="str">
        <f>IFERROR(__xludf.DUMMYFUNCTION("""COMPUTED_VALUE"""),"SMS")</f>
        <v>SMS</v>
      </c>
      <c r="C311" s="62"/>
      <c r="D311" s="62"/>
      <c r="E311" s="62"/>
      <c r="F311" s="62"/>
      <c r="G311" s="504">
        <f>IFERROR(__xludf.DUMMYFUNCTION("""COMPUTED_VALUE"""),0.0)</f>
        <v>0</v>
      </c>
      <c r="H311" s="62"/>
      <c r="I311" s="62"/>
      <c r="J311" s="62"/>
      <c r="K311" s="62"/>
      <c r="L311" s="504">
        <f>IFERROR(__xludf.DUMMYFUNCTION("""COMPUTED_VALUE"""),0.0)</f>
        <v>0</v>
      </c>
      <c r="M311" s="504">
        <f>IFERROR(__xludf.DUMMYFUNCTION("""COMPUTED_VALUE"""),0.0)</f>
        <v>0</v>
      </c>
      <c r="N311" s="504">
        <f>IFERROR(__xludf.DUMMYFUNCTION("""COMPUTED_VALUE"""),0.0)</f>
        <v>0</v>
      </c>
      <c r="O311" s="62"/>
      <c r="P311" s="62"/>
      <c r="Q311" s="62"/>
      <c r="R311" s="62"/>
      <c r="S311" s="62"/>
      <c r="T311" s="62"/>
      <c r="U311" s="62"/>
      <c r="V311" s="62"/>
      <c r="W311" s="62"/>
      <c r="X311" s="62"/>
      <c r="Y311" s="62"/>
      <c r="Z311" s="62"/>
    </row>
    <row r="312">
      <c r="A312" s="62"/>
      <c r="B312" s="62" t="str">
        <f>IFERROR(__xludf.DUMMYFUNCTION("""COMPUTED_VALUE"""),"紹介")</f>
        <v>紹介</v>
      </c>
      <c r="C312" s="62"/>
      <c r="D312" s="62"/>
      <c r="E312" s="62"/>
      <c r="F312" s="62"/>
      <c r="G312" s="504">
        <f>IFERROR(__xludf.DUMMYFUNCTION("""COMPUTED_VALUE"""),0.0)</f>
        <v>0</v>
      </c>
      <c r="H312" s="62"/>
      <c r="I312" s="62"/>
      <c r="J312" s="62"/>
      <c r="K312" s="62"/>
      <c r="L312" s="504">
        <f>IFERROR(__xludf.DUMMYFUNCTION("""COMPUTED_VALUE"""),0.0)</f>
        <v>0</v>
      </c>
      <c r="M312" s="504">
        <f>IFERROR(__xludf.DUMMYFUNCTION("""COMPUTED_VALUE"""),0.0)</f>
        <v>0</v>
      </c>
      <c r="N312" s="504">
        <f>IFERROR(__xludf.DUMMYFUNCTION("""COMPUTED_VALUE"""),0.0)</f>
        <v>0</v>
      </c>
      <c r="O312" s="62"/>
      <c r="P312" s="62"/>
      <c r="Q312" s="62"/>
      <c r="R312" s="62"/>
      <c r="S312" s="62"/>
      <c r="T312" s="62"/>
      <c r="U312" s="62"/>
      <c r="V312" s="62"/>
      <c r="W312" s="62"/>
      <c r="X312" s="62"/>
      <c r="Y312" s="62"/>
      <c r="Z312" s="62"/>
    </row>
    <row r="313">
      <c r="A313" s="62"/>
      <c r="B313" s="62" t="str">
        <f>IFERROR(__xludf.DUMMYFUNCTION("""COMPUTED_VALUE"""),"仁子")</f>
        <v>仁子</v>
      </c>
      <c r="C313" s="62"/>
      <c r="D313" s="62"/>
      <c r="E313" s="62"/>
      <c r="F313" s="62"/>
      <c r="G313" s="504">
        <f>IFERROR(__xludf.DUMMYFUNCTION("""COMPUTED_VALUE"""),0.0)</f>
        <v>0</v>
      </c>
      <c r="H313" s="62"/>
      <c r="I313" s="62">
        <f>IFERROR(__xludf.DUMMYFUNCTION("""COMPUTED_VALUE"""),1.0)</f>
        <v>1</v>
      </c>
      <c r="J313" s="552">
        <f>IFERROR(__xludf.DUMMYFUNCTION("""COMPUTED_VALUE"""),100000.0)</f>
        <v>100000</v>
      </c>
      <c r="K313" s="62"/>
      <c r="L313" s="504">
        <f>IFERROR(__xludf.DUMMYFUNCTION("""COMPUTED_VALUE"""),0.0)</f>
        <v>0</v>
      </c>
      <c r="M313" s="504">
        <f>IFERROR(__xludf.DUMMYFUNCTION("""COMPUTED_VALUE"""),0.0)</f>
        <v>0</v>
      </c>
      <c r="N313" s="504">
        <f>IFERROR(__xludf.DUMMYFUNCTION("""COMPUTED_VALUE"""),0.0)</f>
        <v>0</v>
      </c>
      <c r="O313" s="62"/>
      <c r="P313" s="62"/>
      <c r="Q313" s="62"/>
      <c r="R313" s="62"/>
      <c r="S313" s="62"/>
      <c r="T313" s="62"/>
      <c r="U313" s="62"/>
      <c r="V313" s="62"/>
      <c r="W313" s="62"/>
      <c r="X313" s="62"/>
      <c r="Y313" s="62"/>
      <c r="Z313" s="62"/>
    </row>
    <row r="314">
      <c r="A314" s="62"/>
      <c r="B314" s="62" t="str">
        <f>IFERROR(__xludf.DUMMYFUNCTION("""COMPUTED_VALUE"""),"鈴木")</f>
        <v>鈴木</v>
      </c>
      <c r="C314" s="62"/>
      <c r="D314" s="62"/>
      <c r="E314" s="62"/>
      <c r="F314" s="62"/>
      <c r="G314" s="504">
        <f>IFERROR(__xludf.DUMMYFUNCTION("""COMPUTED_VALUE"""),0.0)</f>
        <v>0</v>
      </c>
      <c r="H314" s="62"/>
      <c r="I314" s="62"/>
      <c r="J314" s="62"/>
      <c r="K314" s="62"/>
      <c r="L314" s="504">
        <f>IFERROR(__xludf.DUMMYFUNCTION("""COMPUTED_VALUE"""),0.0)</f>
        <v>0</v>
      </c>
      <c r="M314" s="504">
        <f>IFERROR(__xludf.DUMMYFUNCTION("""COMPUTED_VALUE"""),0.0)</f>
        <v>0</v>
      </c>
      <c r="N314" s="504">
        <f>IFERROR(__xludf.DUMMYFUNCTION("""COMPUTED_VALUE"""),0.0)</f>
        <v>0</v>
      </c>
      <c r="O314" s="62"/>
      <c r="P314" s="62"/>
      <c r="Q314" s="62"/>
      <c r="R314" s="62"/>
      <c r="S314" s="62"/>
      <c r="T314" s="62"/>
      <c r="U314" s="62"/>
      <c r="V314" s="62"/>
      <c r="W314" s="62"/>
      <c r="X314" s="62"/>
      <c r="Y314" s="62"/>
      <c r="Z314" s="62"/>
    </row>
    <row r="315">
      <c r="A315" s="62"/>
      <c r="B315" s="62" t="str">
        <f>IFERROR(__xludf.DUMMYFUNCTION("""COMPUTED_VALUE"""),"仲間")</f>
        <v>仲間</v>
      </c>
      <c r="C315" s="62">
        <f>IFERROR(__xludf.DUMMYFUNCTION("""COMPUTED_VALUE"""),118.0)</f>
        <v>118</v>
      </c>
      <c r="D315" s="62">
        <f>IFERROR(__xludf.DUMMYFUNCTION("""COMPUTED_VALUE"""),23.0)</f>
        <v>23</v>
      </c>
      <c r="E315" s="62"/>
      <c r="F315" s="62">
        <f>IFERROR(__xludf.DUMMYFUNCTION("""COMPUTED_VALUE"""),21.0)</f>
        <v>21</v>
      </c>
      <c r="G315" s="504">
        <f>IFERROR(__xludf.DUMMYFUNCTION("""COMPUTED_VALUE"""),0.19491525423728814)</f>
        <v>0.1949152542</v>
      </c>
      <c r="H315" s="62"/>
      <c r="I315" s="62"/>
      <c r="J315" s="62"/>
      <c r="K315" s="62"/>
      <c r="L315" s="504">
        <f>IFERROR(__xludf.DUMMYFUNCTION("""COMPUTED_VALUE"""),0.0)</f>
        <v>0</v>
      </c>
      <c r="M315" s="504">
        <f>IFERROR(__xludf.DUMMYFUNCTION("""COMPUTED_VALUE"""),0.0)</f>
        <v>0</v>
      </c>
      <c r="N315" s="504">
        <f>IFERROR(__xludf.DUMMYFUNCTION("""COMPUTED_VALUE"""),0.0)</f>
        <v>0</v>
      </c>
      <c r="O315" s="62" t="str">
        <f>IFERROR(__xludf.DUMMYFUNCTION("""COMPUTED_VALUE"""),"リストE")</f>
        <v>リストE</v>
      </c>
      <c r="P315" s="553" t="str">
        <f>IFERROR(__xludf.DUMMYFUNCTION("""COMPUTED_VALUE"""),"平日")</f>
        <v>平日</v>
      </c>
      <c r="Q315" s="62"/>
      <c r="R315" s="62"/>
      <c r="S315" s="62"/>
      <c r="T315" s="62"/>
      <c r="U315" s="62"/>
      <c r="V315" s="62"/>
      <c r="W315" s="62"/>
      <c r="X315" s="62"/>
      <c r="Y315" s="62"/>
      <c r="Z315" s="62"/>
    </row>
    <row r="316">
      <c r="A316" s="62"/>
      <c r="B316" s="62"/>
      <c r="C316" s="62"/>
      <c r="D316" s="62"/>
      <c r="E316" s="62"/>
      <c r="F316" s="62"/>
      <c r="G316" s="504">
        <f>IFERROR(__xludf.DUMMYFUNCTION("""COMPUTED_VALUE"""),0.0)</f>
        <v>0</v>
      </c>
      <c r="H316" s="62"/>
      <c r="I316" s="62"/>
      <c r="J316" s="62"/>
      <c r="K316" s="62"/>
      <c r="L316" s="504">
        <f>IFERROR(__xludf.DUMMYFUNCTION("""COMPUTED_VALUE"""),0.0)</f>
        <v>0</v>
      </c>
      <c r="M316" s="504">
        <f>IFERROR(__xludf.DUMMYFUNCTION("""COMPUTED_VALUE"""),0.0)</f>
        <v>0</v>
      </c>
      <c r="N316" s="504">
        <f>IFERROR(__xludf.DUMMYFUNCTION("""COMPUTED_VALUE"""),0.0)</f>
        <v>0</v>
      </c>
      <c r="O316" s="62"/>
      <c r="P316" s="62"/>
      <c r="Q316" s="62"/>
      <c r="R316" s="62"/>
      <c r="S316" s="62"/>
      <c r="T316" s="62"/>
      <c r="U316" s="62"/>
      <c r="V316" s="62"/>
      <c r="W316" s="62"/>
      <c r="X316" s="62"/>
      <c r="Y316" s="62"/>
      <c r="Z316" s="62"/>
    </row>
    <row r="317">
      <c r="A317" s="62"/>
      <c r="B317" s="62" t="str">
        <f>IFERROR(__xludf.DUMMYFUNCTION("""COMPUTED_VALUE"""),"合計")</f>
        <v>合計</v>
      </c>
      <c r="C317" s="62">
        <f>IFERROR(__xludf.DUMMYFUNCTION("""COMPUTED_VALUE"""),461.0)</f>
        <v>461</v>
      </c>
      <c r="D317" s="62">
        <f>IFERROR(__xludf.DUMMYFUNCTION("""COMPUTED_VALUE"""),102.0)</f>
        <v>102</v>
      </c>
      <c r="E317" s="62">
        <f>IFERROR(__xludf.DUMMYFUNCTION("""COMPUTED_VALUE"""),7.0)</f>
        <v>7</v>
      </c>
      <c r="F317" s="62">
        <f>IFERROR(__xludf.DUMMYFUNCTION("""COMPUTED_VALUE"""),80.0)</f>
        <v>80</v>
      </c>
      <c r="G317" s="504">
        <f>IFERROR(__xludf.DUMMYFUNCTION("""COMPUTED_VALUE"""),0.22125813449023862)</f>
        <v>0.2212581345</v>
      </c>
      <c r="H317" s="62">
        <f>IFERROR(__xludf.DUMMYFUNCTION("""COMPUTED_VALUE"""),9.0)</f>
        <v>9</v>
      </c>
      <c r="I317" s="62">
        <f>IFERROR(__xludf.DUMMYFUNCTION("""COMPUTED_VALUE"""),9.0)</f>
        <v>9</v>
      </c>
      <c r="J317" s="552">
        <f>IFERROR(__xludf.DUMMYFUNCTION("""COMPUTED_VALUE"""),590000.0)</f>
        <v>590000</v>
      </c>
      <c r="K317" s="62">
        <f>IFERROR(__xludf.DUMMYFUNCTION("""COMPUTED_VALUE"""),18.0)</f>
        <v>18</v>
      </c>
      <c r="L317" s="504">
        <f>IFERROR(__xludf.DUMMYFUNCTION("""COMPUTED_VALUE"""),0.019522776572668113)</f>
        <v>0.01952277657</v>
      </c>
      <c r="M317" s="504">
        <f>IFERROR(__xludf.DUMMYFUNCTION("""COMPUTED_VALUE"""),0.019522776572668113)</f>
        <v>0.01952277657</v>
      </c>
      <c r="N317" s="504">
        <f>IFERROR(__xludf.DUMMYFUNCTION("""COMPUTED_VALUE"""),1.0)</f>
        <v>1</v>
      </c>
      <c r="O317" s="62"/>
      <c r="P317" s="62"/>
      <c r="Q317" s="62"/>
      <c r="R317" s="62"/>
      <c r="S317" s="62"/>
      <c r="T317" s="62"/>
      <c r="U317" s="62"/>
      <c r="V317" s="62"/>
      <c r="W317" s="62"/>
      <c r="X317" s="62"/>
      <c r="Y317" s="62"/>
      <c r="Z317" s="62"/>
    </row>
    <row r="318">
      <c r="A318" s="62" t="str">
        <f>IFERROR(__xludf.DUMMYFUNCTION("""COMPUTED_VALUE"""),"日付")</f>
        <v>日付</v>
      </c>
      <c r="B318" s="62" t="str">
        <f>IFERROR(__xludf.DUMMYFUNCTION("""COMPUTED_VALUE"""),"名前")</f>
        <v>名前</v>
      </c>
      <c r="C318" s="62" t="str">
        <f>IFERROR(__xludf.DUMMYFUNCTION("""COMPUTED_VALUE"""),"打電件数")</f>
        <v>打電件数</v>
      </c>
      <c r="D318" s="62" t="str">
        <f>IFERROR(__xludf.DUMMYFUNCTION("""COMPUTED_VALUE"""),"着電件数")</f>
        <v>着電件数</v>
      </c>
      <c r="E318" s="62" t="str">
        <f>IFERROR(__xludf.DUMMYFUNCTION("""COMPUTED_VALUE"""),"折り返し件数")</f>
        <v>折り返し件数</v>
      </c>
      <c r="F318" s="62" t="str">
        <f>IFERROR(__xludf.DUMMYFUNCTION("""COMPUTED_VALUE"""),"拒否")</f>
        <v>拒否</v>
      </c>
      <c r="G318" s="62" t="str">
        <f>IFERROR(__xludf.DUMMYFUNCTION("""COMPUTED_VALUE"""),"着電率")</f>
        <v>着電率</v>
      </c>
      <c r="H318" s="62" t="str">
        <f>IFERROR(__xludf.DUMMYFUNCTION("""COMPUTED_VALUE"""),"LINE登録")</f>
        <v>LINE登録</v>
      </c>
      <c r="I318" s="62" t="str">
        <f>IFERROR(__xludf.DUMMYFUNCTION("""COMPUTED_VALUE"""),"アカウント作成")</f>
        <v>アカウント作成</v>
      </c>
      <c r="J318" s="552" t="str">
        <f>IFERROR(__xludf.DUMMYFUNCTION("""COMPUTED_VALUE"""),"新規信用枠額")</f>
        <v>新規信用枠額</v>
      </c>
      <c r="K318" s="62" t="str">
        <f>IFERROR(__xludf.DUMMYFUNCTION("""COMPUTED_VALUE"""),"リスト死回線数")</f>
        <v>リスト死回線数</v>
      </c>
      <c r="L318" s="62" t="str">
        <f>IFERROR(__xludf.DUMMYFUNCTION("""COMPUTED_VALUE"""),"LINE率(打電から)")</f>
        <v>LINE率(打電から)</v>
      </c>
      <c r="M318" s="62" t="str">
        <f>IFERROR(__xludf.DUMMYFUNCTION("""COMPUTED_VALUE"""),"アカウント作成率(打電から)")</f>
        <v>アカウント作成率(打電から)</v>
      </c>
      <c r="N318" s="62" t="str">
        <f>IFERROR(__xludf.DUMMYFUNCTION("""COMPUTED_VALUE"""),"アカウント作成率(LINEから)")</f>
        <v>アカウント作成率(LINEから)</v>
      </c>
      <c r="O318" s="62" t="str">
        <f>IFERROR(__xludf.DUMMYFUNCTION("""COMPUTED_VALUE"""),"リスト名")</f>
        <v>リスト名</v>
      </c>
      <c r="P318" s="553" t="str">
        <f>IFERROR(__xludf.DUMMYFUNCTION("""COMPUTED_VALUE"""),"日本基準")</f>
        <v>日本基準</v>
      </c>
      <c r="Q318" s="62"/>
      <c r="R318" s="62"/>
      <c r="S318" s="62"/>
      <c r="T318" s="62"/>
      <c r="U318" s="62"/>
      <c r="V318" s="62"/>
      <c r="W318" s="62"/>
      <c r="X318" s="62"/>
      <c r="Y318" s="62"/>
      <c r="Z318" s="62"/>
    </row>
    <row r="319">
      <c r="A319" s="556">
        <f>IFERROR(__xludf.DUMMYFUNCTION("""COMPUTED_VALUE"""),45916.0)</f>
        <v>45916</v>
      </c>
      <c r="B319" s="62" t="str">
        <f>IFERROR(__xludf.DUMMYFUNCTION("""COMPUTED_VALUE"""),"あり")</f>
        <v>あり</v>
      </c>
      <c r="C319" s="62"/>
      <c r="D319" s="62"/>
      <c r="E319" s="62"/>
      <c r="F319" s="62"/>
      <c r="G319" s="504">
        <f>IFERROR(__xludf.DUMMYFUNCTION("""COMPUTED_VALUE"""),0.0)</f>
        <v>0</v>
      </c>
      <c r="H319" s="62">
        <f>IFERROR(__xludf.DUMMYFUNCTION("""COMPUTED_VALUE"""),3.0)</f>
        <v>3</v>
      </c>
      <c r="I319" s="62">
        <f>IFERROR(__xludf.DUMMYFUNCTION("""COMPUTED_VALUE"""),1.0)</f>
        <v>1</v>
      </c>
      <c r="J319" s="552">
        <f>IFERROR(__xludf.DUMMYFUNCTION("""COMPUTED_VALUE"""),100000.0)</f>
        <v>100000</v>
      </c>
      <c r="K319" s="62"/>
      <c r="L319" s="504">
        <f>IFERROR(__xludf.DUMMYFUNCTION("""COMPUTED_VALUE"""),0.0)</f>
        <v>0</v>
      </c>
      <c r="M319" s="504">
        <f>IFERROR(__xludf.DUMMYFUNCTION("""COMPUTED_VALUE"""),0.0)</f>
        <v>0</v>
      </c>
      <c r="N319" s="504">
        <f>IFERROR(__xludf.DUMMYFUNCTION("""COMPUTED_VALUE"""),0.3333333333333333)</f>
        <v>0.3333333333</v>
      </c>
      <c r="O319" s="62"/>
      <c r="P319" s="62"/>
      <c r="Q319" s="62"/>
      <c r="R319" s="62"/>
      <c r="S319" s="62"/>
      <c r="T319" s="62"/>
      <c r="U319" s="62"/>
      <c r="V319" s="62"/>
      <c r="W319" s="62"/>
      <c r="X319" s="62"/>
      <c r="Y319" s="62"/>
      <c r="Z319" s="62"/>
    </row>
    <row r="320">
      <c r="A320" s="62"/>
      <c r="B320" s="62" t="str">
        <f>IFERROR(__xludf.DUMMYFUNCTION("""COMPUTED_VALUE"""),"しょうま")</f>
        <v>しょうま</v>
      </c>
      <c r="C320" s="62">
        <f>IFERROR(__xludf.DUMMYFUNCTION("""COMPUTED_VALUE"""),27.0)</f>
        <v>27</v>
      </c>
      <c r="D320" s="62">
        <f>IFERROR(__xludf.DUMMYFUNCTION("""COMPUTED_VALUE"""),6.0)</f>
        <v>6</v>
      </c>
      <c r="E320" s="62">
        <f>IFERROR(__xludf.DUMMYFUNCTION("""COMPUTED_VALUE"""),1.0)</f>
        <v>1</v>
      </c>
      <c r="F320" s="62">
        <f>IFERROR(__xludf.DUMMYFUNCTION("""COMPUTED_VALUE"""),6.0)</f>
        <v>6</v>
      </c>
      <c r="G320" s="504">
        <f>IFERROR(__xludf.DUMMYFUNCTION("""COMPUTED_VALUE"""),0.2222222222222222)</f>
        <v>0.2222222222</v>
      </c>
      <c r="H320" s="62">
        <f>IFERROR(__xludf.DUMMYFUNCTION("""COMPUTED_VALUE"""),1.0)</f>
        <v>1</v>
      </c>
      <c r="I320" s="62">
        <f>IFERROR(__xludf.DUMMYFUNCTION("""COMPUTED_VALUE"""),1.0)</f>
        <v>1</v>
      </c>
      <c r="J320" s="552">
        <f>IFERROR(__xludf.DUMMYFUNCTION("""COMPUTED_VALUE"""),230000.0)</f>
        <v>230000</v>
      </c>
      <c r="K320" s="62"/>
      <c r="L320" s="504">
        <f>IFERROR(__xludf.DUMMYFUNCTION("""COMPUTED_VALUE"""),0.037037037037037035)</f>
        <v>0.03703703704</v>
      </c>
      <c r="M320" s="504">
        <f>IFERROR(__xludf.DUMMYFUNCTION("""COMPUTED_VALUE"""),0.037037037037037035)</f>
        <v>0.03703703704</v>
      </c>
      <c r="N320" s="504">
        <f>IFERROR(__xludf.DUMMYFUNCTION("""COMPUTED_VALUE"""),1.0)</f>
        <v>1</v>
      </c>
      <c r="O320" s="62" t="str">
        <f>IFERROR(__xludf.DUMMYFUNCTION("""COMPUTED_VALUE"""),"リストE")</f>
        <v>リストE</v>
      </c>
      <c r="P320" s="553" t="str">
        <f>IFERROR(__xludf.DUMMYFUNCTION("""COMPUTED_VALUE"""),"平日")</f>
        <v>平日</v>
      </c>
      <c r="Q320" s="62"/>
      <c r="R320" s="62"/>
      <c r="S320" s="62"/>
      <c r="T320" s="62"/>
      <c r="U320" s="62"/>
      <c r="V320" s="62"/>
      <c r="W320" s="62"/>
      <c r="X320" s="62"/>
      <c r="Y320" s="62"/>
      <c r="Z320" s="62"/>
    </row>
    <row r="321">
      <c r="A321" s="62"/>
      <c r="B321" s="62"/>
      <c r="C321" s="62"/>
      <c r="D321" s="62"/>
      <c r="E321" s="62"/>
      <c r="F321" s="62"/>
      <c r="G321" s="504">
        <f>IFERROR(__xludf.DUMMYFUNCTION("""COMPUTED_VALUE"""),0.0)</f>
        <v>0</v>
      </c>
      <c r="H321" s="62"/>
      <c r="I321" s="62"/>
      <c r="J321" s="62"/>
      <c r="K321" s="62"/>
      <c r="L321" s="504">
        <f>IFERROR(__xludf.DUMMYFUNCTION("""COMPUTED_VALUE"""),0.0)</f>
        <v>0</v>
      </c>
      <c r="M321" s="504">
        <f>IFERROR(__xludf.DUMMYFUNCTION("""COMPUTED_VALUE"""),0.0)</f>
        <v>0</v>
      </c>
      <c r="N321" s="504">
        <f>IFERROR(__xludf.DUMMYFUNCTION("""COMPUTED_VALUE"""),0.0)</f>
        <v>0</v>
      </c>
      <c r="O321" s="62"/>
      <c r="P321" s="62"/>
      <c r="Q321" s="62"/>
      <c r="R321" s="62"/>
      <c r="S321" s="62"/>
      <c r="T321" s="62"/>
      <c r="U321" s="62"/>
      <c r="V321" s="62"/>
      <c r="W321" s="62"/>
      <c r="X321" s="62"/>
      <c r="Y321" s="62"/>
      <c r="Z321" s="62"/>
    </row>
    <row r="322">
      <c r="A322" s="62"/>
      <c r="B322" s="62" t="str">
        <f>IFERROR(__xludf.DUMMYFUNCTION("""COMPUTED_VALUE"""),"ジョーナ")</f>
        <v>ジョーナ</v>
      </c>
      <c r="C322" s="62"/>
      <c r="D322" s="62"/>
      <c r="E322" s="62"/>
      <c r="F322" s="62"/>
      <c r="G322" s="504">
        <f>IFERROR(__xludf.DUMMYFUNCTION("""COMPUTED_VALUE"""),0.0)</f>
        <v>0</v>
      </c>
      <c r="H322" s="62"/>
      <c r="I322" s="62"/>
      <c r="J322" s="62"/>
      <c r="K322" s="62"/>
      <c r="L322" s="504">
        <f>IFERROR(__xludf.DUMMYFUNCTION("""COMPUTED_VALUE"""),0.0)</f>
        <v>0</v>
      </c>
      <c r="M322" s="504">
        <f>IFERROR(__xludf.DUMMYFUNCTION("""COMPUTED_VALUE"""),0.0)</f>
        <v>0</v>
      </c>
      <c r="N322" s="504">
        <f>IFERROR(__xludf.DUMMYFUNCTION("""COMPUTED_VALUE"""),0.0)</f>
        <v>0</v>
      </c>
      <c r="O322" s="62"/>
      <c r="P322" s="62"/>
      <c r="Q322" s="62"/>
      <c r="R322" s="62"/>
      <c r="S322" s="62"/>
      <c r="T322" s="62"/>
      <c r="U322" s="62"/>
      <c r="V322" s="62"/>
      <c r="W322" s="62"/>
      <c r="X322" s="62"/>
      <c r="Y322" s="62"/>
      <c r="Z322" s="62"/>
    </row>
    <row r="323">
      <c r="A323" s="62"/>
      <c r="B323" s="62" t="str">
        <f>IFERROR(__xludf.DUMMYFUNCTION("""COMPUTED_VALUE"""),"武田")</f>
        <v>武田</v>
      </c>
      <c r="C323" s="62"/>
      <c r="D323" s="62"/>
      <c r="E323" s="62"/>
      <c r="F323" s="62"/>
      <c r="G323" s="504">
        <f>IFERROR(__xludf.DUMMYFUNCTION("""COMPUTED_VALUE"""),0.0)</f>
        <v>0</v>
      </c>
      <c r="H323" s="62"/>
      <c r="I323" s="62"/>
      <c r="J323" s="62"/>
      <c r="K323" s="62"/>
      <c r="L323" s="504">
        <f>IFERROR(__xludf.DUMMYFUNCTION("""COMPUTED_VALUE"""),0.0)</f>
        <v>0</v>
      </c>
      <c r="M323" s="504">
        <f>IFERROR(__xludf.DUMMYFUNCTION("""COMPUTED_VALUE"""),0.0)</f>
        <v>0</v>
      </c>
      <c r="N323" s="504">
        <f>IFERROR(__xludf.DUMMYFUNCTION("""COMPUTED_VALUE"""),0.0)</f>
        <v>0</v>
      </c>
      <c r="O323" s="62"/>
      <c r="P323" s="62"/>
      <c r="Q323" s="62"/>
      <c r="R323" s="62"/>
      <c r="S323" s="62"/>
      <c r="T323" s="62"/>
      <c r="U323" s="62"/>
      <c r="V323" s="62"/>
      <c r="W323" s="62"/>
      <c r="X323" s="62"/>
      <c r="Y323" s="62"/>
      <c r="Z323" s="62"/>
    </row>
    <row r="324">
      <c r="A324" s="62"/>
      <c r="B324" s="62" t="str">
        <f>IFERROR(__xludf.DUMMYFUNCTION("""COMPUTED_VALUE"""),"高木")</f>
        <v>高木</v>
      </c>
      <c r="C324" s="62">
        <f>IFERROR(__xludf.DUMMYFUNCTION("""COMPUTED_VALUE"""),54.0)</f>
        <v>54</v>
      </c>
      <c r="D324" s="62">
        <f>IFERROR(__xludf.DUMMYFUNCTION("""COMPUTED_VALUE"""),12.0)</f>
        <v>12</v>
      </c>
      <c r="E324" s="62">
        <f>IFERROR(__xludf.DUMMYFUNCTION("""COMPUTED_VALUE"""),2.0)</f>
        <v>2</v>
      </c>
      <c r="F324" s="62">
        <f>IFERROR(__xludf.DUMMYFUNCTION("""COMPUTED_VALUE"""),11.0)</f>
        <v>11</v>
      </c>
      <c r="G324" s="504">
        <f>IFERROR(__xludf.DUMMYFUNCTION("""COMPUTED_VALUE"""),0.2222222222222222)</f>
        <v>0.2222222222</v>
      </c>
      <c r="H324" s="62">
        <f>IFERROR(__xludf.DUMMYFUNCTION("""COMPUTED_VALUE"""),1.0)</f>
        <v>1</v>
      </c>
      <c r="I324" s="62"/>
      <c r="J324" s="62"/>
      <c r="K324" s="62"/>
      <c r="L324" s="504">
        <f>IFERROR(__xludf.DUMMYFUNCTION("""COMPUTED_VALUE"""),0.018518518518518517)</f>
        <v>0.01851851852</v>
      </c>
      <c r="M324" s="504">
        <f>IFERROR(__xludf.DUMMYFUNCTION("""COMPUTED_VALUE"""),0.0)</f>
        <v>0</v>
      </c>
      <c r="N324" s="504">
        <f>IFERROR(__xludf.DUMMYFUNCTION("""COMPUTED_VALUE"""),0.0)</f>
        <v>0</v>
      </c>
      <c r="O324" s="62"/>
      <c r="P324" s="62"/>
      <c r="Q324" s="62"/>
      <c r="R324" s="62"/>
      <c r="S324" s="62"/>
      <c r="T324" s="62"/>
      <c r="U324" s="62"/>
      <c r="V324" s="62"/>
      <c r="W324" s="62"/>
      <c r="X324" s="62"/>
      <c r="Y324" s="62"/>
      <c r="Z324" s="62"/>
    </row>
    <row r="325">
      <c r="A325" s="62"/>
      <c r="B325" s="552" t="str">
        <f>IFERROR(__xludf.DUMMYFUNCTION("""COMPUTED_VALUE"""),"高坂")</f>
        <v>高坂</v>
      </c>
      <c r="C325" s="62"/>
      <c r="D325" s="62"/>
      <c r="E325" s="62"/>
      <c r="F325" s="62"/>
      <c r="G325" s="504">
        <f>IFERROR(__xludf.DUMMYFUNCTION("""COMPUTED_VALUE"""),0.0)</f>
        <v>0</v>
      </c>
      <c r="H325" s="62"/>
      <c r="I325" s="62"/>
      <c r="J325" s="62"/>
      <c r="K325" s="62"/>
      <c r="L325" s="504">
        <f>IFERROR(__xludf.DUMMYFUNCTION("""COMPUTED_VALUE"""),0.0)</f>
        <v>0</v>
      </c>
      <c r="M325" s="504">
        <f>IFERROR(__xludf.DUMMYFUNCTION("""COMPUTED_VALUE"""),0.0)</f>
        <v>0</v>
      </c>
      <c r="N325" s="504">
        <f>IFERROR(__xludf.DUMMYFUNCTION("""COMPUTED_VALUE"""),0.0)</f>
        <v>0</v>
      </c>
      <c r="O325" s="62"/>
      <c r="P325" s="62"/>
      <c r="Q325" s="62"/>
      <c r="R325" s="62"/>
      <c r="S325" s="62"/>
      <c r="T325" s="62"/>
      <c r="U325" s="62"/>
      <c r="V325" s="62"/>
      <c r="W325" s="62"/>
      <c r="X325" s="62"/>
      <c r="Y325" s="62"/>
      <c r="Z325" s="62"/>
    </row>
    <row r="326">
      <c r="A326" s="62"/>
      <c r="B326" s="62" t="str">
        <f>IFERROR(__xludf.DUMMYFUNCTION("""COMPUTED_VALUE"""),"大谷")</f>
        <v>大谷</v>
      </c>
      <c r="C326" s="62"/>
      <c r="D326" s="62"/>
      <c r="E326" s="62"/>
      <c r="F326" s="62"/>
      <c r="G326" s="504">
        <f>IFERROR(__xludf.DUMMYFUNCTION("""COMPUTED_VALUE"""),0.0)</f>
        <v>0</v>
      </c>
      <c r="H326" s="62"/>
      <c r="I326" s="62"/>
      <c r="J326" s="62"/>
      <c r="K326" s="62"/>
      <c r="L326" s="504">
        <f>IFERROR(__xludf.DUMMYFUNCTION("""COMPUTED_VALUE"""),0.0)</f>
        <v>0</v>
      </c>
      <c r="M326" s="504">
        <f>IFERROR(__xludf.DUMMYFUNCTION("""COMPUTED_VALUE"""),0.0)</f>
        <v>0</v>
      </c>
      <c r="N326" s="504">
        <f>IFERROR(__xludf.DUMMYFUNCTION("""COMPUTED_VALUE"""),0.0)</f>
        <v>0</v>
      </c>
      <c r="O326" s="62"/>
      <c r="P326" s="62"/>
      <c r="Q326" s="62"/>
      <c r="R326" s="62" t="str">
        <f>IFERROR(__xludf.DUMMYFUNCTION("""COMPUTED_VALUE""")," ")</f>
        <v> </v>
      </c>
      <c r="S326" s="62"/>
      <c r="T326" s="62"/>
      <c r="U326" s="62"/>
      <c r="V326" s="62"/>
      <c r="W326" s="62"/>
      <c r="X326" s="62"/>
      <c r="Y326" s="62"/>
      <c r="Z326" s="62"/>
    </row>
    <row r="327">
      <c r="A327" s="62"/>
      <c r="B327" s="62"/>
      <c r="C327" s="62"/>
      <c r="D327" s="62"/>
      <c r="E327" s="62"/>
      <c r="F327" s="62"/>
      <c r="G327" s="504">
        <f>IFERROR(__xludf.DUMMYFUNCTION("""COMPUTED_VALUE"""),0.0)</f>
        <v>0</v>
      </c>
      <c r="H327" s="62"/>
      <c r="I327" s="62"/>
      <c r="J327" s="62"/>
      <c r="K327" s="62"/>
      <c r="L327" s="504">
        <f>IFERROR(__xludf.DUMMYFUNCTION("""COMPUTED_VALUE"""),0.0)</f>
        <v>0</v>
      </c>
      <c r="M327" s="504">
        <f>IFERROR(__xludf.DUMMYFUNCTION("""COMPUTED_VALUE"""),0.0)</f>
        <v>0</v>
      </c>
      <c r="N327" s="504">
        <f>IFERROR(__xludf.DUMMYFUNCTION("""COMPUTED_VALUE"""),0.0)</f>
        <v>0</v>
      </c>
      <c r="O327" s="62"/>
      <c r="P327" s="62"/>
      <c r="Q327" s="62"/>
      <c r="R327" s="62"/>
      <c r="S327" s="62"/>
      <c r="T327" s="62"/>
      <c r="U327" s="62"/>
      <c r="V327" s="62"/>
      <c r="W327" s="62"/>
      <c r="X327" s="62"/>
      <c r="Y327" s="62"/>
      <c r="Z327" s="62"/>
    </row>
    <row r="328">
      <c r="A328" s="62"/>
      <c r="B328" s="62" t="str">
        <f>IFERROR(__xludf.DUMMYFUNCTION("""COMPUTED_VALUE"""),"森")</f>
        <v>森</v>
      </c>
      <c r="C328" s="62"/>
      <c r="D328" s="62"/>
      <c r="E328" s="62"/>
      <c r="F328" s="62"/>
      <c r="G328" s="504">
        <f>IFERROR(__xludf.DUMMYFUNCTION("""COMPUTED_VALUE"""),0.0)</f>
        <v>0</v>
      </c>
      <c r="H328" s="62"/>
      <c r="I328" s="62"/>
      <c r="J328" s="62"/>
      <c r="K328" s="62"/>
      <c r="L328" s="504">
        <f>IFERROR(__xludf.DUMMYFUNCTION("""COMPUTED_VALUE"""),0.0)</f>
        <v>0</v>
      </c>
      <c r="M328" s="504">
        <f>IFERROR(__xludf.DUMMYFUNCTION("""COMPUTED_VALUE"""),0.0)</f>
        <v>0</v>
      </c>
      <c r="N328" s="504">
        <f>IFERROR(__xludf.DUMMYFUNCTION("""COMPUTED_VALUE"""),0.0)</f>
        <v>0</v>
      </c>
      <c r="O328" s="62"/>
      <c r="P328" s="62"/>
      <c r="Q328" s="62"/>
      <c r="R328" s="62"/>
      <c r="S328" s="62"/>
      <c r="T328" s="62"/>
      <c r="U328" s="62"/>
      <c r="V328" s="62"/>
      <c r="W328" s="62"/>
      <c r="X328" s="62"/>
      <c r="Y328" s="62"/>
      <c r="Z328" s="62"/>
    </row>
    <row r="329">
      <c r="A329" s="62"/>
      <c r="B329" s="62"/>
      <c r="C329" s="62"/>
      <c r="D329" s="62"/>
      <c r="E329" s="62"/>
      <c r="F329" s="62"/>
      <c r="G329" s="504">
        <f>IFERROR(__xludf.DUMMYFUNCTION("""COMPUTED_VALUE"""),0.0)</f>
        <v>0</v>
      </c>
      <c r="H329" s="62"/>
      <c r="I329" s="62"/>
      <c r="J329" s="62"/>
      <c r="K329" s="62"/>
      <c r="L329" s="504">
        <f>IFERROR(__xludf.DUMMYFUNCTION("""COMPUTED_VALUE"""),0.0)</f>
        <v>0</v>
      </c>
      <c r="M329" s="504">
        <f>IFERROR(__xludf.DUMMYFUNCTION("""COMPUTED_VALUE"""),0.0)</f>
        <v>0</v>
      </c>
      <c r="N329" s="504">
        <f>IFERROR(__xludf.DUMMYFUNCTION("""COMPUTED_VALUE"""),0.0)</f>
        <v>0</v>
      </c>
      <c r="O329" s="62"/>
      <c r="P329" s="62"/>
      <c r="Q329" s="62"/>
      <c r="R329" s="62"/>
      <c r="S329" s="62"/>
      <c r="T329" s="62"/>
      <c r="U329" s="62"/>
      <c r="V329" s="62"/>
      <c r="W329" s="62"/>
      <c r="X329" s="62"/>
      <c r="Y329" s="62"/>
      <c r="Z329" s="62"/>
    </row>
    <row r="330">
      <c r="A330" s="62"/>
      <c r="B330" s="62" t="str">
        <f>IFERROR(__xludf.DUMMYFUNCTION("""COMPUTED_VALUE"""),"金子")</f>
        <v>金子</v>
      </c>
      <c r="C330" s="62"/>
      <c r="D330" s="62"/>
      <c r="E330" s="62"/>
      <c r="F330" s="62"/>
      <c r="G330" s="504">
        <f>IFERROR(__xludf.DUMMYFUNCTION("""COMPUTED_VALUE"""),0.0)</f>
        <v>0</v>
      </c>
      <c r="H330" s="62"/>
      <c r="I330" s="62"/>
      <c r="J330" s="62"/>
      <c r="K330" s="62"/>
      <c r="L330" s="504">
        <f>IFERROR(__xludf.DUMMYFUNCTION("""COMPUTED_VALUE"""),0.0)</f>
        <v>0</v>
      </c>
      <c r="M330" s="504">
        <f>IFERROR(__xludf.DUMMYFUNCTION("""COMPUTED_VALUE"""),0.0)</f>
        <v>0</v>
      </c>
      <c r="N330" s="504">
        <f>IFERROR(__xludf.DUMMYFUNCTION("""COMPUTED_VALUE"""),0.0)</f>
        <v>0</v>
      </c>
      <c r="O330" s="62"/>
      <c r="P330" s="62"/>
      <c r="Q330" s="62"/>
      <c r="R330" s="62"/>
      <c r="S330" s="62"/>
      <c r="T330" s="62"/>
      <c r="U330" s="62"/>
      <c r="V330" s="62"/>
      <c r="W330" s="62"/>
      <c r="X330" s="62"/>
      <c r="Y330" s="62"/>
      <c r="Z330" s="62"/>
    </row>
    <row r="331">
      <c r="A331" s="62"/>
      <c r="B331" s="62"/>
      <c r="C331" s="62"/>
      <c r="D331" s="62"/>
      <c r="E331" s="62"/>
      <c r="F331" s="62"/>
      <c r="G331" s="504">
        <f>IFERROR(__xludf.DUMMYFUNCTION("""COMPUTED_VALUE"""),0.0)</f>
        <v>0</v>
      </c>
      <c r="H331" s="62"/>
      <c r="I331" s="62"/>
      <c r="J331" s="62"/>
      <c r="K331" s="62"/>
      <c r="L331" s="504">
        <f>IFERROR(__xludf.DUMMYFUNCTION("""COMPUTED_VALUE"""),0.0)</f>
        <v>0</v>
      </c>
      <c r="M331" s="504">
        <f>IFERROR(__xludf.DUMMYFUNCTION("""COMPUTED_VALUE"""),0.0)</f>
        <v>0</v>
      </c>
      <c r="N331" s="504">
        <f>IFERROR(__xludf.DUMMYFUNCTION("""COMPUTED_VALUE"""),0.0)</f>
        <v>0</v>
      </c>
      <c r="O331" s="62"/>
      <c r="P331" s="62"/>
      <c r="Q331" s="62"/>
      <c r="R331" s="62"/>
      <c r="S331" s="62"/>
      <c r="T331" s="62"/>
      <c r="U331" s="62"/>
      <c r="V331" s="62"/>
      <c r="W331" s="62"/>
      <c r="X331" s="62"/>
      <c r="Y331" s="62"/>
      <c r="Z331" s="62"/>
    </row>
    <row r="332">
      <c r="A332" s="62"/>
      <c r="B332" s="552" t="str">
        <f>IFERROR(__xludf.DUMMYFUNCTION("""COMPUTED_VALUE"""),"SMS")</f>
        <v>SMS</v>
      </c>
      <c r="C332" s="62"/>
      <c r="D332" s="62"/>
      <c r="E332" s="62"/>
      <c r="F332" s="62"/>
      <c r="G332" s="504">
        <f>IFERROR(__xludf.DUMMYFUNCTION("""COMPUTED_VALUE"""),0.0)</f>
        <v>0</v>
      </c>
      <c r="H332" s="62"/>
      <c r="I332" s="62"/>
      <c r="J332" s="62"/>
      <c r="K332" s="62"/>
      <c r="L332" s="504">
        <f>IFERROR(__xludf.DUMMYFUNCTION("""COMPUTED_VALUE"""),0.0)</f>
        <v>0</v>
      </c>
      <c r="M332" s="504">
        <f>IFERROR(__xludf.DUMMYFUNCTION("""COMPUTED_VALUE"""),0.0)</f>
        <v>0</v>
      </c>
      <c r="N332" s="504">
        <f>IFERROR(__xludf.DUMMYFUNCTION("""COMPUTED_VALUE"""),0.0)</f>
        <v>0</v>
      </c>
      <c r="O332" s="62"/>
      <c r="P332" s="62"/>
      <c r="Q332" s="62"/>
      <c r="R332" s="62"/>
      <c r="S332" s="62"/>
      <c r="T332" s="62"/>
      <c r="U332" s="62"/>
      <c r="V332" s="62"/>
      <c r="W332" s="62"/>
      <c r="X332" s="62"/>
      <c r="Y332" s="62"/>
      <c r="Z332" s="62"/>
    </row>
    <row r="333">
      <c r="A333" s="62"/>
      <c r="B333" s="62" t="str">
        <f>IFERROR(__xludf.DUMMYFUNCTION("""COMPUTED_VALUE"""),"紹介")</f>
        <v>紹介</v>
      </c>
      <c r="C333" s="62"/>
      <c r="D333" s="62"/>
      <c r="E333" s="62"/>
      <c r="F333" s="62"/>
      <c r="G333" s="504">
        <f>IFERROR(__xludf.DUMMYFUNCTION("""COMPUTED_VALUE"""),0.0)</f>
        <v>0</v>
      </c>
      <c r="H333" s="62"/>
      <c r="I333" s="62"/>
      <c r="J333" s="62"/>
      <c r="K333" s="62"/>
      <c r="L333" s="504">
        <f>IFERROR(__xludf.DUMMYFUNCTION("""COMPUTED_VALUE"""),0.0)</f>
        <v>0</v>
      </c>
      <c r="M333" s="504">
        <f>IFERROR(__xludf.DUMMYFUNCTION("""COMPUTED_VALUE"""),0.0)</f>
        <v>0</v>
      </c>
      <c r="N333" s="504">
        <f>IFERROR(__xludf.DUMMYFUNCTION("""COMPUTED_VALUE"""),0.0)</f>
        <v>0</v>
      </c>
      <c r="O333" s="62"/>
      <c r="P333" s="62"/>
      <c r="Q333" s="62"/>
      <c r="R333" s="62"/>
      <c r="S333" s="62"/>
      <c r="T333" s="62"/>
      <c r="U333" s="62"/>
      <c r="V333" s="62"/>
      <c r="W333" s="62"/>
      <c r="X333" s="62"/>
      <c r="Y333" s="62"/>
      <c r="Z333" s="62"/>
    </row>
    <row r="334">
      <c r="A334" s="62"/>
      <c r="B334" s="62" t="str">
        <f>IFERROR(__xludf.DUMMYFUNCTION("""COMPUTED_VALUE"""),"仁子")</f>
        <v>仁子</v>
      </c>
      <c r="C334" s="62"/>
      <c r="D334" s="62"/>
      <c r="E334" s="62"/>
      <c r="F334" s="62"/>
      <c r="G334" s="504">
        <f>IFERROR(__xludf.DUMMYFUNCTION("""COMPUTED_VALUE"""),0.0)</f>
        <v>0</v>
      </c>
      <c r="H334" s="62"/>
      <c r="I334" s="62">
        <f>IFERROR(__xludf.DUMMYFUNCTION("""COMPUTED_VALUE"""),2.0)</f>
        <v>2</v>
      </c>
      <c r="J334" s="552">
        <f>IFERROR(__xludf.DUMMYFUNCTION("""COMPUTED_VALUE"""),150000.0)</f>
        <v>150000</v>
      </c>
      <c r="K334" s="62"/>
      <c r="L334" s="504">
        <f>IFERROR(__xludf.DUMMYFUNCTION("""COMPUTED_VALUE"""),0.0)</f>
        <v>0</v>
      </c>
      <c r="M334" s="504">
        <f>IFERROR(__xludf.DUMMYFUNCTION("""COMPUTED_VALUE"""),0.0)</f>
        <v>0</v>
      </c>
      <c r="N334" s="504">
        <f>IFERROR(__xludf.DUMMYFUNCTION("""COMPUTED_VALUE"""),0.0)</f>
        <v>0</v>
      </c>
      <c r="O334" s="62"/>
      <c r="P334" s="62"/>
      <c r="Q334" s="62"/>
      <c r="R334" s="62"/>
      <c r="S334" s="62"/>
      <c r="T334" s="62"/>
      <c r="U334" s="62"/>
      <c r="V334" s="62"/>
      <c r="W334" s="62"/>
      <c r="X334" s="62"/>
      <c r="Y334" s="62"/>
      <c r="Z334" s="62"/>
    </row>
    <row r="335">
      <c r="A335" s="62"/>
      <c r="B335" s="62" t="str">
        <f>IFERROR(__xludf.DUMMYFUNCTION("""COMPUTED_VALUE"""),"鈴木")</f>
        <v>鈴木</v>
      </c>
      <c r="C335" s="62"/>
      <c r="D335" s="62"/>
      <c r="E335" s="62"/>
      <c r="F335" s="62"/>
      <c r="G335" s="504">
        <f>IFERROR(__xludf.DUMMYFUNCTION("""COMPUTED_VALUE"""),0.0)</f>
        <v>0</v>
      </c>
      <c r="H335" s="62"/>
      <c r="I335" s="62">
        <f>IFERROR(__xludf.DUMMYFUNCTION("""COMPUTED_VALUE"""),2.0)</f>
        <v>2</v>
      </c>
      <c r="J335" s="552">
        <f>IFERROR(__xludf.DUMMYFUNCTION("""COMPUTED_VALUE"""),60000.0)</f>
        <v>60000</v>
      </c>
      <c r="K335" s="62"/>
      <c r="L335" s="504">
        <f>IFERROR(__xludf.DUMMYFUNCTION("""COMPUTED_VALUE"""),0.0)</f>
        <v>0</v>
      </c>
      <c r="M335" s="504">
        <f>IFERROR(__xludf.DUMMYFUNCTION("""COMPUTED_VALUE"""),0.0)</f>
        <v>0</v>
      </c>
      <c r="N335" s="504">
        <f>IFERROR(__xludf.DUMMYFUNCTION("""COMPUTED_VALUE"""),0.0)</f>
        <v>0</v>
      </c>
      <c r="O335" s="62"/>
      <c r="P335" s="62"/>
      <c r="Q335" s="62"/>
      <c r="R335" s="62"/>
      <c r="S335" s="62"/>
      <c r="T335" s="62"/>
      <c r="U335" s="62"/>
      <c r="V335" s="62"/>
      <c r="W335" s="62"/>
      <c r="X335" s="62"/>
      <c r="Y335" s="62"/>
      <c r="Z335" s="62"/>
    </row>
    <row r="336">
      <c r="A336" s="62"/>
      <c r="B336" s="62" t="str">
        <f>IFERROR(__xludf.DUMMYFUNCTION("""COMPUTED_VALUE"""),"仲間")</f>
        <v>仲間</v>
      </c>
      <c r="C336" s="62">
        <f>IFERROR(__xludf.DUMMYFUNCTION("""COMPUTED_VALUE"""),34.0)</f>
        <v>34</v>
      </c>
      <c r="D336" s="62">
        <f>IFERROR(__xludf.DUMMYFUNCTION("""COMPUTED_VALUE"""),26.0)</f>
        <v>26</v>
      </c>
      <c r="E336" s="62"/>
      <c r="F336" s="62">
        <f>IFERROR(__xludf.DUMMYFUNCTION("""COMPUTED_VALUE"""),26.0)</f>
        <v>26</v>
      </c>
      <c r="G336" s="504">
        <f>IFERROR(__xludf.DUMMYFUNCTION("""COMPUTED_VALUE"""),0.7647058823529411)</f>
        <v>0.7647058824</v>
      </c>
      <c r="H336" s="62"/>
      <c r="I336" s="62"/>
      <c r="J336" s="62"/>
      <c r="K336" s="62"/>
      <c r="L336" s="504">
        <f>IFERROR(__xludf.DUMMYFUNCTION("""COMPUTED_VALUE"""),0.0)</f>
        <v>0</v>
      </c>
      <c r="M336" s="504">
        <f>IFERROR(__xludf.DUMMYFUNCTION("""COMPUTED_VALUE"""),0.0)</f>
        <v>0</v>
      </c>
      <c r="N336" s="504">
        <f>IFERROR(__xludf.DUMMYFUNCTION("""COMPUTED_VALUE"""),0.0)</f>
        <v>0</v>
      </c>
      <c r="O336" s="62" t="str">
        <f>IFERROR(__xludf.DUMMYFUNCTION("""COMPUTED_VALUE"""),"リストE")</f>
        <v>リストE</v>
      </c>
      <c r="P336" s="553" t="str">
        <f>IFERROR(__xludf.DUMMYFUNCTION("""COMPUTED_VALUE"""),"平日")</f>
        <v>平日</v>
      </c>
      <c r="Q336" s="62"/>
      <c r="R336" s="62"/>
      <c r="S336" s="62"/>
      <c r="T336" s="62"/>
      <c r="U336" s="62"/>
      <c r="V336" s="62"/>
      <c r="W336" s="62"/>
      <c r="X336" s="62"/>
      <c r="Y336" s="62"/>
      <c r="Z336" s="62"/>
    </row>
    <row r="337">
      <c r="A337" s="62"/>
      <c r="B337" s="62"/>
      <c r="C337" s="62"/>
      <c r="D337" s="62"/>
      <c r="E337" s="62"/>
      <c r="F337" s="62"/>
      <c r="G337" s="504">
        <f>IFERROR(__xludf.DUMMYFUNCTION("""COMPUTED_VALUE"""),0.0)</f>
        <v>0</v>
      </c>
      <c r="H337" s="62"/>
      <c r="I337" s="62"/>
      <c r="J337" s="62"/>
      <c r="K337" s="62"/>
      <c r="L337" s="504">
        <f>IFERROR(__xludf.DUMMYFUNCTION("""COMPUTED_VALUE"""),0.0)</f>
        <v>0</v>
      </c>
      <c r="M337" s="504">
        <f>IFERROR(__xludf.DUMMYFUNCTION("""COMPUTED_VALUE"""),0.0)</f>
        <v>0</v>
      </c>
      <c r="N337" s="504">
        <f>IFERROR(__xludf.DUMMYFUNCTION("""COMPUTED_VALUE"""),0.0)</f>
        <v>0</v>
      </c>
      <c r="O337" s="62"/>
      <c r="P337" s="62"/>
      <c r="Q337" s="62"/>
      <c r="R337" s="62"/>
      <c r="S337" s="62"/>
      <c r="T337" s="62"/>
      <c r="U337" s="62"/>
      <c r="V337" s="62"/>
      <c r="W337" s="62"/>
      <c r="X337" s="62"/>
      <c r="Y337" s="62"/>
      <c r="Z337" s="62"/>
    </row>
    <row r="338">
      <c r="A338" s="62"/>
      <c r="B338" s="62" t="str">
        <f>IFERROR(__xludf.DUMMYFUNCTION("""COMPUTED_VALUE"""),"合計")</f>
        <v>合計</v>
      </c>
      <c r="C338" s="62">
        <f>IFERROR(__xludf.DUMMYFUNCTION("""COMPUTED_VALUE"""),115.0)</f>
        <v>115</v>
      </c>
      <c r="D338" s="62">
        <f>IFERROR(__xludf.DUMMYFUNCTION("""COMPUTED_VALUE"""),44.0)</f>
        <v>44</v>
      </c>
      <c r="E338" s="62">
        <f>IFERROR(__xludf.DUMMYFUNCTION("""COMPUTED_VALUE"""),3.0)</f>
        <v>3</v>
      </c>
      <c r="F338" s="62">
        <f>IFERROR(__xludf.DUMMYFUNCTION("""COMPUTED_VALUE"""),43.0)</f>
        <v>43</v>
      </c>
      <c r="G338" s="504">
        <f>IFERROR(__xludf.DUMMYFUNCTION("""COMPUTED_VALUE"""),0.3826086956521739)</f>
        <v>0.3826086957</v>
      </c>
      <c r="H338" s="62">
        <f>IFERROR(__xludf.DUMMYFUNCTION("""COMPUTED_VALUE"""),5.0)</f>
        <v>5</v>
      </c>
      <c r="I338" s="62">
        <f>IFERROR(__xludf.DUMMYFUNCTION("""COMPUTED_VALUE"""),6.0)</f>
        <v>6</v>
      </c>
      <c r="J338" s="552">
        <f>IFERROR(__xludf.DUMMYFUNCTION("""COMPUTED_VALUE"""),540000.0)</f>
        <v>540000</v>
      </c>
      <c r="K338" s="62">
        <f>IFERROR(__xludf.DUMMYFUNCTION("""COMPUTED_VALUE"""),0.0)</f>
        <v>0</v>
      </c>
      <c r="L338" s="504">
        <f>IFERROR(__xludf.DUMMYFUNCTION("""COMPUTED_VALUE"""),0.043478260869565216)</f>
        <v>0.04347826087</v>
      </c>
      <c r="M338" s="504">
        <f>IFERROR(__xludf.DUMMYFUNCTION("""COMPUTED_VALUE"""),0.05217391304347826)</f>
        <v>0.05217391304</v>
      </c>
      <c r="N338" s="504">
        <f>IFERROR(__xludf.DUMMYFUNCTION("""COMPUTED_VALUE"""),1.2)</f>
        <v>1.2</v>
      </c>
      <c r="O338" s="62"/>
      <c r="P338" s="62"/>
      <c r="Q338" s="62"/>
      <c r="R338" s="62"/>
      <c r="S338" s="62"/>
      <c r="T338" s="62"/>
      <c r="U338" s="62"/>
      <c r="V338" s="62"/>
      <c r="W338" s="62"/>
      <c r="X338" s="62"/>
      <c r="Y338" s="62"/>
      <c r="Z338" s="62"/>
    </row>
    <row r="339">
      <c r="A339" s="62" t="str">
        <f>IFERROR(__xludf.DUMMYFUNCTION("""COMPUTED_VALUE"""),"日付")</f>
        <v>日付</v>
      </c>
      <c r="B339" s="62" t="str">
        <f>IFERROR(__xludf.DUMMYFUNCTION("""COMPUTED_VALUE"""),"名前")</f>
        <v>名前</v>
      </c>
      <c r="C339" s="62" t="str">
        <f>IFERROR(__xludf.DUMMYFUNCTION("""COMPUTED_VALUE"""),"打電件数")</f>
        <v>打電件数</v>
      </c>
      <c r="D339" s="62" t="str">
        <f>IFERROR(__xludf.DUMMYFUNCTION("""COMPUTED_VALUE"""),"着電件数")</f>
        <v>着電件数</v>
      </c>
      <c r="E339" s="62" t="str">
        <f>IFERROR(__xludf.DUMMYFUNCTION("""COMPUTED_VALUE"""),"折り返し件数")</f>
        <v>折り返し件数</v>
      </c>
      <c r="F339" s="62" t="str">
        <f>IFERROR(__xludf.DUMMYFUNCTION("""COMPUTED_VALUE"""),"拒否")</f>
        <v>拒否</v>
      </c>
      <c r="G339" s="62" t="str">
        <f>IFERROR(__xludf.DUMMYFUNCTION("""COMPUTED_VALUE"""),"着電率")</f>
        <v>着電率</v>
      </c>
      <c r="H339" s="62" t="str">
        <f>IFERROR(__xludf.DUMMYFUNCTION("""COMPUTED_VALUE"""),"LINE登録")</f>
        <v>LINE登録</v>
      </c>
      <c r="I339" s="62" t="str">
        <f>IFERROR(__xludf.DUMMYFUNCTION("""COMPUTED_VALUE"""),"アカウント作成")</f>
        <v>アカウント作成</v>
      </c>
      <c r="J339" s="552" t="str">
        <f>IFERROR(__xludf.DUMMYFUNCTION("""COMPUTED_VALUE"""),"新規信用枠額")</f>
        <v>新規信用枠額</v>
      </c>
      <c r="K339" s="62" t="str">
        <f>IFERROR(__xludf.DUMMYFUNCTION("""COMPUTED_VALUE"""),"リスト死回線数")</f>
        <v>リスト死回線数</v>
      </c>
      <c r="L339" s="62" t="str">
        <f>IFERROR(__xludf.DUMMYFUNCTION("""COMPUTED_VALUE"""),"LINE率(打電から)")</f>
        <v>LINE率(打電から)</v>
      </c>
      <c r="M339" s="62" t="str">
        <f>IFERROR(__xludf.DUMMYFUNCTION("""COMPUTED_VALUE"""),"アカウント作成率(打電から)")</f>
        <v>アカウント作成率(打電から)</v>
      </c>
      <c r="N339" s="62" t="str">
        <f>IFERROR(__xludf.DUMMYFUNCTION("""COMPUTED_VALUE"""),"アカウント作成率(LINEから)")</f>
        <v>アカウント作成率(LINEから)</v>
      </c>
      <c r="O339" s="62" t="str">
        <f>IFERROR(__xludf.DUMMYFUNCTION("""COMPUTED_VALUE"""),"リスト名")</f>
        <v>リスト名</v>
      </c>
      <c r="P339" s="553" t="str">
        <f>IFERROR(__xludf.DUMMYFUNCTION("""COMPUTED_VALUE"""),"日本基準")</f>
        <v>日本基準</v>
      </c>
      <c r="Q339" s="62"/>
      <c r="R339" s="62"/>
      <c r="S339" s="62"/>
      <c r="T339" s="62"/>
      <c r="U339" s="62"/>
      <c r="V339" s="62"/>
      <c r="W339" s="62"/>
      <c r="X339" s="62"/>
      <c r="Y339" s="62"/>
      <c r="Z339" s="62"/>
    </row>
    <row r="340">
      <c r="A340" s="556">
        <f>IFERROR(__xludf.DUMMYFUNCTION("""COMPUTED_VALUE"""),45917.0)</f>
        <v>45917</v>
      </c>
      <c r="B340" s="62" t="str">
        <f>IFERROR(__xludf.DUMMYFUNCTION("""COMPUTED_VALUE"""),"あり")</f>
        <v>あり</v>
      </c>
      <c r="C340" s="62"/>
      <c r="D340" s="62"/>
      <c r="E340" s="62"/>
      <c r="F340" s="62"/>
      <c r="G340" s="504">
        <f>IFERROR(__xludf.DUMMYFUNCTION("""COMPUTED_VALUE"""),0.0)</f>
        <v>0</v>
      </c>
      <c r="H340" s="62">
        <f>IFERROR(__xludf.DUMMYFUNCTION("""COMPUTED_VALUE"""),7.0)</f>
        <v>7</v>
      </c>
      <c r="I340" s="62"/>
      <c r="J340" s="62"/>
      <c r="K340" s="62"/>
      <c r="L340" s="504">
        <f>IFERROR(__xludf.DUMMYFUNCTION("""COMPUTED_VALUE"""),0.0)</f>
        <v>0</v>
      </c>
      <c r="M340" s="504">
        <f>IFERROR(__xludf.DUMMYFUNCTION("""COMPUTED_VALUE"""),0.0)</f>
        <v>0</v>
      </c>
      <c r="N340" s="504">
        <f>IFERROR(__xludf.DUMMYFUNCTION("""COMPUTED_VALUE"""),0.0)</f>
        <v>0</v>
      </c>
      <c r="O340" s="62"/>
      <c r="P340" s="62"/>
      <c r="Q340" s="62"/>
      <c r="R340" s="62"/>
      <c r="S340" s="62"/>
      <c r="T340" s="62"/>
      <c r="U340" s="62"/>
      <c r="V340" s="62"/>
      <c r="W340" s="62"/>
      <c r="X340" s="62"/>
      <c r="Y340" s="62"/>
      <c r="Z340" s="62"/>
    </row>
    <row r="341">
      <c r="A341" s="62"/>
      <c r="B341" s="62" t="str">
        <f>IFERROR(__xludf.DUMMYFUNCTION("""COMPUTED_VALUE"""),"しょうま")</f>
        <v>しょうま</v>
      </c>
      <c r="C341" s="62">
        <f>IFERROR(__xludf.DUMMYFUNCTION("""COMPUTED_VALUE"""),90.0)</f>
        <v>90</v>
      </c>
      <c r="D341" s="62">
        <f>IFERROR(__xludf.DUMMYFUNCTION("""COMPUTED_VALUE"""),11.0)</f>
        <v>11</v>
      </c>
      <c r="E341" s="62">
        <f>IFERROR(__xludf.DUMMYFUNCTION("""COMPUTED_VALUE"""),4.0)</f>
        <v>4</v>
      </c>
      <c r="F341" s="62">
        <f>IFERROR(__xludf.DUMMYFUNCTION("""COMPUTED_VALUE"""),9.0)</f>
        <v>9</v>
      </c>
      <c r="G341" s="504">
        <f>IFERROR(__xludf.DUMMYFUNCTION("""COMPUTED_VALUE"""),0.12222222222222222)</f>
        <v>0.1222222222</v>
      </c>
      <c r="H341" s="62"/>
      <c r="I341" s="62"/>
      <c r="J341" s="62"/>
      <c r="K341" s="62">
        <f>IFERROR(__xludf.DUMMYFUNCTION("""COMPUTED_VALUE"""),4.0)</f>
        <v>4</v>
      </c>
      <c r="L341" s="504">
        <f>IFERROR(__xludf.DUMMYFUNCTION("""COMPUTED_VALUE"""),0.0)</f>
        <v>0</v>
      </c>
      <c r="M341" s="504">
        <f>IFERROR(__xludf.DUMMYFUNCTION("""COMPUTED_VALUE"""),0.0)</f>
        <v>0</v>
      </c>
      <c r="N341" s="504">
        <f>IFERROR(__xludf.DUMMYFUNCTION("""COMPUTED_VALUE"""),0.0)</f>
        <v>0</v>
      </c>
      <c r="O341" s="62" t="str">
        <f>IFERROR(__xludf.DUMMYFUNCTION("""COMPUTED_VALUE"""),"リストE")</f>
        <v>リストE</v>
      </c>
      <c r="P341" s="553" t="str">
        <f>IFERROR(__xludf.DUMMYFUNCTION("""COMPUTED_VALUE"""),"平日")</f>
        <v>平日</v>
      </c>
      <c r="Q341" s="62"/>
      <c r="R341" s="62"/>
      <c r="S341" s="62"/>
      <c r="T341" s="62"/>
      <c r="U341" s="62"/>
      <c r="V341" s="62"/>
      <c r="W341" s="62"/>
      <c r="X341" s="62"/>
      <c r="Y341" s="62"/>
      <c r="Z341" s="62"/>
    </row>
    <row r="342">
      <c r="A342" s="62"/>
      <c r="B342" s="62"/>
      <c r="C342" s="62"/>
      <c r="D342" s="62"/>
      <c r="E342" s="62"/>
      <c r="F342" s="62"/>
      <c r="G342" s="504">
        <f>IFERROR(__xludf.DUMMYFUNCTION("""COMPUTED_VALUE"""),0.0)</f>
        <v>0</v>
      </c>
      <c r="H342" s="62"/>
      <c r="I342" s="62"/>
      <c r="J342" s="62"/>
      <c r="K342" s="62"/>
      <c r="L342" s="504">
        <f>IFERROR(__xludf.DUMMYFUNCTION("""COMPUTED_VALUE"""),0.0)</f>
        <v>0</v>
      </c>
      <c r="M342" s="504">
        <f>IFERROR(__xludf.DUMMYFUNCTION("""COMPUTED_VALUE"""),0.0)</f>
        <v>0</v>
      </c>
      <c r="N342" s="504">
        <f>IFERROR(__xludf.DUMMYFUNCTION("""COMPUTED_VALUE"""),0.0)</f>
        <v>0</v>
      </c>
      <c r="O342" s="62"/>
      <c r="P342" s="62"/>
      <c r="Q342" s="62"/>
      <c r="R342" s="62"/>
      <c r="S342" s="62"/>
      <c r="T342" s="62"/>
      <c r="U342" s="62"/>
      <c r="V342" s="62"/>
      <c r="W342" s="62"/>
      <c r="X342" s="62"/>
      <c r="Y342" s="62"/>
      <c r="Z342" s="62"/>
    </row>
    <row r="343">
      <c r="A343" s="62"/>
      <c r="B343" s="62" t="str">
        <f>IFERROR(__xludf.DUMMYFUNCTION("""COMPUTED_VALUE"""),"ジョーナ")</f>
        <v>ジョーナ</v>
      </c>
      <c r="C343" s="62"/>
      <c r="D343" s="62"/>
      <c r="E343" s="62"/>
      <c r="F343" s="62"/>
      <c r="G343" s="504">
        <f>IFERROR(__xludf.DUMMYFUNCTION("""COMPUTED_VALUE"""),0.0)</f>
        <v>0</v>
      </c>
      <c r="H343" s="62"/>
      <c r="I343" s="62"/>
      <c r="J343" s="62"/>
      <c r="K343" s="62"/>
      <c r="L343" s="504">
        <f>IFERROR(__xludf.DUMMYFUNCTION("""COMPUTED_VALUE"""),0.0)</f>
        <v>0</v>
      </c>
      <c r="M343" s="504">
        <f>IFERROR(__xludf.DUMMYFUNCTION("""COMPUTED_VALUE"""),0.0)</f>
        <v>0</v>
      </c>
      <c r="N343" s="504">
        <f>IFERROR(__xludf.DUMMYFUNCTION("""COMPUTED_VALUE"""),0.0)</f>
        <v>0</v>
      </c>
      <c r="O343" s="62"/>
      <c r="P343" s="62"/>
      <c r="Q343" s="62"/>
      <c r="R343" s="62"/>
      <c r="S343" s="62"/>
      <c r="T343" s="62"/>
      <c r="U343" s="62"/>
      <c r="V343" s="62"/>
      <c r="W343" s="62"/>
      <c r="X343" s="62"/>
      <c r="Y343" s="62"/>
      <c r="Z343" s="62"/>
    </row>
    <row r="344">
      <c r="A344" s="62"/>
      <c r="B344" s="62" t="str">
        <f>IFERROR(__xludf.DUMMYFUNCTION("""COMPUTED_VALUE"""),"武田")</f>
        <v>武田</v>
      </c>
      <c r="C344" s="62"/>
      <c r="D344" s="62"/>
      <c r="E344" s="62"/>
      <c r="F344" s="62"/>
      <c r="G344" s="504">
        <f>IFERROR(__xludf.DUMMYFUNCTION("""COMPUTED_VALUE"""),0.0)</f>
        <v>0</v>
      </c>
      <c r="H344" s="62"/>
      <c r="I344" s="62"/>
      <c r="J344" s="62"/>
      <c r="K344" s="62"/>
      <c r="L344" s="504">
        <f>IFERROR(__xludf.DUMMYFUNCTION("""COMPUTED_VALUE"""),0.0)</f>
        <v>0</v>
      </c>
      <c r="M344" s="504">
        <f>IFERROR(__xludf.DUMMYFUNCTION("""COMPUTED_VALUE"""),0.0)</f>
        <v>0</v>
      </c>
      <c r="N344" s="504">
        <f>IFERROR(__xludf.DUMMYFUNCTION("""COMPUTED_VALUE"""),0.0)</f>
        <v>0</v>
      </c>
      <c r="O344" s="62"/>
      <c r="P344" s="62"/>
      <c r="Q344" s="62"/>
      <c r="R344" s="62"/>
      <c r="S344" s="62"/>
      <c r="T344" s="62"/>
      <c r="U344" s="62"/>
      <c r="V344" s="62"/>
      <c r="W344" s="62"/>
      <c r="X344" s="62"/>
      <c r="Y344" s="62"/>
      <c r="Z344" s="62"/>
    </row>
    <row r="345">
      <c r="A345" s="62"/>
      <c r="B345" s="62" t="str">
        <f>IFERROR(__xludf.DUMMYFUNCTION("""COMPUTED_VALUE"""),"高木")</f>
        <v>高木</v>
      </c>
      <c r="C345" s="62">
        <f>IFERROR(__xludf.DUMMYFUNCTION("""COMPUTED_VALUE"""),115.0)</f>
        <v>115</v>
      </c>
      <c r="D345" s="62">
        <f>IFERROR(__xludf.DUMMYFUNCTION("""COMPUTED_VALUE"""),20.0)</f>
        <v>20</v>
      </c>
      <c r="E345" s="62">
        <f>IFERROR(__xludf.DUMMYFUNCTION("""COMPUTED_VALUE"""),1.0)</f>
        <v>1</v>
      </c>
      <c r="F345" s="62">
        <f>IFERROR(__xludf.DUMMYFUNCTION("""COMPUTED_VALUE"""),15.0)</f>
        <v>15</v>
      </c>
      <c r="G345" s="504">
        <f>IFERROR(__xludf.DUMMYFUNCTION("""COMPUTED_VALUE"""),0.17391304347826086)</f>
        <v>0.1739130435</v>
      </c>
      <c r="H345" s="62">
        <f>IFERROR(__xludf.DUMMYFUNCTION("""COMPUTED_VALUE"""),3.0)</f>
        <v>3</v>
      </c>
      <c r="I345" s="62">
        <f>IFERROR(__xludf.DUMMYFUNCTION("""COMPUTED_VALUE"""),1.0)</f>
        <v>1</v>
      </c>
      <c r="J345" s="552">
        <f>IFERROR(__xludf.DUMMYFUNCTION("""COMPUTED_VALUE"""),20000.0)</f>
        <v>20000</v>
      </c>
      <c r="K345" s="62"/>
      <c r="L345" s="504">
        <f>IFERROR(__xludf.DUMMYFUNCTION("""COMPUTED_VALUE"""),0.02608695652173913)</f>
        <v>0.02608695652</v>
      </c>
      <c r="M345" s="504">
        <f>IFERROR(__xludf.DUMMYFUNCTION("""COMPUTED_VALUE"""),0.008695652173913044)</f>
        <v>0.008695652174</v>
      </c>
      <c r="N345" s="504">
        <f>IFERROR(__xludf.DUMMYFUNCTION("""COMPUTED_VALUE"""),0.3333333333333333)</f>
        <v>0.3333333333</v>
      </c>
      <c r="O345" s="62"/>
      <c r="P345" s="62"/>
      <c r="Q345" s="62"/>
      <c r="R345" s="62"/>
      <c r="S345" s="62"/>
      <c r="T345" s="62"/>
      <c r="U345" s="62"/>
      <c r="V345" s="62"/>
      <c r="W345" s="62"/>
      <c r="X345" s="62"/>
      <c r="Y345" s="62"/>
      <c r="Z345" s="62"/>
    </row>
    <row r="346">
      <c r="A346" s="62"/>
      <c r="B346" s="62"/>
      <c r="C346" s="62"/>
      <c r="D346" s="62"/>
      <c r="E346" s="62"/>
      <c r="F346" s="62"/>
      <c r="G346" s="504">
        <f>IFERROR(__xludf.DUMMYFUNCTION("""COMPUTED_VALUE"""),0.0)</f>
        <v>0</v>
      </c>
      <c r="H346" s="62"/>
      <c r="I346" s="62"/>
      <c r="J346" s="62"/>
      <c r="K346" s="62"/>
      <c r="L346" s="504">
        <f>IFERROR(__xludf.DUMMYFUNCTION("""COMPUTED_VALUE"""),0.0)</f>
        <v>0</v>
      </c>
      <c r="M346" s="504">
        <f>IFERROR(__xludf.DUMMYFUNCTION("""COMPUTED_VALUE"""),0.0)</f>
        <v>0</v>
      </c>
      <c r="N346" s="504">
        <f>IFERROR(__xludf.DUMMYFUNCTION("""COMPUTED_VALUE"""),0.0)</f>
        <v>0</v>
      </c>
      <c r="O346" s="62"/>
      <c r="P346" s="62"/>
      <c r="Q346" s="62"/>
      <c r="R346" s="62"/>
      <c r="S346" s="62"/>
      <c r="T346" s="62"/>
      <c r="U346" s="62"/>
      <c r="V346" s="62"/>
      <c r="W346" s="62"/>
      <c r="X346" s="62"/>
      <c r="Y346" s="62"/>
      <c r="Z346" s="62"/>
    </row>
    <row r="347">
      <c r="A347" s="62"/>
      <c r="B347" s="62" t="str">
        <f>IFERROR(__xludf.DUMMYFUNCTION("""COMPUTED_VALUE"""),"大谷")</f>
        <v>大谷</v>
      </c>
      <c r="C347" s="62"/>
      <c r="D347" s="62"/>
      <c r="E347" s="62"/>
      <c r="F347" s="62"/>
      <c r="G347" s="504">
        <f>IFERROR(__xludf.DUMMYFUNCTION("""COMPUTED_VALUE"""),0.0)</f>
        <v>0</v>
      </c>
      <c r="H347" s="62"/>
      <c r="I347" s="62"/>
      <c r="J347" s="62"/>
      <c r="K347" s="62"/>
      <c r="L347" s="504">
        <f>IFERROR(__xludf.DUMMYFUNCTION("""COMPUTED_VALUE"""),0.0)</f>
        <v>0</v>
      </c>
      <c r="M347" s="504">
        <f>IFERROR(__xludf.DUMMYFUNCTION("""COMPUTED_VALUE"""),0.0)</f>
        <v>0</v>
      </c>
      <c r="N347" s="504">
        <f>IFERROR(__xludf.DUMMYFUNCTION("""COMPUTED_VALUE"""),0.0)</f>
        <v>0</v>
      </c>
      <c r="O347" s="62"/>
      <c r="P347" s="62"/>
      <c r="Q347" s="62"/>
      <c r="R347" s="62"/>
      <c r="S347" s="62"/>
      <c r="T347" s="62"/>
      <c r="U347" s="62"/>
      <c r="V347" s="62"/>
      <c r="W347" s="62"/>
      <c r="X347" s="62"/>
      <c r="Y347" s="62"/>
      <c r="Z347" s="62"/>
    </row>
    <row r="348">
      <c r="A348" s="62"/>
      <c r="B348" s="62"/>
      <c r="C348" s="62"/>
      <c r="D348" s="62"/>
      <c r="E348" s="62"/>
      <c r="F348" s="62"/>
      <c r="G348" s="504">
        <f>IFERROR(__xludf.DUMMYFUNCTION("""COMPUTED_VALUE"""),0.0)</f>
        <v>0</v>
      </c>
      <c r="H348" s="62"/>
      <c r="I348" s="62"/>
      <c r="J348" s="62"/>
      <c r="K348" s="62"/>
      <c r="L348" s="504">
        <f>IFERROR(__xludf.DUMMYFUNCTION("""COMPUTED_VALUE"""),0.0)</f>
        <v>0</v>
      </c>
      <c r="M348" s="504">
        <f>IFERROR(__xludf.DUMMYFUNCTION("""COMPUTED_VALUE"""),0.0)</f>
        <v>0</v>
      </c>
      <c r="N348" s="504">
        <f>IFERROR(__xludf.DUMMYFUNCTION("""COMPUTED_VALUE"""),0.0)</f>
        <v>0</v>
      </c>
      <c r="O348" s="62"/>
      <c r="P348" s="62"/>
      <c r="Q348" s="62"/>
      <c r="R348" s="62"/>
      <c r="S348" s="62"/>
      <c r="T348" s="62"/>
      <c r="U348" s="62"/>
      <c r="V348" s="62"/>
      <c r="W348" s="62"/>
      <c r="X348" s="62"/>
      <c r="Y348" s="62"/>
      <c r="Z348" s="62"/>
    </row>
    <row r="349">
      <c r="A349" s="62"/>
      <c r="B349" s="62" t="str">
        <f>IFERROR(__xludf.DUMMYFUNCTION("""COMPUTED_VALUE"""),"森")</f>
        <v>森</v>
      </c>
      <c r="C349" s="62"/>
      <c r="D349" s="62"/>
      <c r="E349" s="62"/>
      <c r="F349" s="62"/>
      <c r="G349" s="504">
        <f>IFERROR(__xludf.DUMMYFUNCTION("""COMPUTED_VALUE"""),0.0)</f>
        <v>0</v>
      </c>
      <c r="H349" s="62"/>
      <c r="I349" s="62"/>
      <c r="J349" s="62"/>
      <c r="K349" s="62"/>
      <c r="L349" s="504">
        <f>IFERROR(__xludf.DUMMYFUNCTION("""COMPUTED_VALUE"""),0.0)</f>
        <v>0</v>
      </c>
      <c r="M349" s="504">
        <f>IFERROR(__xludf.DUMMYFUNCTION("""COMPUTED_VALUE"""),0.0)</f>
        <v>0</v>
      </c>
      <c r="N349" s="504">
        <f>IFERROR(__xludf.DUMMYFUNCTION("""COMPUTED_VALUE"""),0.0)</f>
        <v>0</v>
      </c>
      <c r="O349" s="62"/>
      <c r="P349" s="62"/>
      <c r="Q349" s="62"/>
      <c r="R349" s="62"/>
      <c r="S349" s="62"/>
      <c r="T349" s="62"/>
      <c r="U349" s="62"/>
      <c r="V349" s="62"/>
      <c r="W349" s="62"/>
      <c r="X349" s="62"/>
      <c r="Y349" s="62"/>
      <c r="Z349" s="62"/>
    </row>
    <row r="350">
      <c r="A350" s="62"/>
      <c r="B350" s="62"/>
      <c r="C350" s="62"/>
      <c r="D350" s="62"/>
      <c r="E350" s="62"/>
      <c r="F350" s="62"/>
      <c r="G350" s="504">
        <f>IFERROR(__xludf.DUMMYFUNCTION("""COMPUTED_VALUE"""),0.0)</f>
        <v>0</v>
      </c>
      <c r="H350" s="62"/>
      <c r="I350" s="62"/>
      <c r="J350" s="62"/>
      <c r="K350" s="62"/>
      <c r="L350" s="504">
        <f>IFERROR(__xludf.DUMMYFUNCTION("""COMPUTED_VALUE"""),0.0)</f>
        <v>0</v>
      </c>
      <c r="M350" s="504">
        <f>IFERROR(__xludf.DUMMYFUNCTION("""COMPUTED_VALUE"""),0.0)</f>
        <v>0</v>
      </c>
      <c r="N350" s="504">
        <f>IFERROR(__xludf.DUMMYFUNCTION("""COMPUTED_VALUE"""),0.0)</f>
        <v>0</v>
      </c>
      <c r="O350" s="62"/>
      <c r="P350" s="62"/>
      <c r="Q350" s="62"/>
      <c r="R350" s="62"/>
      <c r="S350" s="62"/>
      <c r="T350" s="62"/>
      <c r="U350" s="62"/>
      <c r="V350" s="62"/>
      <c r="W350" s="62"/>
      <c r="X350" s="62"/>
      <c r="Y350" s="62"/>
      <c r="Z350" s="62"/>
    </row>
    <row r="351">
      <c r="A351" s="62"/>
      <c r="B351" s="62" t="str">
        <f>IFERROR(__xludf.DUMMYFUNCTION("""COMPUTED_VALUE"""),"金子")</f>
        <v>金子</v>
      </c>
      <c r="C351" s="62"/>
      <c r="D351" s="62"/>
      <c r="E351" s="62"/>
      <c r="F351" s="62"/>
      <c r="G351" s="504">
        <f>IFERROR(__xludf.DUMMYFUNCTION("""COMPUTED_VALUE"""),0.0)</f>
        <v>0</v>
      </c>
      <c r="H351" s="62"/>
      <c r="I351" s="62"/>
      <c r="J351" s="62"/>
      <c r="K351" s="62"/>
      <c r="L351" s="504">
        <f>IFERROR(__xludf.DUMMYFUNCTION("""COMPUTED_VALUE"""),0.0)</f>
        <v>0</v>
      </c>
      <c r="M351" s="504">
        <f>IFERROR(__xludf.DUMMYFUNCTION("""COMPUTED_VALUE"""),0.0)</f>
        <v>0</v>
      </c>
      <c r="N351" s="504">
        <f>IFERROR(__xludf.DUMMYFUNCTION("""COMPUTED_VALUE"""),0.0)</f>
        <v>0</v>
      </c>
      <c r="O351" s="62"/>
      <c r="P351" s="62"/>
      <c r="Q351" s="62"/>
      <c r="R351" s="62"/>
      <c r="S351" s="62"/>
      <c r="T351" s="62"/>
      <c r="U351" s="62"/>
      <c r="V351" s="62"/>
      <c r="W351" s="62"/>
      <c r="X351" s="62"/>
      <c r="Y351" s="62"/>
      <c r="Z351" s="62"/>
    </row>
    <row r="352">
      <c r="A352" s="62"/>
      <c r="B352" s="62"/>
      <c r="C352" s="62"/>
      <c r="D352" s="62"/>
      <c r="E352" s="62"/>
      <c r="F352" s="62"/>
      <c r="G352" s="504">
        <f>IFERROR(__xludf.DUMMYFUNCTION("""COMPUTED_VALUE"""),0.0)</f>
        <v>0</v>
      </c>
      <c r="H352" s="62"/>
      <c r="I352" s="62"/>
      <c r="J352" s="62"/>
      <c r="K352" s="62"/>
      <c r="L352" s="504">
        <f>IFERROR(__xludf.DUMMYFUNCTION("""COMPUTED_VALUE"""),0.0)</f>
        <v>0</v>
      </c>
      <c r="M352" s="504">
        <f>IFERROR(__xludf.DUMMYFUNCTION("""COMPUTED_VALUE"""),0.0)</f>
        <v>0</v>
      </c>
      <c r="N352" s="504">
        <f>IFERROR(__xludf.DUMMYFUNCTION("""COMPUTED_VALUE"""),0.0)</f>
        <v>0</v>
      </c>
      <c r="O352" s="62"/>
      <c r="P352" s="62"/>
      <c r="Q352" s="62"/>
      <c r="R352" s="62"/>
      <c r="S352" s="62"/>
      <c r="T352" s="62"/>
      <c r="U352" s="62"/>
      <c r="V352" s="62"/>
      <c r="W352" s="62"/>
      <c r="X352" s="62"/>
      <c r="Y352" s="62"/>
      <c r="Z352" s="62"/>
    </row>
    <row r="353">
      <c r="A353" s="62"/>
      <c r="B353" s="552" t="str">
        <f>IFERROR(__xludf.DUMMYFUNCTION("""COMPUTED_VALUE"""),"SMS")</f>
        <v>SMS</v>
      </c>
      <c r="C353" s="62"/>
      <c r="D353" s="62"/>
      <c r="E353" s="62"/>
      <c r="F353" s="62"/>
      <c r="G353" s="504">
        <f>IFERROR(__xludf.DUMMYFUNCTION("""COMPUTED_VALUE"""),0.0)</f>
        <v>0</v>
      </c>
      <c r="H353" s="62"/>
      <c r="I353" s="62">
        <f>IFERROR(__xludf.DUMMYFUNCTION("""COMPUTED_VALUE"""),2.0)</f>
        <v>2</v>
      </c>
      <c r="J353" s="552">
        <f>IFERROR(__xludf.DUMMYFUNCTION("""COMPUTED_VALUE"""),80000.0)</f>
        <v>80000</v>
      </c>
      <c r="K353" s="62"/>
      <c r="L353" s="504">
        <f>IFERROR(__xludf.DUMMYFUNCTION("""COMPUTED_VALUE"""),0.0)</f>
        <v>0</v>
      </c>
      <c r="M353" s="504">
        <f>IFERROR(__xludf.DUMMYFUNCTION("""COMPUTED_VALUE"""),0.0)</f>
        <v>0</v>
      </c>
      <c r="N353" s="504">
        <f>IFERROR(__xludf.DUMMYFUNCTION("""COMPUTED_VALUE"""),0.0)</f>
        <v>0</v>
      </c>
      <c r="O353" s="62"/>
      <c r="P353" s="62"/>
      <c r="Q353" s="62"/>
      <c r="R353" s="62"/>
      <c r="S353" s="62"/>
      <c r="T353" s="62"/>
      <c r="U353" s="62"/>
      <c r="V353" s="62"/>
      <c r="W353" s="62"/>
      <c r="X353" s="62"/>
      <c r="Y353" s="62"/>
      <c r="Z353" s="62"/>
    </row>
    <row r="354">
      <c r="A354" s="62"/>
      <c r="B354" s="62" t="str">
        <f>IFERROR(__xludf.DUMMYFUNCTION("""COMPUTED_VALUE"""),"紹介")</f>
        <v>紹介</v>
      </c>
      <c r="C354" s="62"/>
      <c r="D354" s="62"/>
      <c r="E354" s="62"/>
      <c r="F354" s="62"/>
      <c r="G354" s="504">
        <f>IFERROR(__xludf.DUMMYFUNCTION("""COMPUTED_VALUE"""),0.0)</f>
        <v>0</v>
      </c>
      <c r="H354" s="62"/>
      <c r="I354" s="62"/>
      <c r="J354" s="62"/>
      <c r="K354" s="62"/>
      <c r="L354" s="504">
        <f>IFERROR(__xludf.DUMMYFUNCTION("""COMPUTED_VALUE"""),0.0)</f>
        <v>0</v>
      </c>
      <c r="M354" s="504">
        <f>IFERROR(__xludf.DUMMYFUNCTION("""COMPUTED_VALUE"""),0.0)</f>
        <v>0</v>
      </c>
      <c r="N354" s="504">
        <f>IFERROR(__xludf.DUMMYFUNCTION("""COMPUTED_VALUE"""),0.0)</f>
        <v>0</v>
      </c>
      <c r="O354" s="62"/>
      <c r="P354" s="62"/>
      <c r="Q354" s="62"/>
      <c r="R354" s="62"/>
      <c r="S354" s="62"/>
      <c r="T354" s="62"/>
      <c r="U354" s="62"/>
      <c r="V354" s="62"/>
      <c r="W354" s="62"/>
      <c r="X354" s="62"/>
      <c r="Y354" s="62"/>
      <c r="Z354" s="62"/>
    </row>
    <row r="355">
      <c r="A355" s="62"/>
      <c r="B355" s="62" t="str">
        <f>IFERROR(__xludf.DUMMYFUNCTION("""COMPUTED_VALUE"""),"仁子")</f>
        <v>仁子</v>
      </c>
      <c r="C355" s="62"/>
      <c r="D355" s="62"/>
      <c r="E355" s="62"/>
      <c r="F355" s="62"/>
      <c r="G355" s="504">
        <f>IFERROR(__xludf.DUMMYFUNCTION("""COMPUTED_VALUE"""),0.0)</f>
        <v>0</v>
      </c>
      <c r="H355" s="62"/>
      <c r="I355" s="62">
        <f>IFERROR(__xludf.DUMMYFUNCTION("""COMPUTED_VALUE"""),3.0)</f>
        <v>3</v>
      </c>
      <c r="J355" s="552">
        <f>IFERROR(__xludf.DUMMYFUNCTION("""COMPUTED_VALUE"""),230000.0)</f>
        <v>230000</v>
      </c>
      <c r="K355" s="62"/>
      <c r="L355" s="504">
        <f>IFERROR(__xludf.DUMMYFUNCTION("""COMPUTED_VALUE"""),0.0)</f>
        <v>0</v>
      </c>
      <c r="M355" s="504">
        <f>IFERROR(__xludf.DUMMYFUNCTION("""COMPUTED_VALUE"""),0.0)</f>
        <v>0</v>
      </c>
      <c r="N355" s="504">
        <f>IFERROR(__xludf.DUMMYFUNCTION("""COMPUTED_VALUE"""),0.0)</f>
        <v>0</v>
      </c>
      <c r="O355" s="62"/>
      <c r="P355" s="62"/>
      <c r="Q355" s="62"/>
      <c r="R355" s="62"/>
      <c r="S355" s="62"/>
      <c r="T355" s="62"/>
      <c r="U355" s="62"/>
      <c r="V355" s="62"/>
      <c r="W355" s="62"/>
      <c r="X355" s="62"/>
      <c r="Y355" s="62"/>
      <c r="Z355" s="62"/>
    </row>
    <row r="356">
      <c r="A356" s="62"/>
      <c r="B356" s="62" t="str">
        <f>IFERROR(__xludf.DUMMYFUNCTION("""COMPUTED_VALUE"""),"鈴木")</f>
        <v>鈴木</v>
      </c>
      <c r="C356" s="62"/>
      <c r="D356" s="62"/>
      <c r="E356" s="62"/>
      <c r="F356" s="62"/>
      <c r="G356" s="504">
        <f>IFERROR(__xludf.DUMMYFUNCTION("""COMPUTED_VALUE"""),0.0)</f>
        <v>0</v>
      </c>
      <c r="H356" s="62"/>
      <c r="I356" s="62">
        <f>IFERROR(__xludf.DUMMYFUNCTION("""COMPUTED_VALUE"""),1.0)</f>
        <v>1</v>
      </c>
      <c r="J356" s="552">
        <f>IFERROR(__xludf.DUMMYFUNCTION("""COMPUTED_VALUE"""),50000.0)</f>
        <v>50000</v>
      </c>
      <c r="K356" s="62"/>
      <c r="L356" s="504">
        <f>IFERROR(__xludf.DUMMYFUNCTION("""COMPUTED_VALUE"""),0.0)</f>
        <v>0</v>
      </c>
      <c r="M356" s="504">
        <f>IFERROR(__xludf.DUMMYFUNCTION("""COMPUTED_VALUE"""),0.0)</f>
        <v>0</v>
      </c>
      <c r="N356" s="504">
        <f>IFERROR(__xludf.DUMMYFUNCTION("""COMPUTED_VALUE"""),0.0)</f>
        <v>0</v>
      </c>
      <c r="O356" s="62"/>
      <c r="P356" s="62"/>
      <c r="Q356" s="62"/>
      <c r="R356" s="62"/>
      <c r="S356" s="62"/>
      <c r="T356" s="62"/>
      <c r="U356" s="62"/>
      <c r="V356" s="62"/>
      <c r="W356" s="62"/>
      <c r="X356" s="62"/>
      <c r="Y356" s="62"/>
      <c r="Z356" s="62"/>
    </row>
    <row r="357">
      <c r="A357" s="62"/>
      <c r="B357" s="62" t="str">
        <f>IFERROR(__xludf.DUMMYFUNCTION("""COMPUTED_VALUE"""),"仲間")</f>
        <v>仲間</v>
      </c>
      <c r="C357" s="62">
        <f>IFERROR(__xludf.DUMMYFUNCTION("""COMPUTED_VALUE"""),34.0)</f>
        <v>34</v>
      </c>
      <c r="D357" s="62">
        <f>IFERROR(__xludf.DUMMYFUNCTION("""COMPUTED_VALUE"""),7.0)</f>
        <v>7</v>
      </c>
      <c r="E357" s="62"/>
      <c r="F357" s="62">
        <f>IFERROR(__xludf.DUMMYFUNCTION("""COMPUTED_VALUE"""),5.0)</f>
        <v>5</v>
      </c>
      <c r="G357" s="504">
        <f>IFERROR(__xludf.DUMMYFUNCTION("""COMPUTED_VALUE"""),0.20588235294117646)</f>
        <v>0.2058823529</v>
      </c>
      <c r="H357" s="62">
        <f>IFERROR(__xludf.DUMMYFUNCTION("""COMPUTED_VALUE"""),1.0)</f>
        <v>1</v>
      </c>
      <c r="I357" s="62">
        <f>IFERROR(__xludf.DUMMYFUNCTION("""COMPUTED_VALUE"""),1.0)</f>
        <v>1</v>
      </c>
      <c r="J357" s="552">
        <f>IFERROR(__xludf.DUMMYFUNCTION("""COMPUTED_VALUE"""),100000.0)</f>
        <v>100000</v>
      </c>
      <c r="K357" s="62"/>
      <c r="L357" s="504">
        <f>IFERROR(__xludf.DUMMYFUNCTION("""COMPUTED_VALUE"""),0.029411764705882353)</f>
        <v>0.02941176471</v>
      </c>
      <c r="M357" s="504">
        <f>IFERROR(__xludf.DUMMYFUNCTION("""COMPUTED_VALUE"""),0.029411764705882353)</f>
        <v>0.02941176471</v>
      </c>
      <c r="N357" s="504">
        <f>IFERROR(__xludf.DUMMYFUNCTION("""COMPUTED_VALUE"""),1.0)</f>
        <v>1</v>
      </c>
      <c r="O357" s="62" t="str">
        <f>IFERROR(__xludf.DUMMYFUNCTION("""COMPUTED_VALUE"""),"リストE")</f>
        <v>リストE</v>
      </c>
      <c r="P357" s="553" t="str">
        <f>IFERROR(__xludf.DUMMYFUNCTION("""COMPUTED_VALUE"""),"平日")</f>
        <v>平日</v>
      </c>
      <c r="Q357" s="62"/>
      <c r="R357" s="62"/>
      <c r="S357" s="62"/>
      <c r="T357" s="62"/>
      <c r="U357" s="62"/>
      <c r="V357" s="62"/>
      <c r="W357" s="62"/>
      <c r="X357" s="62"/>
      <c r="Y357" s="62"/>
      <c r="Z357" s="62"/>
    </row>
    <row r="358">
      <c r="A358" s="62"/>
      <c r="B358" s="62"/>
      <c r="C358" s="62"/>
      <c r="D358" s="62"/>
      <c r="E358" s="62"/>
      <c r="F358" s="62"/>
      <c r="G358" s="504">
        <f>IFERROR(__xludf.DUMMYFUNCTION("""COMPUTED_VALUE"""),0.0)</f>
        <v>0</v>
      </c>
      <c r="H358" s="62"/>
      <c r="I358" s="62"/>
      <c r="J358" s="62"/>
      <c r="K358" s="62"/>
      <c r="L358" s="504">
        <f>IFERROR(__xludf.DUMMYFUNCTION("""COMPUTED_VALUE"""),0.0)</f>
        <v>0</v>
      </c>
      <c r="M358" s="504">
        <f>IFERROR(__xludf.DUMMYFUNCTION("""COMPUTED_VALUE"""),0.0)</f>
        <v>0</v>
      </c>
      <c r="N358" s="504">
        <f>IFERROR(__xludf.DUMMYFUNCTION("""COMPUTED_VALUE"""),0.0)</f>
        <v>0</v>
      </c>
      <c r="O358" s="62"/>
      <c r="P358" s="62"/>
      <c r="Q358" s="62"/>
      <c r="R358" s="62"/>
      <c r="S358" s="62"/>
      <c r="T358" s="62"/>
      <c r="U358" s="62"/>
      <c r="V358" s="62"/>
      <c r="W358" s="62"/>
      <c r="X358" s="62"/>
      <c r="Y358" s="62"/>
      <c r="Z358" s="62"/>
    </row>
    <row r="359">
      <c r="A359" s="62"/>
      <c r="B359" s="62" t="str">
        <f>IFERROR(__xludf.DUMMYFUNCTION("""COMPUTED_VALUE"""),"合計")</f>
        <v>合計</v>
      </c>
      <c r="C359" s="62">
        <f>IFERROR(__xludf.DUMMYFUNCTION("""COMPUTED_VALUE"""),239.0)</f>
        <v>239</v>
      </c>
      <c r="D359" s="62">
        <f>IFERROR(__xludf.DUMMYFUNCTION("""COMPUTED_VALUE"""),38.0)</f>
        <v>38</v>
      </c>
      <c r="E359" s="62">
        <f>IFERROR(__xludf.DUMMYFUNCTION("""COMPUTED_VALUE"""),5.0)</f>
        <v>5</v>
      </c>
      <c r="F359" s="62">
        <f>IFERROR(__xludf.DUMMYFUNCTION("""COMPUTED_VALUE"""),29.0)</f>
        <v>29</v>
      </c>
      <c r="G359" s="504">
        <f>IFERROR(__xludf.DUMMYFUNCTION("""COMPUTED_VALUE"""),0.1589958158995816)</f>
        <v>0.1589958159</v>
      </c>
      <c r="H359" s="62">
        <f>IFERROR(__xludf.DUMMYFUNCTION("""COMPUTED_VALUE"""),11.0)</f>
        <v>11</v>
      </c>
      <c r="I359" s="62">
        <f>IFERROR(__xludf.DUMMYFUNCTION("""COMPUTED_VALUE"""),8.0)</f>
        <v>8</v>
      </c>
      <c r="J359" s="552">
        <f>IFERROR(__xludf.DUMMYFUNCTION("""COMPUTED_VALUE"""),480000.0)</f>
        <v>480000</v>
      </c>
      <c r="K359" s="62">
        <f>IFERROR(__xludf.DUMMYFUNCTION("""COMPUTED_VALUE"""),4.0)</f>
        <v>4</v>
      </c>
      <c r="L359" s="504">
        <f>IFERROR(__xludf.DUMMYFUNCTION("""COMPUTED_VALUE"""),0.04602510460251046)</f>
        <v>0.0460251046</v>
      </c>
      <c r="M359" s="504">
        <f>IFERROR(__xludf.DUMMYFUNCTION("""COMPUTED_VALUE"""),0.03347280334728033)</f>
        <v>0.03347280335</v>
      </c>
      <c r="N359" s="504">
        <f>IFERROR(__xludf.DUMMYFUNCTION("""COMPUTED_VALUE"""),0.7272727272727273)</f>
        <v>0.7272727273</v>
      </c>
      <c r="O359" s="62"/>
      <c r="P359" s="62"/>
      <c r="Q359" s="62"/>
      <c r="R359" s="62"/>
      <c r="S359" s="62"/>
      <c r="T359" s="62"/>
      <c r="U359" s="62"/>
      <c r="V359" s="62"/>
      <c r="W359" s="62"/>
      <c r="X359" s="62"/>
      <c r="Y359" s="62"/>
      <c r="Z359" s="62"/>
    </row>
    <row r="360">
      <c r="A360" s="62" t="str">
        <f>IFERROR(__xludf.DUMMYFUNCTION("""COMPUTED_VALUE"""),"日付")</f>
        <v>日付</v>
      </c>
      <c r="B360" s="62" t="str">
        <f>IFERROR(__xludf.DUMMYFUNCTION("""COMPUTED_VALUE"""),"名前")</f>
        <v>名前</v>
      </c>
      <c r="C360" s="62" t="str">
        <f>IFERROR(__xludf.DUMMYFUNCTION("""COMPUTED_VALUE"""),"打電件数")</f>
        <v>打電件数</v>
      </c>
      <c r="D360" s="62" t="str">
        <f>IFERROR(__xludf.DUMMYFUNCTION("""COMPUTED_VALUE"""),"着電件数")</f>
        <v>着電件数</v>
      </c>
      <c r="E360" s="62" t="str">
        <f>IFERROR(__xludf.DUMMYFUNCTION("""COMPUTED_VALUE"""),"折り返し件数")</f>
        <v>折り返し件数</v>
      </c>
      <c r="F360" s="62" t="str">
        <f>IFERROR(__xludf.DUMMYFUNCTION("""COMPUTED_VALUE"""),"拒否")</f>
        <v>拒否</v>
      </c>
      <c r="G360" s="62" t="str">
        <f>IFERROR(__xludf.DUMMYFUNCTION("""COMPUTED_VALUE"""),"着電率")</f>
        <v>着電率</v>
      </c>
      <c r="H360" s="62" t="str">
        <f>IFERROR(__xludf.DUMMYFUNCTION("""COMPUTED_VALUE"""),"LINE登録")</f>
        <v>LINE登録</v>
      </c>
      <c r="I360" s="62" t="str">
        <f>IFERROR(__xludf.DUMMYFUNCTION("""COMPUTED_VALUE"""),"アカウント作成")</f>
        <v>アカウント作成</v>
      </c>
      <c r="J360" s="552" t="str">
        <f>IFERROR(__xludf.DUMMYFUNCTION("""COMPUTED_VALUE"""),"新規信用枠額")</f>
        <v>新規信用枠額</v>
      </c>
      <c r="K360" s="62" t="str">
        <f>IFERROR(__xludf.DUMMYFUNCTION("""COMPUTED_VALUE"""),"リスト死回線数")</f>
        <v>リスト死回線数</v>
      </c>
      <c r="L360" s="62" t="str">
        <f>IFERROR(__xludf.DUMMYFUNCTION("""COMPUTED_VALUE"""),"LINE率(打電から)")</f>
        <v>LINE率(打電から)</v>
      </c>
      <c r="M360" s="62" t="str">
        <f>IFERROR(__xludf.DUMMYFUNCTION("""COMPUTED_VALUE"""),"アカウント作成率(打電から)")</f>
        <v>アカウント作成率(打電から)</v>
      </c>
      <c r="N360" s="62" t="str">
        <f>IFERROR(__xludf.DUMMYFUNCTION("""COMPUTED_VALUE"""),"アカウント作成率(LINEから)")</f>
        <v>アカウント作成率(LINEから)</v>
      </c>
      <c r="O360" s="62" t="str">
        <f>IFERROR(__xludf.DUMMYFUNCTION("""COMPUTED_VALUE"""),"リスト名")</f>
        <v>リスト名</v>
      </c>
      <c r="P360" s="553" t="str">
        <f>IFERROR(__xludf.DUMMYFUNCTION("""COMPUTED_VALUE"""),"日本基準")</f>
        <v>日本基準</v>
      </c>
      <c r="Q360" s="62"/>
      <c r="R360" s="62"/>
      <c r="S360" s="62"/>
      <c r="T360" s="62"/>
      <c r="U360" s="62"/>
      <c r="V360" s="62"/>
      <c r="W360" s="62"/>
      <c r="X360" s="62"/>
      <c r="Y360" s="62"/>
      <c r="Z360" s="62"/>
    </row>
    <row r="361">
      <c r="A361" s="556">
        <f>IFERROR(__xludf.DUMMYFUNCTION("""COMPUTED_VALUE"""),45918.0)</f>
        <v>45918</v>
      </c>
      <c r="B361" s="62" t="str">
        <f>IFERROR(__xludf.DUMMYFUNCTION("""COMPUTED_VALUE"""),"あり")</f>
        <v>あり</v>
      </c>
      <c r="C361" s="62"/>
      <c r="D361" s="62"/>
      <c r="E361" s="62"/>
      <c r="F361" s="62"/>
      <c r="G361" s="504">
        <f>IFERROR(__xludf.DUMMYFUNCTION("""COMPUTED_VALUE"""),0.0)</f>
        <v>0</v>
      </c>
      <c r="H361" s="62">
        <f>IFERROR(__xludf.DUMMYFUNCTION("""COMPUTED_VALUE"""),1.0)</f>
        <v>1</v>
      </c>
      <c r="I361" s="62">
        <f>IFERROR(__xludf.DUMMYFUNCTION("""COMPUTED_VALUE"""),1.0)</f>
        <v>1</v>
      </c>
      <c r="J361" s="552">
        <f>IFERROR(__xludf.DUMMYFUNCTION("""COMPUTED_VALUE"""),100000.0)</f>
        <v>100000</v>
      </c>
      <c r="K361" s="62"/>
      <c r="L361" s="504">
        <f>IFERROR(__xludf.DUMMYFUNCTION("""COMPUTED_VALUE"""),0.0)</f>
        <v>0</v>
      </c>
      <c r="M361" s="504">
        <f>IFERROR(__xludf.DUMMYFUNCTION("""COMPUTED_VALUE"""),0.0)</f>
        <v>0</v>
      </c>
      <c r="N361" s="504">
        <f>IFERROR(__xludf.DUMMYFUNCTION("""COMPUTED_VALUE"""),1.0)</f>
        <v>1</v>
      </c>
      <c r="O361" s="62"/>
      <c r="P361" s="62"/>
      <c r="Q361" s="62"/>
      <c r="R361" s="62"/>
      <c r="S361" s="62"/>
      <c r="T361" s="62"/>
      <c r="U361" s="62"/>
      <c r="V361" s="62"/>
      <c r="W361" s="62"/>
      <c r="X361" s="62"/>
      <c r="Y361" s="62"/>
      <c r="Z361" s="62"/>
    </row>
    <row r="362">
      <c r="A362" s="62"/>
      <c r="B362" s="62" t="str">
        <f>IFERROR(__xludf.DUMMYFUNCTION("""COMPUTED_VALUE"""),"しょうま")</f>
        <v>しょうま</v>
      </c>
      <c r="C362" s="62">
        <f>IFERROR(__xludf.DUMMYFUNCTION("""COMPUTED_VALUE"""),63.0)</f>
        <v>63</v>
      </c>
      <c r="D362" s="62">
        <f>IFERROR(__xludf.DUMMYFUNCTION("""COMPUTED_VALUE"""),5.0)</f>
        <v>5</v>
      </c>
      <c r="E362" s="62">
        <f>IFERROR(__xludf.DUMMYFUNCTION("""COMPUTED_VALUE"""),1.0)</f>
        <v>1</v>
      </c>
      <c r="F362" s="62">
        <f>IFERROR(__xludf.DUMMYFUNCTION("""COMPUTED_VALUE"""),5.0)</f>
        <v>5</v>
      </c>
      <c r="G362" s="504">
        <f>IFERROR(__xludf.DUMMYFUNCTION("""COMPUTED_VALUE"""),0.07936507936507936)</f>
        <v>0.07936507937</v>
      </c>
      <c r="H362" s="62"/>
      <c r="I362" s="62"/>
      <c r="J362" s="62"/>
      <c r="K362" s="62"/>
      <c r="L362" s="504">
        <f>IFERROR(__xludf.DUMMYFUNCTION("""COMPUTED_VALUE"""),0.0)</f>
        <v>0</v>
      </c>
      <c r="M362" s="504">
        <f>IFERROR(__xludf.DUMMYFUNCTION("""COMPUTED_VALUE"""),0.0)</f>
        <v>0</v>
      </c>
      <c r="N362" s="504">
        <f>IFERROR(__xludf.DUMMYFUNCTION("""COMPUTED_VALUE"""),0.0)</f>
        <v>0</v>
      </c>
      <c r="O362" s="62" t="str">
        <f>IFERROR(__xludf.DUMMYFUNCTION("""COMPUTED_VALUE"""),"リストE")</f>
        <v>リストE</v>
      </c>
      <c r="P362" s="553" t="str">
        <f>IFERROR(__xludf.DUMMYFUNCTION("""COMPUTED_VALUE"""),"平日")</f>
        <v>平日</v>
      </c>
      <c r="Q362" s="62"/>
      <c r="R362" s="62"/>
      <c r="S362" s="62"/>
      <c r="T362" s="62"/>
      <c r="U362" s="62"/>
      <c r="V362" s="62"/>
      <c r="W362" s="62"/>
      <c r="X362" s="62"/>
      <c r="Y362" s="62"/>
      <c r="Z362" s="62"/>
    </row>
    <row r="363">
      <c r="A363" s="62"/>
      <c r="B363" s="62"/>
      <c r="C363" s="62"/>
      <c r="D363" s="62"/>
      <c r="E363" s="62"/>
      <c r="F363" s="62"/>
      <c r="G363" s="504">
        <f>IFERROR(__xludf.DUMMYFUNCTION("""COMPUTED_VALUE"""),0.0)</f>
        <v>0</v>
      </c>
      <c r="H363" s="62"/>
      <c r="I363" s="62"/>
      <c r="J363" s="62"/>
      <c r="K363" s="62"/>
      <c r="L363" s="504">
        <f>IFERROR(__xludf.DUMMYFUNCTION("""COMPUTED_VALUE"""),0.0)</f>
        <v>0</v>
      </c>
      <c r="M363" s="504">
        <f>IFERROR(__xludf.DUMMYFUNCTION("""COMPUTED_VALUE"""),0.0)</f>
        <v>0</v>
      </c>
      <c r="N363" s="504">
        <f>IFERROR(__xludf.DUMMYFUNCTION("""COMPUTED_VALUE"""),0.0)</f>
        <v>0</v>
      </c>
      <c r="O363" s="62"/>
      <c r="P363" s="62"/>
      <c r="Q363" s="62"/>
      <c r="R363" s="62"/>
      <c r="S363" s="62"/>
      <c r="T363" s="62"/>
      <c r="U363" s="62"/>
      <c r="V363" s="62"/>
      <c r="W363" s="62"/>
      <c r="X363" s="62"/>
      <c r="Y363" s="62"/>
      <c r="Z363" s="62"/>
    </row>
    <row r="364">
      <c r="A364" s="62"/>
      <c r="B364" s="62" t="str">
        <f>IFERROR(__xludf.DUMMYFUNCTION("""COMPUTED_VALUE"""),"ジョーナ")</f>
        <v>ジョーナ</v>
      </c>
      <c r="C364" s="62"/>
      <c r="D364" s="62"/>
      <c r="E364" s="62"/>
      <c r="F364" s="62"/>
      <c r="G364" s="504">
        <f>IFERROR(__xludf.DUMMYFUNCTION("""COMPUTED_VALUE"""),0.0)</f>
        <v>0</v>
      </c>
      <c r="H364" s="62"/>
      <c r="I364" s="62"/>
      <c r="J364" s="62"/>
      <c r="K364" s="62"/>
      <c r="L364" s="504">
        <f>IFERROR(__xludf.DUMMYFUNCTION("""COMPUTED_VALUE"""),0.0)</f>
        <v>0</v>
      </c>
      <c r="M364" s="504">
        <f>IFERROR(__xludf.DUMMYFUNCTION("""COMPUTED_VALUE"""),0.0)</f>
        <v>0</v>
      </c>
      <c r="N364" s="504">
        <f>IFERROR(__xludf.DUMMYFUNCTION("""COMPUTED_VALUE"""),0.0)</f>
        <v>0</v>
      </c>
      <c r="O364" s="62"/>
      <c r="P364" s="62"/>
      <c r="Q364" s="62"/>
      <c r="R364" s="62"/>
      <c r="S364" s="62"/>
      <c r="T364" s="62"/>
      <c r="U364" s="62"/>
      <c r="V364" s="62"/>
      <c r="W364" s="62"/>
      <c r="X364" s="62"/>
      <c r="Y364" s="62"/>
      <c r="Z364" s="62"/>
    </row>
    <row r="365">
      <c r="A365" s="62"/>
      <c r="B365" s="62" t="str">
        <f>IFERROR(__xludf.DUMMYFUNCTION("""COMPUTED_VALUE"""),"武田")</f>
        <v>武田</v>
      </c>
      <c r="C365" s="62"/>
      <c r="D365" s="62"/>
      <c r="E365" s="62"/>
      <c r="F365" s="62"/>
      <c r="G365" s="504">
        <f>IFERROR(__xludf.DUMMYFUNCTION("""COMPUTED_VALUE"""),0.0)</f>
        <v>0</v>
      </c>
      <c r="H365" s="62"/>
      <c r="I365" s="62"/>
      <c r="J365" s="62"/>
      <c r="K365" s="62"/>
      <c r="L365" s="504">
        <f>IFERROR(__xludf.DUMMYFUNCTION("""COMPUTED_VALUE"""),0.0)</f>
        <v>0</v>
      </c>
      <c r="M365" s="504">
        <f>IFERROR(__xludf.DUMMYFUNCTION("""COMPUTED_VALUE"""),0.0)</f>
        <v>0</v>
      </c>
      <c r="N365" s="504">
        <f>IFERROR(__xludf.DUMMYFUNCTION("""COMPUTED_VALUE"""),0.0)</f>
        <v>0</v>
      </c>
      <c r="O365" s="62"/>
      <c r="P365" s="62"/>
      <c r="Q365" s="62"/>
      <c r="R365" s="62"/>
      <c r="S365" s="62"/>
      <c r="T365" s="62"/>
      <c r="U365" s="62"/>
      <c r="V365" s="62"/>
      <c r="W365" s="62"/>
      <c r="X365" s="62"/>
      <c r="Y365" s="62"/>
      <c r="Z365" s="62"/>
    </row>
    <row r="366">
      <c r="A366" s="62"/>
      <c r="B366" s="62" t="str">
        <f>IFERROR(__xludf.DUMMYFUNCTION("""COMPUTED_VALUE"""),"高木")</f>
        <v>高木</v>
      </c>
      <c r="C366" s="62">
        <f>IFERROR(__xludf.DUMMYFUNCTION("""COMPUTED_VALUE"""),39.0)</f>
        <v>39</v>
      </c>
      <c r="D366" s="62">
        <f>IFERROR(__xludf.DUMMYFUNCTION("""COMPUTED_VALUE"""),6.0)</f>
        <v>6</v>
      </c>
      <c r="E366" s="62"/>
      <c r="F366" s="62">
        <f>IFERROR(__xludf.DUMMYFUNCTION("""COMPUTED_VALUE"""),4.0)</f>
        <v>4</v>
      </c>
      <c r="G366" s="504">
        <f>IFERROR(__xludf.DUMMYFUNCTION("""COMPUTED_VALUE"""),0.15384615384615385)</f>
        <v>0.1538461538</v>
      </c>
      <c r="H366" s="62">
        <f>IFERROR(__xludf.DUMMYFUNCTION("""COMPUTED_VALUE"""),4.0)</f>
        <v>4</v>
      </c>
      <c r="I366" s="62">
        <f>IFERROR(__xludf.DUMMYFUNCTION("""COMPUTED_VALUE"""),2.0)</f>
        <v>2</v>
      </c>
      <c r="J366" s="552">
        <f>IFERROR(__xludf.DUMMYFUNCTION("""COMPUTED_VALUE"""),80000.0)</f>
        <v>80000</v>
      </c>
      <c r="K366" s="62"/>
      <c r="L366" s="504">
        <f>IFERROR(__xludf.DUMMYFUNCTION("""COMPUTED_VALUE"""),0.10256410256410256)</f>
        <v>0.1025641026</v>
      </c>
      <c r="M366" s="504">
        <f>IFERROR(__xludf.DUMMYFUNCTION("""COMPUTED_VALUE"""),0.05128205128205128)</f>
        <v>0.05128205128</v>
      </c>
      <c r="N366" s="504">
        <f>IFERROR(__xludf.DUMMYFUNCTION("""COMPUTED_VALUE"""),0.5)</f>
        <v>0.5</v>
      </c>
      <c r="O366" s="62"/>
      <c r="P366" s="62"/>
      <c r="Q366" s="62"/>
      <c r="R366" s="62"/>
      <c r="S366" s="62"/>
      <c r="T366" s="62"/>
      <c r="U366" s="62"/>
      <c r="V366" s="62"/>
      <c r="W366" s="62"/>
      <c r="X366" s="62"/>
      <c r="Y366" s="62"/>
      <c r="Z366" s="62"/>
    </row>
    <row r="367">
      <c r="A367" s="62"/>
      <c r="B367" s="62"/>
      <c r="C367" s="62"/>
      <c r="D367" s="62"/>
      <c r="E367" s="62"/>
      <c r="F367" s="62"/>
      <c r="G367" s="504">
        <f>IFERROR(__xludf.DUMMYFUNCTION("""COMPUTED_VALUE"""),0.0)</f>
        <v>0</v>
      </c>
      <c r="H367" s="62"/>
      <c r="I367" s="62"/>
      <c r="J367" s="62"/>
      <c r="K367" s="62"/>
      <c r="L367" s="504">
        <f>IFERROR(__xludf.DUMMYFUNCTION("""COMPUTED_VALUE"""),0.0)</f>
        <v>0</v>
      </c>
      <c r="M367" s="504">
        <f>IFERROR(__xludf.DUMMYFUNCTION("""COMPUTED_VALUE"""),0.0)</f>
        <v>0</v>
      </c>
      <c r="N367" s="504">
        <f>IFERROR(__xludf.DUMMYFUNCTION("""COMPUTED_VALUE"""),0.0)</f>
        <v>0</v>
      </c>
      <c r="O367" s="62"/>
      <c r="P367" s="62"/>
      <c r="Q367" s="62"/>
      <c r="R367" s="62"/>
      <c r="S367" s="62"/>
      <c r="T367" s="62"/>
      <c r="U367" s="62"/>
      <c r="V367" s="62"/>
      <c r="W367" s="62"/>
      <c r="X367" s="62"/>
      <c r="Y367" s="62"/>
      <c r="Z367" s="62"/>
    </row>
    <row r="368">
      <c r="A368" s="62"/>
      <c r="B368" s="62" t="str">
        <f>IFERROR(__xludf.DUMMYFUNCTION("""COMPUTED_VALUE"""),"大谷")</f>
        <v>大谷</v>
      </c>
      <c r="C368" s="62"/>
      <c r="D368" s="62"/>
      <c r="E368" s="62"/>
      <c r="F368" s="62"/>
      <c r="G368" s="504">
        <f>IFERROR(__xludf.DUMMYFUNCTION("""COMPUTED_VALUE"""),0.0)</f>
        <v>0</v>
      </c>
      <c r="H368" s="62"/>
      <c r="I368" s="62"/>
      <c r="J368" s="62"/>
      <c r="K368" s="62"/>
      <c r="L368" s="504">
        <f>IFERROR(__xludf.DUMMYFUNCTION("""COMPUTED_VALUE"""),0.0)</f>
        <v>0</v>
      </c>
      <c r="M368" s="504">
        <f>IFERROR(__xludf.DUMMYFUNCTION("""COMPUTED_VALUE"""),0.0)</f>
        <v>0</v>
      </c>
      <c r="N368" s="504">
        <f>IFERROR(__xludf.DUMMYFUNCTION("""COMPUTED_VALUE"""),0.0)</f>
        <v>0</v>
      </c>
      <c r="O368" s="62"/>
      <c r="P368" s="62"/>
      <c r="Q368" s="62"/>
      <c r="R368" s="62"/>
      <c r="S368" s="62"/>
      <c r="T368" s="62"/>
      <c r="U368" s="62"/>
      <c r="V368" s="62"/>
      <c r="W368" s="62"/>
      <c r="X368" s="62"/>
      <c r="Y368" s="62"/>
      <c r="Z368" s="62"/>
    </row>
    <row r="369">
      <c r="A369" s="62"/>
      <c r="B369" s="62"/>
      <c r="C369" s="62"/>
      <c r="D369" s="62"/>
      <c r="E369" s="62"/>
      <c r="F369" s="62"/>
      <c r="G369" s="504">
        <f>IFERROR(__xludf.DUMMYFUNCTION("""COMPUTED_VALUE"""),0.0)</f>
        <v>0</v>
      </c>
      <c r="H369" s="62"/>
      <c r="I369" s="62"/>
      <c r="J369" s="62"/>
      <c r="K369" s="62"/>
      <c r="L369" s="504">
        <f>IFERROR(__xludf.DUMMYFUNCTION("""COMPUTED_VALUE"""),0.0)</f>
        <v>0</v>
      </c>
      <c r="M369" s="504">
        <f>IFERROR(__xludf.DUMMYFUNCTION("""COMPUTED_VALUE"""),0.0)</f>
        <v>0</v>
      </c>
      <c r="N369" s="504">
        <f>IFERROR(__xludf.DUMMYFUNCTION("""COMPUTED_VALUE"""),0.0)</f>
        <v>0</v>
      </c>
      <c r="O369" s="62"/>
      <c r="P369" s="62"/>
      <c r="Q369" s="62"/>
      <c r="R369" s="62"/>
      <c r="S369" s="62"/>
      <c r="T369" s="62"/>
      <c r="U369" s="62"/>
      <c r="V369" s="62"/>
      <c r="W369" s="62"/>
      <c r="X369" s="62"/>
      <c r="Y369" s="62"/>
      <c r="Z369" s="62"/>
    </row>
    <row r="370">
      <c r="A370" s="62"/>
      <c r="B370" s="62" t="str">
        <f>IFERROR(__xludf.DUMMYFUNCTION("""COMPUTED_VALUE"""),"森")</f>
        <v>森</v>
      </c>
      <c r="C370" s="62"/>
      <c r="D370" s="62"/>
      <c r="E370" s="62"/>
      <c r="F370" s="62"/>
      <c r="G370" s="504">
        <f>IFERROR(__xludf.DUMMYFUNCTION("""COMPUTED_VALUE"""),0.0)</f>
        <v>0</v>
      </c>
      <c r="H370" s="62"/>
      <c r="I370" s="62"/>
      <c r="J370" s="62"/>
      <c r="K370" s="62"/>
      <c r="L370" s="504">
        <f>IFERROR(__xludf.DUMMYFUNCTION("""COMPUTED_VALUE"""),0.0)</f>
        <v>0</v>
      </c>
      <c r="M370" s="504">
        <f>IFERROR(__xludf.DUMMYFUNCTION("""COMPUTED_VALUE"""),0.0)</f>
        <v>0</v>
      </c>
      <c r="N370" s="504">
        <f>IFERROR(__xludf.DUMMYFUNCTION("""COMPUTED_VALUE"""),0.0)</f>
        <v>0</v>
      </c>
      <c r="O370" s="62"/>
      <c r="P370" s="62"/>
      <c r="Q370" s="62"/>
      <c r="R370" s="62"/>
      <c r="S370" s="62"/>
      <c r="T370" s="62"/>
      <c r="U370" s="62"/>
      <c r="V370" s="62"/>
      <c r="W370" s="62"/>
      <c r="X370" s="62"/>
      <c r="Y370" s="62"/>
      <c r="Z370" s="62"/>
    </row>
    <row r="371">
      <c r="A371" s="62"/>
      <c r="B371" s="62"/>
      <c r="C371" s="62"/>
      <c r="D371" s="62"/>
      <c r="E371" s="62"/>
      <c r="F371" s="62"/>
      <c r="G371" s="504">
        <f>IFERROR(__xludf.DUMMYFUNCTION("""COMPUTED_VALUE"""),0.0)</f>
        <v>0</v>
      </c>
      <c r="H371" s="62"/>
      <c r="I371" s="62"/>
      <c r="J371" s="62"/>
      <c r="K371" s="62"/>
      <c r="L371" s="504">
        <f>IFERROR(__xludf.DUMMYFUNCTION("""COMPUTED_VALUE"""),0.0)</f>
        <v>0</v>
      </c>
      <c r="M371" s="504">
        <f>IFERROR(__xludf.DUMMYFUNCTION("""COMPUTED_VALUE"""),0.0)</f>
        <v>0</v>
      </c>
      <c r="N371" s="504">
        <f>IFERROR(__xludf.DUMMYFUNCTION("""COMPUTED_VALUE"""),0.0)</f>
        <v>0</v>
      </c>
      <c r="O371" s="62"/>
      <c r="P371" s="62"/>
      <c r="Q371" s="62"/>
      <c r="R371" s="62"/>
      <c r="S371" s="62"/>
      <c r="T371" s="62"/>
      <c r="U371" s="62"/>
      <c r="V371" s="62"/>
      <c r="W371" s="62"/>
      <c r="X371" s="62"/>
      <c r="Y371" s="62"/>
      <c r="Z371" s="62"/>
    </row>
    <row r="372">
      <c r="A372" s="62"/>
      <c r="B372" s="62" t="str">
        <f>IFERROR(__xludf.DUMMYFUNCTION("""COMPUTED_VALUE"""),"金子")</f>
        <v>金子</v>
      </c>
      <c r="C372" s="62"/>
      <c r="D372" s="62"/>
      <c r="E372" s="62"/>
      <c r="F372" s="62"/>
      <c r="G372" s="504">
        <f>IFERROR(__xludf.DUMMYFUNCTION("""COMPUTED_VALUE"""),0.0)</f>
        <v>0</v>
      </c>
      <c r="H372" s="62"/>
      <c r="I372" s="62"/>
      <c r="J372" s="62"/>
      <c r="K372" s="62"/>
      <c r="L372" s="504">
        <f>IFERROR(__xludf.DUMMYFUNCTION("""COMPUTED_VALUE"""),0.0)</f>
        <v>0</v>
      </c>
      <c r="M372" s="504">
        <f>IFERROR(__xludf.DUMMYFUNCTION("""COMPUTED_VALUE"""),0.0)</f>
        <v>0</v>
      </c>
      <c r="N372" s="504">
        <f>IFERROR(__xludf.DUMMYFUNCTION("""COMPUTED_VALUE"""),0.0)</f>
        <v>0</v>
      </c>
      <c r="O372" s="62"/>
      <c r="P372" s="62"/>
      <c r="Q372" s="62"/>
      <c r="R372" s="62"/>
      <c r="S372" s="62"/>
      <c r="T372" s="62"/>
      <c r="U372" s="62"/>
      <c r="V372" s="62"/>
      <c r="W372" s="62"/>
      <c r="X372" s="62"/>
      <c r="Y372" s="62"/>
      <c r="Z372" s="62"/>
    </row>
    <row r="373">
      <c r="A373" s="62"/>
      <c r="B373" s="62"/>
      <c r="C373" s="62"/>
      <c r="D373" s="62"/>
      <c r="E373" s="62"/>
      <c r="F373" s="62"/>
      <c r="G373" s="504">
        <f>IFERROR(__xludf.DUMMYFUNCTION("""COMPUTED_VALUE"""),0.0)</f>
        <v>0</v>
      </c>
      <c r="H373" s="62"/>
      <c r="I373" s="62"/>
      <c r="J373" s="62"/>
      <c r="K373" s="62"/>
      <c r="L373" s="504">
        <f>IFERROR(__xludf.DUMMYFUNCTION("""COMPUTED_VALUE"""),0.0)</f>
        <v>0</v>
      </c>
      <c r="M373" s="504">
        <f>IFERROR(__xludf.DUMMYFUNCTION("""COMPUTED_VALUE"""),0.0)</f>
        <v>0</v>
      </c>
      <c r="N373" s="504">
        <f>IFERROR(__xludf.DUMMYFUNCTION("""COMPUTED_VALUE"""),0.0)</f>
        <v>0</v>
      </c>
      <c r="O373" s="62"/>
      <c r="P373" s="62"/>
      <c r="Q373" s="62"/>
      <c r="R373" s="62"/>
      <c r="S373" s="62"/>
      <c r="T373" s="62"/>
      <c r="U373" s="62"/>
      <c r="V373" s="62"/>
      <c r="W373" s="62"/>
      <c r="X373" s="62"/>
      <c r="Y373" s="62"/>
      <c r="Z373" s="62"/>
    </row>
    <row r="374">
      <c r="A374" s="62"/>
      <c r="B374" s="552" t="str">
        <f>IFERROR(__xludf.DUMMYFUNCTION("""COMPUTED_VALUE"""),"SMS")</f>
        <v>SMS</v>
      </c>
      <c r="C374" s="62"/>
      <c r="D374" s="62"/>
      <c r="E374" s="62"/>
      <c r="F374" s="62"/>
      <c r="G374" s="504">
        <f>IFERROR(__xludf.DUMMYFUNCTION("""COMPUTED_VALUE"""),0.0)</f>
        <v>0</v>
      </c>
      <c r="H374" s="62"/>
      <c r="I374" s="62"/>
      <c r="J374" s="62"/>
      <c r="K374" s="62"/>
      <c r="L374" s="504">
        <f>IFERROR(__xludf.DUMMYFUNCTION("""COMPUTED_VALUE"""),0.0)</f>
        <v>0</v>
      </c>
      <c r="M374" s="504">
        <f>IFERROR(__xludf.DUMMYFUNCTION("""COMPUTED_VALUE"""),0.0)</f>
        <v>0</v>
      </c>
      <c r="N374" s="504">
        <f>IFERROR(__xludf.DUMMYFUNCTION("""COMPUTED_VALUE"""),0.0)</f>
        <v>0</v>
      </c>
      <c r="O374" s="62"/>
      <c r="P374" s="62"/>
      <c r="Q374" s="62"/>
      <c r="R374" s="62"/>
      <c r="S374" s="62"/>
      <c r="T374" s="62"/>
      <c r="U374" s="62"/>
      <c r="V374" s="62"/>
      <c r="W374" s="62"/>
      <c r="X374" s="62"/>
      <c r="Y374" s="62"/>
      <c r="Z374" s="62"/>
    </row>
    <row r="375">
      <c r="A375" s="62"/>
      <c r="B375" s="62" t="str">
        <f>IFERROR(__xludf.DUMMYFUNCTION("""COMPUTED_VALUE"""),"紹介")</f>
        <v>紹介</v>
      </c>
      <c r="C375" s="62"/>
      <c r="D375" s="62"/>
      <c r="E375" s="62"/>
      <c r="F375" s="62"/>
      <c r="G375" s="504">
        <f>IFERROR(__xludf.DUMMYFUNCTION("""COMPUTED_VALUE"""),0.0)</f>
        <v>0</v>
      </c>
      <c r="H375" s="62"/>
      <c r="I375" s="62"/>
      <c r="J375" s="62"/>
      <c r="K375" s="62"/>
      <c r="L375" s="504">
        <f>IFERROR(__xludf.DUMMYFUNCTION("""COMPUTED_VALUE"""),0.0)</f>
        <v>0</v>
      </c>
      <c r="M375" s="504">
        <f>IFERROR(__xludf.DUMMYFUNCTION("""COMPUTED_VALUE"""),0.0)</f>
        <v>0</v>
      </c>
      <c r="N375" s="504">
        <f>IFERROR(__xludf.DUMMYFUNCTION("""COMPUTED_VALUE"""),0.0)</f>
        <v>0</v>
      </c>
      <c r="O375" s="62"/>
      <c r="P375" s="62"/>
      <c r="Q375" s="62"/>
      <c r="R375" s="62"/>
      <c r="S375" s="62"/>
      <c r="T375" s="62"/>
      <c r="U375" s="62"/>
      <c r="V375" s="62"/>
      <c r="W375" s="62"/>
      <c r="X375" s="62"/>
      <c r="Y375" s="62"/>
      <c r="Z375" s="62"/>
    </row>
    <row r="376">
      <c r="A376" s="62"/>
      <c r="B376" s="62" t="str">
        <f>IFERROR(__xludf.DUMMYFUNCTION("""COMPUTED_VALUE"""),"仁子")</f>
        <v>仁子</v>
      </c>
      <c r="C376" s="62"/>
      <c r="D376" s="62"/>
      <c r="E376" s="62"/>
      <c r="F376" s="62"/>
      <c r="G376" s="504">
        <f>IFERROR(__xludf.DUMMYFUNCTION("""COMPUTED_VALUE"""),0.0)</f>
        <v>0</v>
      </c>
      <c r="H376" s="62"/>
      <c r="I376" s="62">
        <f>IFERROR(__xludf.DUMMYFUNCTION("""COMPUTED_VALUE"""),1.0)</f>
        <v>1</v>
      </c>
      <c r="J376" s="552">
        <f>IFERROR(__xludf.DUMMYFUNCTION("""COMPUTED_VALUE"""),100000.0)</f>
        <v>100000</v>
      </c>
      <c r="K376" s="62"/>
      <c r="L376" s="504">
        <f>IFERROR(__xludf.DUMMYFUNCTION("""COMPUTED_VALUE"""),0.0)</f>
        <v>0</v>
      </c>
      <c r="M376" s="504">
        <f>IFERROR(__xludf.DUMMYFUNCTION("""COMPUTED_VALUE"""),0.0)</f>
        <v>0</v>
      </c>
      <c r="N376" s="504">
        <f>IFERROR(__xludf.DUMMYFUNCTION("""COMPUTED_VALUE"""),0.0)</f>
        <v>0</v>
      </c>
      <c r="O376" s="62"/>
      <c r="P376" s="62"/>
      <c r="Q376" s="62"/>
      <c r="R376" s="62"/>
      <c r="S376" s="62"/>
      <c r="T376" s="62"/>
      <c r="U376" s="62"/>
      <c r="V376" s="62"/>
      <c r="W376" s="62"/>
      <c r="X376" s="62"/>
      <c r="Y376" s="62"/>
      <c r="Z376" s="62"/>
    </row>
    <row r="377">
      <c r="A377" s="62"/>
      <c r="B377" s="62" t="str">
        <f>IFERROR(__xludf.DUMMYFUNCTION("""COMPUTED_VALUE"""),"鈴木")</f>
        <v>鈴木</v>
      </c>
      <c r="C377" s="62"/>
      <c r="D377" s="62"/>
      <c r="E377" s="62"/>
      <c r="F377" s="62"/>
      <c r="G377" s="504">
        <f>IFERROR(__xludf.DUMMYFUNCTION("""COMPUTED_VALUE"""),0.0)</f>
        <v>0</v>
      </c>
      <c r="H377" s="62"/>
      <c r="I377" s="62">
        <f>IFERROR(__xludf.DUMMYFUNCTION("""COMPUTED_VALUE"""),2.0)</f>
        <v>2</v>
      </c>
      <c r="J377" s="552">
        <f>IFERROR(__xludf.DUMMYFUNCTION("""COMPUTED_VALUE"""),100000.0)</f>
        <v>100000</v>
      </c>
      <c r="K377" s="62"/>
      <c r="L377" s="504">
        <f>IFERROR(__xludf.DUMMYFUNCTION("""COMPUTED_VALUE"""),0.0)</f>
        <v>0</v>
      </c>
      <c r="M377" s="504">
        <f>IFERROR(__xludf.DUMMYFUNCTION("""COMPUTED_VALUE"""),0.0)</f>
        <v>0</v>
      </c>
      <c r="N377" s="504">
        <f>IFERROR(__xludf.DUMMYFUNCTION("""COMPUTED_VALUE"""),0.0)</f>
        <v>0</v>
      </c>
      <c r="O377" s="62" t="str">
        <f>IFERROR(__xludf.DUMMYFUNCTION("""COMPUTED_VALUE"""),"リストE")</f>
        <v>リストE</v>
      </c>
      <c r="P377" s="62"/>
      <c r="Q377" s="62"/>
      <c r="R377" s="62"/>
      <c r="S377" s="62"/>
      <c r="T377" s="62"/>
      <c r="U377" s="62"/>
      <c r="V377" s="62"/>
      <c r="W377" s="62"/>
      <c r="X377" s="62"/>
      <c r="Y377" s="62"/>
      <c r="Z377" s="62"/>
    </row>
    <row r="378">
      <c r="A378" s="62"/>
      <c r="B378" s="62" t="str">
        <f>IFERROR(__xludf.DUMMYFUNCTION("""COMPUTED_VALUE"""),"仲間")</f>
        <v>仲間</v>
      </c>
      <c r="C378" s="62">
        <f>IFERROR(__xludf.DUMMYFUNCTION("""COMPUTED_VALUE"""),27.0)</f>
        <v>27</v>
      </c>
      <c r="D378" s="62">
        <f>IFERROR(__xludf.DUMMYFUNCTION("""COMPUTED_VALUE"""),4.0)</f>
        <v>4</v>
      </c>
      <c r="E378" s="62"/>
      <c r="F378" s="62">
        <f>IFERROR(__xludf.DUMMYFUNCTION("""COMPUTED_VALUE"""),3.0)</f>
        <v>3</v>
      </c>
      <c r="G378" s="504">
        <f>IFERROR(__xludf.DUMMYFUNCTION("""COMPUTED_VALUE"""),0.14814814814814814)</f>
        <v>0.1481481481</v>
      </c>
      <c r="H378" s="62">
        <f>IFERROR(__xludf.DUMMYFUNCTION("""COMPUTED_VALUE"""),1.0)</f>
        <v>1</v>
      </c>
      <c r="I378" s="62">
        <f>IFERROR(__xludf.DUMMYFUNCTION("""COMPUTED_VALUE"""),1.0)</f>
        <v>1</v>
      </c>
      <c r="J378" s="552">
        <f>IFERROR(__xludf.DUMMYFUNCTION("""COMPUTED_VALUE"""),50000.0)</f>
        <v>50000</v>
      </c>
      <c r="K378" s="62"/>
      <c r="L378" s="504">
        <f>IFERROR(__xludf.DUMMYFUNCTION("""COMPUTED_VALUE"""),0.037037037037037035)</f>
        <v>0.03703703704</v>
      </c>
      <c r="M378" s="504">
        <f>IFERROR(__xludf.DUMMYFUNCTION("""COMPUTED_VALUE"""),0.037037037037037035)</f>
        <v>0.03703703704</v>
      </c>
      <c r="N378" s="504">
        <f>IFERROR(__xludf.DUMMYFUNCTION("""COMPUTED_VALUE"""),1.0)</f>
        <v>1</v>
      </c>
      <c r="O378" s="62" t="str">
        <f>IFERROR(__xludf.DUMMYFUNCTION("""COMPUTED_VALUE"""),"リストE")</f>
        <v>リストE</v>
      </c>
      <c r="P378" s="553" t="str">
        <f>IFERROR(__xludf.DUMMYFUNCTION("""COMPUTED_VALUE"""),"平日")</f>
        <v>平日</v>
      </c>
      <c r="Q378" s="62"/>
      <c r="R378" s="62"/>
      <c r="S378" s="62"/>
      <c r="T378" s="62"/>
      <c r="U378" s="62"/>
      <c r="V378" s="62"/>
      <c r="W378" s="62"/>
      <c r="X378" s="62"/>
      <c r="Y378" s="62"/>
      <c r="Z378" s="62"/>
    </row>
    <row r="379">
      <c r="A379" s="62"/>
      <c r="B379" s="62"/>
      <c r="C379" s="62"/>
      <c r="D379" s="62"/>
      <c r="E379" s="62"/>
      <c r="F379" s="62"/>
      <c r="G379" s="504">
        <f>IFERROR(__xludf.DUMMYFUNCTION("""COMPUTED_VALUE"""),0.0)</f>
        <v>0</v>
      </c>
      <c r="H379" s="62"/>
      <c r="I379" s="62"/>
      <c r="J379" s="62"/>
      <c r="K379" s="62"/>
      <c r="L379" s="504">
        <f>IFERROR(__xludf.DUMMYFUNCTION("""COMPUTED_VALUE"""),0.0)</f>
        <v>0</v>
      </c>
      <c r="M379" s="504">
        <f>IFERROR(__xludf.DUMMYFUNCTION("""COMPUTED_VALUE"""),0.0)</f>
        <v>0</v>
      </c>
      <c r="N379" s="504">
        <f>IFERROR(__xludf.DUMMYFUNCTION("""COMPUTED_VALUE"""),0.0)</f>
        <v>0</v>
      </c>
      <c r="O379" s="62"/>
      <c r="P379" s="62"/>
      <c r="Q379" s="62"/>
      <c r="R379" s="62"/>
      <c r="S379" s="62"/>
      <c r="T379" s="62"/>
      <c r="U379" s="62"/>
      <c r="V379" s="62"/>
      <c r="W379" s="62"/>
      <c r="X379" s="62"/>
      <c r="Y379" s="62"/>
      <c r="Z379" s="62"/>
    </row>
    <row r="380">
      <c r="A380" s="62"/>
      <c r="B380" s="62" t="str">
        <f>IFERROR(__xludf.DUMMYFUNCTION("""COMPUTED_VALUE"""),"合計")</f>
        <v>合計</v>
      </c>
      <c r="C380" s="62">
        <f>IFERROR(__xludf.DUMMYFUNCTION("""COMPUTED_VALUE"""),129.0)</f>
        <v>129</v>
      </c>
      <c r="D380" s="62">
        <f>IFERROR(__xludf.DUMMYFUNCTION("""COMPUTED_VALUE"""),15.0)</f>
        <v>15</v>
      </c>
      <c r="E380" s="62">
        <f>IFERROR(__xludf.DUMMYFUNCTION("""COMPUTED_VALUE"""),1.0)</f>
        <v>1</v>
      </c>
      <c r="F380" s="62">
        <f>IFERROR(__xludf.DUMMYFUNCTION("""COMPUTED_VALUE"""),12.0)</f>
        <v>12</v>
      </c>
      <c r="G380" s="504">
        <f>IFERROR(__xludf.DUMMYFUNCTION("""COMPUTED_VALUE"""),0.11627906976744186)</f>
        <v>0.1162790698</v>
      </c>
      <c r="H380" s="62">
        <f>IFERROR(__xludf.DUMMYFUNCTION("""COMPUTED_VALUE"""),6.0)</f>
        <v>6</v>
      </c>
      <c r="I380" s="62">
        <f>IFERROR(__xludf.DUMMYFUNCTION("""COMPUTED_VALUE"""),7.0)</f>
        <v>7</v>
      </c>
      <c r="J380" s="552">
        <f>IFERROR(__xludf.DUMMYFUNCTION("""COMPUTED_VALUE"""),430000.0)</f>
        <v>430000</v>
      </c>
      <c r="K380" s="62">
        <f>IFERROR(__xludf.DUMMYFUNCTION("""COMPUTED_VALUE"""),0.0)</f>
        <v>0</v>
      </c>
      <c r="L380" s="504">
        <f>IFERROR(__xludf.DUMMYFUNCTION("""COMPUTED_VALUE"""),0.046511627906976744)</f>
        <v>0.04651162791</v>
      </c>
      <c r="M380" s="504">
        <f>IFERROR(__xludf.DUMMYFUNCTION("""COMPUTED_VALUE"""),0.05426356589147287)</f>
        <v>0.05426356589</v>
      </c>
      <c r="N380" s="504">
        <f>IFERROR(__xludf.DUMMYFUNCTION("""COMPUTED_VALUE"""),1.1666666666666667)</f>
        <v>1.166666667</v>
      </c>
      <c r="O380" s="62"/>
      <c r="P380" s="62"/>
      <c r="Q380" s="62"/>
      <c r="R380" s="62"/>
      <c r="S380" s="62"/>
      <c r="T380" s="62"/>
      <c r="U380" s="62"/>
      <c r="V380" s="62"/>
      <c r="W380" s="62"/>
      <c r="X380" s="62"/>
      <c r="Y380" s="62"/>
      <c r="Z380" s="62"/>
    </row>
    <row r="381">
      <c r="A381" s="62" t="str">
        <f>IFERROR(__xludf.DUMMYFUNCTION("""COMPUTED_VALUE"""),"日付")</f>
        <v>日付</v>
      </c>
      <c r="B381" s="62" t="str">
        <f>IFERROR(__xludf.DUMMYFUNCTION("""COMPUTED_VALUE"""),"名前")</f>
        <v>名前</v>
      </c>
      <c r="C381" s="62" t="str">
        <f>IFERROR(__xludf.DUMMYFUNCTION("""COMPUTED_VALUE"""),"打電件数")</f>
        <v>打電件数</v>
      </c>
      <c r="D381" s="62" t="str">
        <f>IFERROR(__xludf.DUMMYFUNCTION("""COMPUTED_VALUE"""),"着電件数")</f>
        <v>着電件数</v>
      </c>
      <c r="E381" s="62" t="str">
        <f>IFERROR(__xludf.DUMMYFUNCTION("""COMPUTED_VALUE"""),"折り返し件数")</f>
        <v>折り返し件数</v>
      </c>
      <c r="F381" s="62" t="str">
        <f>IFERROR(__xludf.DUMMYFUNCTION("""COMPUTED_VALUE"""),"拒否")</f>
        <v>拒否</v>
      </c>
      <c r="G381" s="62" t="str">
        <f>IFERROR(__xludf.DUMMYFUNCTION("""COMPUTED_VALUE"""),"着電率")</f>
        <v>着電率</v>
      </c>
      <c r="H381" s="62" t="str">
        <f>IFERROR(__xludf.DUMMYFUNCTION("""COMPUTED_VALUE"""),"LINE登録")</f>
        <v>LINE登録</v>
      </c>
      <c r="I381" s="62" t="str">
        <f>IFERROR(__xludf.DUMMYFUNCTION("""COMPUTED_VALUE"""),"アカウント作成")</f>
        <v>アカウント作成</v>
      </c>
      <c r="J381" s="552" t="str">
        <f>IFERROR(__xludf.DUMMYFUNCTION("""COMPUTED_VALUE"""),"新規信用枠額")</f>
        <v>新規信用枠額</v>
      </c>
      <c r="K381" s="62" t="str">
        <f>IFERROR(__xludf.DUMMYFUNCTION("""COMPUTED_VALUE"""),"リスト死回線数")</f>
        <v>リスト死回線数</v>
      </c>
      <c r="L381" s="62" t="str">
        <f>IFERROR(__xludf.DUMMYFUNCTION("""COMPUTED_VALUE"""),"LINE率(打電から)")</f>
        <v>LINE率(打電から)</v>
      </c>
      <c r="M381" s="62" t="str">
        <f>IFERROR(__xludf.DUMMYFUNCTION("""COMPUTED_VALUE"""),"アカウント作成率(打電から)")</f>
        <v>アカウント作成率(打電から)</v>
      </c>
      <c r="N381" s="62" t="str">
        <f>IFERROR(__xludf.DUMMYFUNCTION("""COMPUTED_VALUE"""),"アカウント作成率(LINEから)")</f>
        <v>アカウント作成率(LINEから)</v>
      </c>
      <c r="O381" s="62" t="str">
        <f>IFERROR(__xludf.DUMMYFUNCTION("""COMPUTED_VALUE"""),"リスト名")</f>
        <v>リスト名</v>
      </c>
      <c r="P381" s="553" t="str">
        <f>IFERROR(__xludf.DUMMYFUNCTION("""COMPUTED_VALUE"""),"日本基準")</f>
        <v>日本基準</v>
      </c>
      <c r="Q381" s="62"/>
      <c r="R381" s="62"/>
      <c r="S381" s="62"/>
      <c r="T381" s="62"/>
      <c r="U381" s="62"/>
      <c r="V381" s="62"/>
      <c r="W381" s="62"/>
      <c r="X381" s="62"/>
      <c r="Y381" s="62"/>
      <c r="Z381" s="62"/>
    </row>
    <row r="382">
      <c r="A382" s="556">
        <f>IFERROR(__xludf.DUMMYFUNCTION("""COMPUTED_VALUE"""),45919.0)</f>
        <v>45919</v>
      </c>
      <c r="B382" s="62" t="str">
        <f>IFERROR(__xludf.DUMMYFUNCTION("""COMPUTED_VALUE"""),"あり")</f>
        <v>あり</v>
      </c>
      <c r="C382" s="62"/>
      <c r="D382" s="62"/>
      <c r="E382" s="62"/>
      <c r="F382" s="62"/>
      <c r="G382" s="504">
        <f>IFERROR(__xludf.DUMMYFUNCTION("""COMPUTED_VALUE"""),0.0)</f>
        <v>0</v>
      </c>
      <c r="H382" s="62">
        <f>IFERROR(__xludf.DUMMYFUNCTION("""COMPUTED_VALUE"""),6.0)</f>
        <v>6</v>
      </c>
      <c r="I382" s="62">
        <f>IFERROR(__xludf.DUMMYFUNCTION("""COMPUTED_VALUE"""),4.0)</f>
        <v>4</v>
      </c>
      <c r="J382" s="552">
        <f>IFERROR(__xludf.DUMMYFUNCTION("""COMPUTED_VALUE"""),310000.0)</f>
        <v>310000</v>
      </c>
      <c r="K382" s="62"/>
      <c r="L382" s="504">
        <f>IFERROR(__xludf.DUMMYFUNCTION("""COMPUTED_VALUE"""),0.0)</f>
        <v>0</v>
      </c>
      <c r="M382" s="504">
        <f>IFERROR(__xludf.DUMMYFUNCTION("""COMPUTED_VALUE"""),0.0)</f>
        <v>0</v>
      </c>
      <c r="N382" s="504">
        <f>IFERROR(__xludf.DUMMYFUNCTION("""COMPUTED_VALUE"""),0.6666666666666666)</f>
        <v>0.6666666667</v>
      </c>
      <c r="O382" s="62"/>
      <c r="P382" s="62"/>
      <c r="Q382" s="62"/>
      <c r="R382" s="62"/>
      <c r="S382" s="62"/>
      <c r="T382" s="62"/>
      <c r="U382" s="62"/>
      <c r="V382" s="62"/>
      <c r="W382" s="62"/>
      <c r="X382" s="62"/>
      <c r="Y382" s="62"/>
      <c r="Z382" s="62"/>
    </row>
    <row r="383">
      <c r="A383" s="62"/>
      <c r="B383" s="62" t="str">
        <f>IFERROR(__xludf.DUMMYFUNCTION("""COMPUTED_VALUE"""),"しょうま")</f>
        <v>しょうま</v>
      </c>
      <c r="C383" s="62"/>
      <c r="D383" s="62"/>
      <c r="E383" s="62"/>
      <c r="F383" s="62"/>
      <c r="G383" s="504">
        <f>IFERROR(__xludf.DUMMYFUNCTION("""COMPUTED_VALUE"""),0.0)</f>
        <v>0</v>
      </c>
      <c r="H383" s="62"/>
      <c r="I383" s="62"/>
      <c r="J383" s="62"/>
      <c r="K383" s="62"/>
      <c r="L383" s="504">
        <f>IFERROR(__xludf.DUMMYFUNCTION("""COMPUTED_VALUE"""),0.0)</f>
        <v>0</v>
      </c>
      <c r="M383" s="504">
        <f>IFERROR(__xludf.DUMMYFUNCTION("""COMPUTED_VALUE"""),0.0)</f>
        <v>0</v>
      </c>
      <c r="N383" s="504">
        <f>IFERROR(__xludf.DUMMYFUNCTION("""COMPUTED_VALUE"""),0.0)</f>
        <v>0</v>
      </c>
      <c r="O383" s="62"/>
      <c r="P383" s="62"/>
      <c r="Q383" s="62"/>
      <c r="R383" s="62"/>
      <c r="S383" s="62"/>
      <c r="T383" s="62"/>
      <c r="U383" s="62"/>
      <c r="V383" s="62"/>
      <c r="W383" s="62"/>
      <c r="X383" s="62"/>
      <c r="Y383" s="62"/>
      <c r="Z383" s="62"/>
    </row>
    <row r="384">
      <c r="A384" s="62"/>
      <c r="B384" s="62"/>
      <c r="C384" s="62"/>
      <c r="D384" s="62"/>
      <c r="E384" s="62"/>
      <c r="F384" s="62"/>
      <c r="G384" s="504">
        <f>IFERROR(__xludf.DUMMYFUNCTION("""COMPUTED_VALUE"""),0.0)</f>
        <v>0</v>
      </c>
      <c r="H384" s="62"/>
      <c r="I384" s="62"/>
      <c r="J384" s="62"/>
      <c r="K384" s="62"/>
      <c r="L384" s="504">
        <f>IFERROR(__xludf.DUMMYFUNCTION("""COMPUTED_VALUE"""),0.0)</f>
        <v>0</v>
      </c>
      <c r="M384" s="504">
        <f>IFERROR(__xludf.DUMMYFUNCTION("""COMPUTED_VALUE"""),0.0)</f>
        <v>0</v>
      </c>
      <c r="N384" s="504">
        <f>IFERROR(__xludf.DUMMYFUNCTION("""COMPUTED_VALUE"""),0.0)</f>
        <v>0</v>
      </c>
      <c r="O384" s="62"/>
      <c r="P384" s="62"/>
      <c r="Q384" s="62"/>
      <c r="R384" s="62"/>
      <c r="S384" s="62"/>
      <c r="T384" s="62"/>
      <c r="U384" s="62"/>
      <c r="V384" s="62"/>
      <c r="W384" s="62"/>
      <c r="X384" s="62"/>
      <c r="Y384" s="62"/>
      <c r="Z384" s="62"/>
    </row>
    <row r="385">
      <c r="A385" s="62"/>
      <c r="B385" s="62" t="str">
        <f>IFERROR(__xludf.DUMMYFUNCTION("""COMPUTED_VALUE"""),"ジョーナ")</f>
        <v>ジョーナ</v>
      </c>
      <c r="C385" s="62"/>
      <c r="D385" s="62"/>
      <c r="E385" s="62"/>
      <c r="F385" s="62"/>
      <c r="G385" s="504">
        <f>IFERROR(__xludf.DUMMYFUNCTION("""COMPUTED_VALUE"""),0.0)</f>
        <v>0</v>
      </c>
      <c r="H385" s="62"/>
      <c r="I385" s="62"/>
      <c r="J385" s="62"/>
      <c r="K385" s="62"/>
      <c r="L385" s="504">
        <f>IFERROR(__xludf.DUMMYFUNCTION("""COMPUTED_VALUE"""),0.0)</f>
        <v>0</v>
      </c>
      <c r="M385" s="504">
        <f>IFERROR(__xludf.DUMMYFUNCTION("""COMPUTED_VALUE"""),0.0)</f>
        <v>0</v>
      </c>
      <c r="N385" s="504">
        <f>IFERROR(__xludf.DUMMYFUNCTION("""COMPUTED_VALUE"""),0.0)</f>
        <v>0</v>
      </c>
      <c r="O385" s="62"/>
      <c r="P385" s="62"/>
      <c r="Q385" s="62"/>
      <c r="R385" s="62"/>
      <c r="S385" s="62"/>
      <c r="T385" s="62"/>
      <c r="U385" s="62"/>
      <c r="V385" s="62"/>
      <c r="W385" s="62"/>
      <c r="X385" s="62"/>
      <c r="Y385" s="62"/>
      <c r="Z385" s="62"/>
    </row>
    <row r="386">
      <c r="A386" s="62"/>
      <c r="B386" s="62" t="str">
        <f>IFERROR(__xludf.DUMMYFUNCTION("""COMPUTED_VALUE"""),"武田")</f>
        <v>武田</v>
      </c>
      <c r="C386" s="62"/>
      <c r="D386" s="62"/>
      <c r="E386" s="62"/>
      <c r="F386" s="62"/>
      <c r="G386" s="504">
        <f>IFERROR(__xludf.DUMMYFUNCTION("""COMPUTED_VALUE"""),0.0)</f>
        <v>0</v>
      </c>
      <c r="H386" s="62"/>
      <c r="I386" s="62"/>
      <c r="J386" s="62"/>
      <c r="K386" s="62"/>
      <c r="L386" s="504">
        <f>IFERROR(__xludf.DUMMYFUNCTION("""COMPUTED_VALUE"""),0.0)</f>
        <v>0</v>
      </c>
      <c r="M386" s="504">
        <f>IFERROR(__xludf.DUMMYFUNCTION("""COMPUTED_VALUE"""),0.0)</f>
        <v>0</v>
      </c>
      <c r="N386" s="504">
        <f>IFERROR(__xludf.DUMMYFUNCTION("""COMPUTED_VALUE"""),0.0)</f>
        <v>0</v>
      </c>
      <c r="O386" s="62"/>
      <c r="P386" s="62"/>
      <c r="Q386" s="62"/>
      <c r="R386" s="62"/>
      <c r="S386" s="62"/>
      <c r="T386" s="62"/>
      <c r="U386" s="62"/>
      <c r="V386" s="62"/>
      <c r="W386" s="62"/>
      <c r="X386" s="62"/>
      <c r="Y386" s="62"/>
      <c r="Z386" s="62"/>
    </row>
    <row r="387">
      <c r="A387" s="62"/>
      <c r="B387" s="62" t="str">
        <f>IFERROR(__xludf.DUMMYFUNCTION("""COMPUTED_VALUE"""),"高木")</f>
        <v>高木</v>
      </c>
      <c r="C387" s="62">
        <f>IFERROR(__xludf.DUMMYFUNCTION("""COMPUTED_VALUE"""),238.0)</f>
        <v>238</v>
      </c>
      <c r="D387" s="62">
        <f>IFERROR(__xludf.DUMMYFUNCTION("""COMPUTED_VALUE"""),29.0)</f>
        <v>29</v>
      </c>
      <c r="E387" s="62">
        <f>IFERROR(__xludf.DUMMYFUNCTION("""COMPUTED_VALUE"""),2.0)</f>
        <v>2</v>
      </c>
      <c r="F387" s="62">
        <f>IFERROR(__xludf.DUMMYFUNCTION("""COMPUTED_VALUE"""),17.0)</f>
        <v>17</v>
      </c>
      <c r="G387" s="504">
        <f>IFERROR(__xludf.DUMMYFUNCTION("""COMPUTED_VALUE"""),0.12184873949579832)</f>
        <v>0.1218487395</v>
      </c>
      <c r="H387" s="62">
        <f>IFERROR(__xludf.DUMMYFUNCTION("""COMPUTED_VALUE"""),1.0)</f>
        <v>1</v>
      </c>
      <c r="I387" s="62">
        <f>IFERROR(__xludf.DUMMYFUNCTION("""COMPUTED_VALUE"""),1.0)</f>
        <v>1</v>
      </c>
      <c r="J387" s="552">
        <f>IFERROR(__xludf.DUMMYFUNCTION("""COMPUTED_VALUE"""),30000.0)</f>
        <v>30000</v>
      </c>
      <c r="K387" s="62"/>
      <c r="L387" s="504">
        <f>IFERROR(__xludf.DUMMYFUNCTION("""COMPUTED_VALUE"""),0.004201680672268907)</f>
        <v>0.004201680672</v>
      </c>
      <c r="M387" s="504">
        <f>IFERROR(__xludf.DUMMYFUNCTION("""COMPUTED_VALUE"""),0.004201680672268907)</f>
        <v>0.004201680672</v>
      </c>
      <c r="N387" s="504">
        <f>IFERROR(__xludf.DUMMYFUNCTION("""COMPUTED_VALUE"""),1.0)</f>
        <v>1</v>
      </c>
      <c r="O387" s="62"/>
      <c r="P387" s="62"/>
      <c r="Q387" s="62"/>
      <c r="R387" s="62"/>
      <c r="S387" s="62"/>
      <c r="T387" s="62"/>
      <c r="U387" s="62"/>
      <c r="V387" s="62"/>
      <c r="W387" s="62"/>
      <c r="X387" s="62"/>
      <c r="Y387" s="62"/>
      <c r="Z387" s="62"/>
    </row>
    <row r="388">
      <c r="A388" s="62"/>
      <c r="B388" s="62"/>
      <c r="C388" s="62"/>
      <c r="D388" s="62"/>
      <c r="E388" s="62"/>
      <c r="F388" s="62"/>
      <c r="G388" s="504">
        <f>IFERROR(__xludf.DUMMYFUNCTION("""COMPUTED_VALUE"""),0.0)</f>
        <v>0</v>
      </c>
      <c r="H388" s="62"/>
      <c r="I388" s="62"/>
      <c r="J388" s="62"/>
      <c r="K388" s="62"/>
      <c r="L388" s="504">
        <f>IFERROR(__xludf.DUMMYFUNCTION("""COMPUTED_VALUE"""),0.0)</f>
        <v>0</v>
      </c>
      <c r="M388" s="504">
        <f>IFERROR(__xludf.DUMMYFUNCTION("""COMPUTED_VALUE"""),0.0)</f>
        <v>0</v>
      </c>
      <c r="N388" s="504">
        <f>IFERROR(__xludf.DUMMYFUNCTION("""COMPUTED_VALUE"""),0.0)</f>
        <v>0</v>
      </c>
      <c r="O388" s="62"/>
      <c r="P388" s="62"/>
      <c r="Q388" s="62"/>
      <c r="R388" s="62"/>
      <c r="S388" s="62"/>
      <c r="T388" s="62"/>
      <c r="U388" s="62"/>
      <c r="V388" s="62"/>
      <c r="W388" s="62"/>
      <c r="X388" s="62"/>
      <c r="Y388" s="62"/>
      <c r="Z388" s="62"/>
    </row>
    <row r="389">
      <c r="A389" s="62"/>
      <c r="B389" s="62" t="str">
        <f>IFERROR(__xludf.DUMMYFUNCTION("""COMPUTED_VALUE"""),"大谷")</f>
        <v>大谷</v>
      </c>
      <c r="C389" s="62"/>
      <c r="D389" s="62"/>
      <c r="E389" s="62"/>
      <c r="F389" s="62"/>
      <c r="G389" s="504">
        <f>IFERROR(__xludf.DUMMYFUNCTION("""COMPUTED_VALUE"""),0.0)</f>
        <v>0</v>
      </c>
      <c r="H389" s="62"/>
      <c r="I389" s="62"/>
      <c r="J389" s="62"/>
      <c r="K389" s="62"/>
      <c r="L389" s="504">
        <f>IFERROR(__xludf.DUMMYFUNCTION("""COMPUTED_VALUE"""),0.0)</f>
        <v>0</v>
      </c>
      <c r="M389" s="504">
        <f>IFERROR(__xludf.DUMMYFUNCTION("""COMPUTED_VALUE"""),0.0)</f>
        <v>0</v>
      </c>
      <c r="N389" s="504">
        <f>IFERROR(__xludf.DUMMYFUNCTION("""COMPUTED_VALUE"""),0.0)</f>
        <v>0</v>
      </c>
      <c r="O389" s="62"/>
      <c r="P389" s="62"/>
      <c r="Q389" s="62"/>
      <c r="R389" s="62"/>
      <c r="S389" s="62"/>
      <c r="T389" s="62"/>
      <c r="U389" s="62"/>
      <c r="V389" s="62"/>
      <c r="W389" s="62"/>
      <c r="X389" s="62"/>
      <c r="Y389" s="62"/>
      <c r="Z389" s="62"/>
    </row>
    <row r="390">
      <c r="A390" s="62"/>
      <c r="B390" s="62"/>
      <c r="C390" s="62"/>
      <c r="D390" s="62"/>
      <c r="E390" s="62"/>
      <c r="F390" s="62"/>
      <c r="G390" s="504">
        <f>IFERROR(__xludf.DUMMYFUNCTION("""COMPUTED_VALUE"""),0.0)</f>
        <v>0</v>
      </c>
      <c r="H390" s="62"/>
      <c r="I390" s="62"/>
      <c r="J390" s="62"/>
      <c r="K390" s="62"/>
      <c r="L390" s="504">
        <f>IFERROR(__xludf.DUMMYFUNCTION("""COMPUTED_VALUE"""),0.0)</f>
        <v>0</v>
      </c>
      <c r="M390" s="504">
        <f>IFERROR(__xludf.DUMMYFUNCTION("""COMPUTED_VALUE"""),0.0)</f>
        <v>0</v>
      </c>
      <c r="N390" s="504">
        <f>IFERROR(__xludf.DUMMYFUNCTION("""COMPUTED_VALUE"""),0.0)</f>
        <v>0</v>
      </c>
      <c r="O390" s="62"/>
      <c r="P390" s="62"/>
      <c r="Q390" s="62"/>
      <c r="R390" s="62"/>
      <c r="S390" s="62"/>
      <c r="T390" s="62"/>
      <c r="U390" s="62"/>
      <c r="V390" s="62"/>
      <c r="W390" s="62"/>
      <c r="X390" s="62"/>
      <c r="Y390" s="62"/>
      <c r="Z390" s="62"/>
    </row>
    <row r="391">
      <c r="A391" s="62"/>
      <c r="B391" s="62" t="str">
        <f>IFERROR(__xludf.DUMMYFUNCTION("""COMPUTED_VALUE"""),"森")</f>
        <v>森</v>
      </c>
      <c r="C391" s="62"/>
      <c r="D391" s="62"/>
      <c r="E391" s="62"/>
      <c r="F391" s="62"/>
      <c r="G391" s="504">
        <f>IFERROR(__xludf.DUMMYFUNCTION("""COMPUTED_VALUE"""),0.0)</f>
        <v>0</v>
      </c>
      <c r="H391" s="62"/>
      <c r="I391" s="62"/>
      <c r="J391" s="62"/>
      <c r="K391" s="62"/>
      <c r="L391" s="504">
        <f>IFERROR(__xludf.DUMMYFUNCTION("""COMPUTED_VALUE"""),0.0)</f>
        <v>0</v>
      </c>
      <c r="M391" s="504">
        <f>IFERROR(__xludf.DUMMYFUNCTION("""COMPUTED_VALUE"""),0.0)</f>
        <v>0</v>
      </c>
      <c r="N391" s="504">
        <f>IFERROR(__xludf.DUMMYFUNCTION("""COMPUTED_VALUE"""),0.0)</f>
        <v>0</v>
      </c>
      <c r="O391" s="62"/>
      <c r="P391" s="62"/>
      <c r="Q391" s="62"/>
      <c r="R391" s="62"/>
      <c r="S391" s="62"/>
      <c r="T391" s="62"/>
      <c r="U391" s="62"/>
      <c r="V391" s="62"/>
      <c r="W391" s="62"/>
      <c r="X391" s="62"/>
      <c r="Y391" s="62"/>
      <c r="Z391" s="62"/>
    </row>
    <row r="392">
      <c r="A392" s="62"/>
      <c r="B392" s="62"/>
      <c r="C392" s="62"/>
      <c r="D392" s="62"/>
      <c r="E392" s="62"/>
      <c r="F392" s="62"/>
      <c r="G392" s="504">
        <f>IFERROR(__xludf.DUMMYFUNCTION("""COMPUTED_VALUE"""),0.0)</f>
        <v>0</v>
      </c>
      <c r="H392" s="62"/>
      <c r="I392" s="62"/>
      <c r="J392" s="62"/>
      <c r="K392" s="62"/>
      <c r="L392" s="504">
        <f>IFERROR(__xludf.DUMMYFUNCTION("""COMPUTED_VALUE"""),0.0)</f>
        <v>0</v>
      </c>
      <c r="M392" s="504">
        <f>IFERROR(__xludf.DUMMYFUNCTION("""COMPUTED_VALUE"""),0.0)</f>
        <v>0</v>
      </c>
      <c r="N392" s="504">
        <f>IFERROR(__xludf.DUMMYFUNCTION("""COMPUTED_VALUE"""),0.0)</f>
        <v>0</v>
      </c>
      <c r="O392" s="62"/>
      <c r="P392" s="62"/>
      <c r="Q392" s="62"/>
      <c r="R392" s="62"/>
      <c r="S392" s="62"/>
      <c r="T392" s="62"/>
      <c r="U392" s="62"/>
      <c r="V392" s="62"/>
      <c r="W392" s="62"/>
      <c r="X392" s="62"/>
      <c r="Y392" s="62"/>
      <c r="Z392" s="62"/>
    </row>
    <row r="393">
      <c r="A393" s="62"/>
      <c r="B393" s="62" t="str">
        <f>IFERROR(__xludf.DUMMYFUNCTION("""COMPUTED_VALUE"""),"金子")</f>
        <v>金子</v>
      </c>
      <c r="C393" s="62"/>
      <c r="D393" s="62"/>
      <c r="E393" s="62"/>
      <c r="F393" s="62"/>
      <c r="G393" s="504">
        <f>IFERROR(__xludf.DUMMYFUNCTION("""COMPUTED_VALUE"""),0.0)</f>
        <v>0</v>
      </c>
      <c r="H393" s="62"/>
      <c r="I393" s="62"/>
      <c r="J393" s="62"/>
      <c r="K393" s="62"/>
      <c r="L393" s="504">
        <f>IFERROR(__xludf.DUMMYFUNCTION("""COMPUTED_VALUE"""),0.0)</f>
        <v>0</v>
      </c>
      <c r="M393" s="504">
        <f>IFERROR(__xludf.DUMMYFUNCTION("""COMPUTED_VALUE"""),0.0)</f>
        <v>0</v>
      </c>
      <c r="N393" s="504">
        <f>IFERROR(__xludf.DUMMYFUNCTION("""COMPUTED_VALUE"""),0.0)</f>
        <v>0</v>
      </c>
      <c r="O393" s="62"/>
      <c r="P393" s="62"/>
      <c r="Q393" s="62"/>
      <c r="R393" s="62"/>
      <c r="S393" s="62"/>
      <c r="T393" s="62"/>
      <c r="U393" s="62"/>
      <c r="V393" s="62"/>
      <c r="W393" s="62"/>
      <c r="X393" s="62"/>
      <c r="Y393" s="62"/>
      <c r="Z393" s="62"/>
    </row>
    <row r="394">
      <c r="A394" s="62"/>
      <c r="B394" s="62"/>
      <c r="C394" s="62"/>
      <c r="D394" s="62"/>
      <c r="E394" s="62"/>
      <c r="F394" s="62"/>
      <c r="G394" s="504">
        <f>IFERROR(__xludf.DUMMYFUNCTION("""COMPUTED_VALUE"""),0.0)</f>
        <v>0</v>
      </c>
      <c r="H394" s="62"/>
      <c r="I394" s="62"/>
      <c r="J394" s="62"/>
      <c r="K394" s="62"/>
      <c r="L394" s="504">
        <f>IFERROR(__xludf.DUMMYFUNCTION("""COMPUTED_VALUE"""),0.0)</f>
        <v>0</v>
      </c>
      <c r="M394" s="504">
        <f>IFERROR(__xludf.DUMMYFUNCTION("""COMPUTED_VALUE"""),0.0)</f>
        <v>0</v>
      </c>
      <c r="N394" s="504">
        <f>IFERROR(__xludf.DUMMYFUNCTION("""COMPUTED_VALUE"""),0.0)</f>
        <v>0</v>
      </c>
      <c r="O394" s="62"/>
      <c r="P394" s="62"/>
      <c r="Q394" s="62"/>
      <c r="R394" s="62"/>
      <c r="S394" s="62"/>
      <c r="T394" s="62"/>
      <c r="U394" s="62"/>
      <c r="V394" s="62"/>
      <c r="W394" s="62"/>
      <c r="X394" s="62"/>
      <c r="Y394" s="62"/>
      <c r="Z394" s="62"/>
    </row>
    <row r="395">
      <c r="A395" s="62"/>
      <c r="B395" s="552" t="str">
        <f>IFERROR(__xludf.DUMMYFUNCTION("""COMPUTED_VALUE"""),"SMS")</f>
        <v>SMS</v>
      </c>
      <c r="C395" s="62"/>
      <c r="D395" s="62"/>
      <c r="E395" s="62"/>
      <c r="F395" s="62"/>
      <c r="G395" s="504">
        <f>IFERROR(__xludf.DUMMYFUNCTION("""COMPUTED_VALUE"""),0.0)</f>
        <v>0</v>
      </c>
      <c r="H395" s="62"/>
      <c r="I395" s="62"/>
      <c r="J395" s="62"/>
      <c r="K395" s="62"/>
      <c r="L395" s="504">
        <f>IFERROR(__xludf.DUMMYFUNCTION("""COMPUTED_VALUE"""),0.0)</f>
        <v>0</v>
      </c>
      <c r="M395" s="504">
        <f>IFERROR(__xludf.DUMMYFUNCTION("""COMPUTED_VALUE"""),0.0)</f>
        <v>0</v>
      </c>
      <c r="N395" s="504">
        <f>IFERROR(__xludf.DUMMYFUNCTION("""COMPUTED_VALUE"""),0.0)</f>
        <v>0</v>
      </c>
      <c r="O395" s="62"/>
      <c r="P395" s="62"/>
      <c r="Q395" s="62"/>
      <c r="R395" s="62"/>
      <c r="S395" s="62"/>
      <c r="T395" s="62"/>
      <c r="U395" s="62"/>
      <c r="V395" s="62"/>
      <c r="W395" s="62"/>
      <c r="X395" s="62"/>
      <c r="Y395" s="62"/>
      <c r="Z395" s="62"/>
    </row>
    <row r="396">
      <c r="A396" s="62"/>
      <c r="B396" s="62" t="str">
        <f>IFERROR(__xludf.DUMMYFUNCTION("""COMPUTED_VALUE"""),"紹介")</f>
        <v>紹介</v>
      </c>
      <c r="C396" s="62"/>
      <c r="D396" s="62"/>
      <c r="E396" s="62"/>
      <c r="F396" s="62"/>
      <c r="G396" s="504">
        <f>IFERROR(__xludf.DUMMYFUNCTION("""COMPUTED_VALUE"""),0.0)</f>
        <v>0</v>
      </c>
      <c r="H396" s="62"/>
      <c r="I396" s="62"/>
      <c r="J396" s="62"/>
      <c r="K396" s="62"/>
      <c r="L396" s="504">
        <f>IFERROR(__xludf.DUMMYFUNCTION("""COMPUTED_VALUE"""),0.0)</f>
        <v>0</v>
      </c>
      <c r="M396" s="504">
        <f>IFERROR(__xludf.DUMMYFUNCTION("""COMPUTED_VALUE"""),0.0)</f>
        <v>0</v>
      </c>
      <c r="N396" s="504">
        <f>IFERROR(__xludf.DUMMYFUNCTION("""COMPUTED_VALUE"""),0.0)</f>
        <v>0</v>
      </c>
      <c r="O396" s="62"/>
      <c r="P396" s="62"/>
      <c r="Q396" s="62"/>
      <c r="R396" s="62"/>
      <c r="S396" s="62"/>
      <c r="T396" s="62"/>
      <c r="U396" s="62"/>
      <c r="V396" s="62"/>
      <c r="W396" s="62"/>
      <c r="X396" s="62"/>
      <c r="Y396" s="62"/>
      <c r="Z396" s="62"/>
    </row>
    <row r="397">
      <c r="A397" s="62"/>
      <c r="B397" s="62" t="str">
        <f>IFERROR(__xludf.DUMMYFUNCTION("""COMPUTED_VALUE"""),"仁子")</f>
        <v>仁子</v>
      </c>
      <c r="C397" s="62"/>
      <c r="D397" s="62"/>
      <c r="E397" s="62"/>
      <c r="F397" s="62"/>
      <c r="G397" s="504">
        <f>IFERROR(__xludf.DUMMYFUNCTION("""COMPUTED_VALUE"""),0.0)</f>
        <v>0</v>
      </c>
      <c r="H397" s="62"/>
      <c r="I397" s="62">
        <f>IFERROR(__xludf.DUMMYFUNCTION("""COMPUTED_VALUE"""),1.0)</f>
        <v>1</v>
      </c>
      <c r="J397" s="552">
        <f>IFERROR(__xludf.DUMMYFUNCTION("""COMPUTED_VALUE"""),50000.0)</f>
        <v>50000</v>
      </c>
      <c r="K397" s="62"/>
      <c r="L397" s="504">
        <f>IFERROR(__xludf.DUMMYFUNCTION("""COMPUTED_VALUE"""),0.0)</f>
        <v>0</v>
      </c>
      <c r="M397" s="504">
        <f>IFERROR(__xludf.DUMMYFUNCTION("""COMPUTED_VALUE"""),0.0)</f>
        <v>0</v>
      </c>
      <c r="N397" s="504">
        <f>IFERROR(__xludf.DUMMYFUNCTION("""COMPUTED_VALUE"""),0.0)</f>
        <v>0</v>
      </c>
      <c r="O397" s="62"/>
      <c r="P397" s="62"/>
      <c r="Q397" s="62"/>
      <c r="R397" s="62"/>
      <c r="S397" s="62"/>
      <c r="T397" s="62"/>
      <c r="U397" s="62"/>
      <c r="V397" s="62"/>
      <c r="W397" s="62"/>
      <c r="X397" s="62"/>
      <c r="Y397" s="62"/>
      <c r="Z397" s="62"/>
    </row>
    <row r="398">
      <c r="A398" s="62"/>
      <c r="B398" s="62" t="str">
        <f>IFERROR(__xludf.DUMMYFUNCTION("""COMPUTED_VALUE"""),"鈴木")</f>
        <v>鈴木</v>
      </c>
      <c r="C398" s="62">
        <f>IFERROR(__xludf.DUMMYFUNCTION("""COMPUTED_VALUE"""),129.0)</f>
        <v>129</v>
      </c>
      <c r="D398" s="62">
        <f>IFERROR(__xludf.DUMMYFUNCTION("""COMPUTED_VALUE"""),10.0)</f>
        <v>10</v>
      </c>
      <c r="E398" s="62"/>
      <c r="F398" s="62">
        <f>IFERROR(__xludf.DUMMYFUNCTION("""COMPUTED_VALUE"""),10.0)</f>
        <v>10</v>
      </c>
      <c r="G398" s="504">
        <f>IFERROR(__xludf.DUMMYFUNCTION("""COMPUTED_VALUE"""),0.07751937984496124)</f>
        <v>0.07751937984</v>
      </c>
      <c r="H398" s="62"/>
      <c r="I398" s="62">
        <f>IFERROR(__xludf.DUMMYFUNCTION("""COMPUTED_VALUE"""),1.0)</f>
        <v>1</v>
      </c>
      <c r="J398" s="552">
        <f>IFERROR(__xludf.DUMMYFUNCTION("""COMPUTED_VALUE"""),30000.0)</f>
        <v>30000</v>
      </c>
      <c r="K398" s="62"/>
      <c r="L398" s="504">
        <f>IFERROR(__xludf.DUMMYFUNCTION("""COMPUTED_VALUE"""),0.0)</f>
        <v>0</v>
      </c>
      <c r="M398" s="504">
        <f>IFERROR(__xludf.DUMMYFUNCTION("""COMPUTED_VALUE"""),0.007751937984496124)</f>
        <v>0.007751937984</v>
      </c>
      <c r="N398" s="504">
        <f>IFERROR(__xludf.DUMMYFUNCTION("""COMPUTED_VALUE"""),0.0)</f>
        <v>0</v>
      </c>
      <c r="O398" s="62"/>
      <c r="P398" s="62"/>
      <c r="Q398" s="62"/>
      <c r="R398" s="62"/>
      <c r="S398" s="62"/>
      <c r="T398" s="62"/>
      <c r="U398" s="62"/>
      <c r="V398" s="62"/>
      <c r="W398" s="62"/>
      <c r="X398" s="62"/>
      <c r="Y398" s="62"/>
      <c r="Z398" s="62"/>
    </row>
    <row r="399">
      <c r="A399" s="62"/>
      <c r="B399" s="62" t="str">
        <f>IFERROR(__xludf.DUMMYFUNCTION("""COMPUTED_VALUE"""),"仲間")</f>
        <v>仲間</v>
      </c>
      <c r="C399" s="62">
        <f>IFERROR(__xludf.DUMMYFUNCTION("""COMPUTED_VALUE"""),184.0)</f>
        <v>184</v>
      </c>
      <c r="D399" s="62">
        <f>IFERROR(__xludf.DUMMYFUNCTION("""COMPUTED_VALUE"""),15.0)</f>
        <v>15</v>
      </c>
      <c r="E399" s="62">
        <f>IFERROR(__xludf.DUMMYFUNCTION("""COMPUTED_VALUE"""),1.0)</f>
        <v>1</v>
      </c>
      <c r="F399" s="62">
        <f>IFERROR(__xludf.DUMMYFUNCTION("""COMPUTED_VALUE"""),12.0)</f>
        <v>12</v>
      </c>
      <c r="G399" s="504">
        <f>IFERROR(__xludf.DUMMYFUNCTION("""COMPUTED_VALUE"""),0.08152173913043478)</f>
        <v>0.08152173913</v>
      </c>
      <c r="H399" s="62"/>
      <c r="I399" s="62"/>
      <c r="J399" s="62"/>
      <c r="K399" s="62"/>
      <c r="L399" s="504">
        <f>IFERROR(__xludf.DUMMYFUNCTION("""COMPUTED_VALUE"""),0.0)</f>
        <v>0</v>
      </c>
      <c r="M399" s="504">
        <f>IFERROR(__xludf.DUMMYFUNCTION("""COMPUTED_VALUE"""),0.0)</f>
        <v>0</v>
      </c>
      <c r="N399" s="504">
        <f>IFERROR(__xludf.DUMMYFUNCTION("""COMPUTED_VALUE"""),0.0)</f>
        <v>0</v>
      </c>
      <c r="O399" s="62" t="str">
        <f>IFERROR(__xludf.DUMMYFUNCTION("""COMPUTED_VALUE"""),"リストE")</f>
        <v>リストE</v>
      </c>
      <c r="P399" s="553" t="str">
        <f>IFERROR(__xludf.DUMMYFUNCTION("""COMPUTED_VALUE"""),"平日")</f>
        <v>平日</v>
      </c>
      <c r="Q399" s="62"/>
      <c r="R399" s="62"/>
      <c r="S399" s="62"/>
      <c r="T399" s="62"/>
      <c r="U399" s="62"/>
      <c r="V399" s="62"/>
      <c r="W399" s="62"/>
      <c r="X399" s="62"/>
      <c r="Y399" s="62"/>
      <c r="Z399" s="62"/>
    </row>
    <row r="400">
      <c r="A400" s="62"/>
      <c r="B400" s="62"/>
      <c r="C400" s="62"/>
      <c r="D400" s="62"/>
      <c r="E400" s="62"/>
      <c r="F400" s="62"/>
      <c r="G400" s="504">
        <f>IFERROR(__xludf.DUMMYFUNCTION("""COMPUTED_VALUE"""),0.0)</f>
        <v>0</v>
      </c>
      <c r="H400" s="62"/>
      <c r="I400" s="62"/>
      <c r="J400" s="62"/>
      <c r="K400" s="62"/>
      <c r="L400" s="504">
        <f>IFERROR(__xludf.DUMMYFUNCTION("""COMPUTED_VALUE"""),0.0)</f>
        <v>0</v>
      </c>
      <c r="M400" s="504">
        <f>IFERROR(__xludf.DUMMYFUNCTION("""COMPUTED_VALUE"""),0.0)</f>
        <v>0</v>
      </c>
      <c r="N400" s="504">
        <f>IFERROR(__xludf.DUMMYFUNCTION("""COMPUTED_VALUE"""),0.0)</f>
        <v>0</v>
      </c>
      <c r="O400" s="62"/>
      <c r="P400" s="62"/>
      <c r="Q400" s="62"/>
      <c r="R400" s="62"/>
      <c r="S400" s="62"/>
      <c r="T400" s="62"/>
      <c r="U400" s="62"/>
      <c r="V400" s="62"/>
      <c r="W400" s="62"/>
      <c r="X400" s="62"/>
      <c r="Y400" s="62"/>
      <c r="Z400" s="62"/>
    </row>
    <row r="401">
      <c r="A401" s="62"/>
      <c r="B401" s="62" t="str">
        <f>IFERROR(__xludf.DUMMYFUNCTION("""COMPUTED_VALUE"""),"合計")</f>
        <v>合計</v>
      </c>
      <c r="C401" s="62">
        <f>IFERROR(__xludf.DUMMYFUNCTION("""COMPUTED_VALUE"""),551.0)</f>
        <v>551</v>
      </c>
      <c r="D401" s="62">
        <f>IFERROR(__xludf.DUMMYFUNCTION("""COMPUTED_VALUE"""),54.0)</f>
        <v>54</v>
      </c>
      <c r="E401" s="62">
        <f>IFERROR(__xludf.DUMMYFUNCTION("""COMPUTED_VALUE"""),3.0)</f>
        <v>3</v>
      </c>
      <c r="F401" s="62">
        <f>IFERROR(__xludf.DUMMYFUNCTION("""COMPUTED_VALUE"""),39.0)</f>
        <v>39</v>
      </c>
      <c r="G401" s="504">
        <f>IFERROR(__xludf.DUMMYFUNCTION("""COMPUTED_VALUE"""),0.09800362976406533)</f>
        <v>0.09800362976</v>
      </c>
      <c r="H401" s="62">
        <f>IFERROR(__xludf.DUMMYFUNCTION("""COMPUTED_VALUE"""),7.0)</f>
        <v>7</v>
      </c>
      <c r="I401" s="62">
        <f>IFERROR(__xludf.DUMMYFUNCTION("""COMPUTED_VALUE"""),7.0)</f>
        <v>7</v>
      </c>
      <c r="J401" s="552">
        <f>IFERROR(__xludf.DUMMYFUNCTION("""COMPUTED_VALUE"""),420000.0)</f>
        <v>420000</v>
      </c>
      <c r="K401" s="62">
        <f>IFERROR(__xludf.DUMMYFUNCTION("""COMPUTED_VALUE"""),0.0)</f>
        <v>0</v>
      </c>
      <c r="L401" s="504">
        <f>IFERROR(__xludf.DUMMYFUNCTION("""COMPUTED_VALUE"""),0.012704174228675136)</f>
        <v>0.01270417423</v>
      </c>
      <c r="M401" s="504">
        <f>IFERROR(__xludf.DUMMYFUNCTION("""COMPUTED_VALUE"""),0.012704174228675136)</f>
        <v>0.01270417423</v>
      </c>
      <c r="N401" s="504">
        <f>IFERROR(__xludf.DUMMYFUNCTION("""COMPUTED_VALUE"""),1.0)</f>
        <v>1</v>
      </c>
      <c r="O401" s="62"/>
      <c r="P401" s="62"/>
      <c r="Q401" s="62"/>
      <c r="R401" s="62"/>
      <c r="S401" s="62"/>
      <c r="T401" s="62"/>
      <c r="U401" s="62"/>
      <c r="V401" s="62"/>
      <c r="W401" s="62"/>
      <c r="X401" s="62"/>
      <c r="Y401" s="62"/>
      <c r="Z401" s="62"/>
    </row>
    <row r="402">
      <c r="A402" s="62" t="str">
        <f>IFERROR(__xludf.DUMMYFUNCTION("""COMPUTED_VALUE"""),"日付")</f>
        <v>日付</v>
      </c>
      <c r="B402" s="62" t="str">
        <f>IFERROR(__xludf.DUMMYFUNCTION("""COMPUTED_VALUE"""),"名前")</f>
        <v>名前</v>
      </c>
      <c r="C402" s="62" t="str">
        <f>IFERROR(__xludf.DUMMYFUNCTION("""COMPUTED_VALUE"""),"打電件数")</f>
        <v>打電件数</v>
      </c>
      <c r="D402" s="62" t="str">
        <f>IFERROR(__xludf.DUMMYFUNCTION("""COMPUTED_VALUE"""),"着電件数")</f>
        <v>着電件数</v>
      </c>
      <c r="E402" s="62" t="str">
        <f>IFERROR(__xludf.DUMMYFUNCTION("""COMPUTED_VALUE"""),"折り返し件数")</f>
        <v>折り返し件数</v>
      </c>
      <c r="F402" s="62" t="str">
        <f>IFERROR(__xludf.DUMMYFUNCTION("""COMPUTED_VALUE"""),"拒否")</f>
        <v>拒否</v>
      </c>
      <c r="G402" s="62" t="str">
        <f>IFERROR(__xludf.DUMMYFUNCTION("""COMPUTED_VALUE"""),"着電率")</f>
        <v>着電率</v>
      </c>
      <c r="H402" s="62" t="str">
        <f>IFERROR(__xludf.DUMMYFUNCTION("""COMPUTED_VALUE"""),"LINE登録")</f>
        <v>LINE登録</v>
      </c>
      <c r="I402" s="62" t="str">
        <f>IFERROR(__xludf.DUMMYFUNCTION("""COMPUTED_VALUE"""),"アカウント作成")</f>
        <v>アカウント作成</v>
      </c>
      <c r="J402" s="552" t="str">
        <f>IFERROR(__xludf.DUMMYFUNCTION("""COMPUTED_VALUE"""),"新規信用枠額")</f>
        <v>新規信用枠額</v>
      </c>
      <c r="K402" s="62" t="str">
        <f>IFERROR(__xludf.DUMMYFUNCTION("""COMPUTED_VALUE"""),"リスト死回線数")</f>
        <v>リスト死回線数</v>
      </c>
      <c r="L402" s="62" t="str">
        <f>IFERROR(__xludf.DUMMYFUNCTION("""COMPUTED_VALUE"""),"LINE率(打電から)")</f>
        <v>LINE率(打電から)</v>
      </c>
      <c r="M402" s="62" t="str">
        <f>IFERROR(__xludf.DUMMYFUNCTION("""COMPUTED_VALUE"""),"アカウント作成率(打電から)")</f>
        <v>アカウント作成率(打電から)</v>
      </c>
      <c r="N402" s="62" t="str">
        <f>IFERROR(__xludf.DUMMYFUNCTION("""COMPUTED_VALUE"""),"アカウント作成率(LINEから)")</f>
        <v>アカウント作成率(LINEから)</v>
      </c>
      <c r="O402" s="62" t="str">
        <f>IFERROR(__xludf.DUMMYFUNCTION("""COMPUTED_VALUE"""),"リスト名")</f>
        <v>リスト名</v>
      </c>
      <c r="P402" s="553" t="str">
        <f>IFERROR(__xludf.DUMMYFUNCTION("""COMPUTED_VALUE"""),"日本基準")</f>
        <v>日本基準</v>
      </c>
      <c r="Q402" s="62"/>
      <c r="R402" s="62"/>
      <c r="S402" s="62"/>
      <c r="T402" s="62"/>
      <c r="U402" s="62"/>
      <c r="V402" s="62"/>
      <c r="W402" s="62"/>
      <c r="X402" s="62"/>
      <c r="Y402" s="62"/>
      <c r="Z402" s="62"/>
    </row>
    <row r="403">
      <c r="A403" s="556">
        <f>IFERROR(__xludf.DUMMYFUNCTION("""COMPUTED_VALUE"""),45920.0)</f>
        <v>45920</v>
      </c>
      <c r="B403" s="62" t="str">
        <f>IFERROR(__xludf.DUMMYFUNCTION("""COMPUTED_VALUE"""),"あり")</f>
        <v>あり</v>
      </c>
      <c r="C403" s="62"/>
      <c r="D403" s="62"/>
      <c r="E403" s="62"/>
      <c r="F403" s="62"/>
      <c r="G403" s="504">
        <f>IFERROR(__xludf.DUMMYFUNCTION("""COMPUTED_VALUE"""),0.0)</f>
        <v>0</v>
      </c>
      <c r="H403" s="62">
        <f>IFERROR(__xludf.DUMMYFUNCTION("""COMPUTED_VALUE"""),2.0)</f>
        <v>2</v>
      </c>
      <c r="I403" s="62">
        <f>IFERROR(__xludf.DUMMYFUNCTION("""COMPUTED_VALUE"""),3.0)</f>
        <v>3</v>
      </c>
      <c r="J403" s="552">
        <f>IFERROR(__xludf.DUMMYFUNCTION("""COMPUTED_VALUE"""),110000.0)</f>
        <v>110000</v>
      </c>
      <c r="K403" s="62"/>
      <c r="L403" s="504">
        <f>IFERROR(__xludf.DUMMYFUNCTION("""COMPUTED_VALUE"""),0.0)</f>
        <v>0</v>
      </c>
      <c r="M403" s="504">
        <f>IFERROR(__xludf.DUMMYFUNCTION("""COMPUTED_VALUE"""),0.0)</f>
        <v>0</v>
      </c>
      <c r="N403" s="504">
        <f>IFERROR(__xludf.DUMMYFUNCTION("""COMPUTED_VALUE"""),1.5)</f>
        <v>1.5</v>
      </c>
      <c r="O403" s="62"/>
      <c r="P403" s="62"/>
      <c r="Q403" s="62"/>
      <c r="R403" s="62"/>
      <c r="S403" s="62"/>
      <c r="T403" s="62"/>
      <c r="U403" s="62"/>
      <c r="V403" s="62"/>
      <c r="W403" s="62"/>
      <c r="X403" s="62"/>
      <c r="Y403" s="62"/>
      <c r="Z403" s="62"/>
    </row>
    <row r="404">
      <c r="A404" s="62"/>
      <c r="B404" s="62" t="str">
        <f>IFERROR(__xludf.DUMMYFUNCTION("""COMPUTED_VALUE"""),"しょうま")</f>
        <v>しょうま</v>
      </c>
      <c r="C404" s="62">
        <f>IFERROR(__xludf.DUMMYFUNCTION("""COMPUTED_VALUE"""),71.0)</f>
        <v>71</v>
      </c>
      <c r="D404" s="62">
        <f>IFERROR(__xludf.DUMMYFUNCTION("""COMPUTED_VALUE"""),3.0)</f>
        <v>3</v>
      </c>
      <c r="E404" s="62">
        <f>IFERROR(__xludf.DUMMYFUNCTION("""COMPUTED_VALUE"""),1.0)</f>
        <v>1</v>
      </c>
      <c r="F404" s="62">
        <f>IFERROR(__xludf.DUMMYFUNCTION("""COMPUTED_VALUE"""),3.0)</f>
        <v>3</v>
      </c>
      <c r="G404" s="504">
        <f>IFERROR(__xludf.DUMMYFUNCTION("""COMPUTED_VALUE"""),0.04225352112676056)</f>
        <v>0.04225352113</v>
      </c>
      <c r="H404" s="62">
        <f>IFERROR(__xludf.DUMMYFUNCTION("""COMPUTED_VALUE"""),1.0)</f>
        <v>1</v>
      </c>
      <c r="I404" s="62"/>
      <c r="J404" s="62"/>
      <c r="K404" s="62"/>
      <c r="L404" s="504">
        <f>IFERROR(__xludf.DUMMYFUNCTION("""COMPUTED_VALUE"""),0.014084507042253521)</f>
        <v>0.01408450704</v>
      </c>
      <c r="M404" s="504">
        <f>IFERROR(__xludf.DUMMYFUNCTION("""COMPUTED_VALUE"""),0.0)</f>
        <v>0</v>
      </c>
      <c r="N404" s="504">
        <f>IFERROR(__xludf.DUMMYFUNCTION("""COMPUTED_VALUE"""),0.0)</f>
        <v>0</v>
      </c>
      <c r="O404" s="62" t="str">
        <f>IFERROR(__xludf.DUMMYFUNCTION("""COMPUTED_VALUE"""),"リストE")</f>
        <v>リストE</v>
      </c>
      <c r="P404" s="553" t="str">
        <f>IFERROR(__xludf.DUMMYFUNCTION("""COMPUTED_VALUE"""),"祝日")</f>
        <v>祝日</v>
      </c>
      <c r="Q404" s="62"/>
      <c r="R404" s="62"/>
      <c r="S404" s="62"/>
      <c r="T404" s="62"/>
      <c r="U404" s="62"/>
      <c r="V404" s="62"/>
      <c r="W404" s="62"/>
      <c r="X404" s="62"/>
      <c r="Y404" s="62"/>
      <c r="Z404" s="62"/>
    </row>
    <row r="405">
      <c r="A405" s="62"/>
      <c r="B405" s="62"/>
      <c r="C405" s="62"/>
      <c r="D405" s="62"/>
      <c r="E405" s="62"/>
      <c r="F405" s="62"/>
      <c r="G405" s="504">
        <f>IFERROR(__xludf.DUMMYFUNCTION("""COMPUTED_VALUE"""),0.0)</f>
        <v>0</v>
      </c>
      <c r="H405" s="62"/>
      <c r="I405" s="62"/>
      <c r="J405" s="62"/>
      <c r="K405" s="62"/>
      <c r="L405" s="504">
        <f>IFERROR(__xludf.DUMMYFUNCTION("""COMPUTED_VALUE"""),0.0)</f>
        <v>0</v>
      </c>
      <c r="M405" s="504">
        <f>IFERROR(__xludf.DUMMYFUNCTION("""COMPUTED_VALUE"""),0.0)</f>
        <v>0</v>
      </c>
      <c r="N405" s="504">
        <f>IFERROR(__xludf.DUMMYFUNCTION("""COMPUTED_VALUE"""),0.0)</f>
        <v>0</v>
      </c>
      <c r="O405" s="62"/>
      <c r="P405" s="62"/>
      <c r="Q405" s="62"/>
      <c r="R405" s="62"/>
      <c r="S405" s="62"/>
      <c r="T405" s="62"/>
      <c r="U405" s="62"/>
      <c r="V405" s="62"/>
      <c r="W405" s="62"/>
      <c r="X405" s="62"/>
      <c r="Y405" s="62"/>
      <c r="Z405" s="62"/>
    </row>
    <row r="406">
      <c r="A406" s="62"/>
      <c r="B406" s="62" t="str">
        <f>IFERROR(__xludf.DUMMYFUNCTION("""COMPUTED_VALUE"""),"ジョーナ")</f>
        <v>ジョーナ</v>
      </c>
      <c r="C406" s="62"/>
      <c r="D406" s="62"/>
      <c r="E406" s="62"/>
      <c r="F406" s="62"/>
      <c r="G406" s="504">
        <f>IFERROR(__xludf.DUMMYFUNCTION("""COMPUTED_VALUE"""),0.0)</f>
        <v>0</v>
      </c>
      <c r="H406" s="62"/>
      <c r="I406" s="62"/>
      <c r="J406" s="62"/>
      <c r="K406" s="62"/>
      <c r="L406" s="504">
        <f>IFERROR(__xludf.DUMMYFUNCTION("""COMPUTED_VALUE"""),0.0)</f>
        <v>0</v>
      </c>
      <c r="M406" s="504">
        <f>IFERROR(__xludf.DUMMYFUNCTION("""COMPUTED_VALUE"""),0.0)</f>
        <v>0</v>
      </c>
      <c r="N406" s="504">
        <f>IFERROR(__xludf.DUMMYFUNCTION("""COMPUTED_VALUE"""),0.0)</f>
        <v>0</v>
      </c>
      <c r="O406" s="62"/>
      <c r="P406" s="62"/>
      <c r="Q406" s="62"/>
      <c r="R406" s="62"/>
      <c r="S406" s="62"/>
      <c r="T406" s="62"/>
      <c r="U406" s="62"/>
      <c r="V406" s="62"/>
      <c r="W406" s="62"/>
      <c r="X406" s="62"/>
      <c r="Y406" s="62"/>
      <c r="Z406" s="62"/>
    </row>
    <row r="407">
      <c r="A407" s="62"/>
      <c r="B407" s="62" t="str">
        <f>IFERROR(__xludf.DUMMYFUNCTION("""COMPUTED_VALUE"""),"武田")</f>
        <v>武田</v>
      </c>
      <c r="C407" s="62"/>
      <c r="D407" s="62"/>
      <c r="E407" s="62"/>
      <c r="F407" s="62"/>
      <c r="G407" s="504">
        <f>IFERROR(__xludf.DUMMYFUNCTION("""COMPUTED_VALUE"""),0.0)</f>
        <v>0</v>
      </c>
      <c r="H407" s="62"/>
      <c r="I407" s="62"/>
      <c r="J407" s="62"/>
      <c r="K407" s="62"/>
      <c r="L407" s="504">
        <f>IFERROR(__xludf.DUMMYFUNCTION("""COMPUTED_VALUE"""),0.0)</f>
        <v>0</v>
      </c>
      <c r="M407" s="504">
        <f>IFERROR(__xludf.DUMMYFUNCTION("""COMPUTED_VALUE"""),0.0)</f>
        <v>0</v>
      </c>
      <c r="N407" s="504">
        <f>IFERROR(__xludf.DUMMYFUNCTION("""COMPUTED_VALUE"""),0.0)</f>
        <v>0</v>
      </c>
      <c r="O407" s="62"/>
      <c r="P407" s="62"/>
      <c r="Q407" s="62"/>
      <c r="R407" s="62"/>
      <c r="S407" s="62"/>
      <c r="T407" s="62"/>
      <c r="U407" s="62"/>
      <c r="V407" s="62"/>
      <c r="W407" s="62"/>
      <c r="X407" s="62"/>
      <c r="Y407" s="62"/>
      <c r="Z407" s="62"/>
    </row>
    <row r="408">
      <c r="A408" s="62"/>
      <c r="B408" s="62" t="str">
        <f>IFERROR(__xludf.DUMMYFUNCTION("""COMPUTED_VALUE"""),"高木")</f>
        <v>高木</v>
      </c>
      <c r="C408" s="62">
        <f>IFERROR(__xludf.DUMMYFUNCTION("""COMPUTED_VALUE"""),50.0)</f>
        <v>50</v>
      </c>
      <c r="D408" s="62">
        <f>IFERROR(__xludf.DUMMYFUNCTION("""COMPUTED_VALUE"""),8.0)</f>
        <v>8</v>
      </c>
      <c r="E408" s="62"/>
      <c r="F408" s="62">
        <f>IFERROR(__xludf.DUMMYFUNCTION("""COMPUTED_VALUE"""),6.0)</f>
        <v>6</v>
      </c>
      <c r="G408" s="504">
        <f>IFERROR(__xludf.DUMMYFUNCTION("""COMPUTED_VALUE"""),0.16)</f>
        <v>0.16</v>
      </c>
      <c r="H408" s="62"/>
      <c r="I408" s="62"/>
      <c r="J408" s="62"/>
      <c r="K408" s="62"/>
      <c r="L408" s="504">
        <f>IFERROR(__xludf.DUMMYFUNCTION("""COMPUTED_VALUE"""),0.0)</f>
        <v>0</v>
      </c>
      <c r="M408" s="504">
        <f>IFERROR(__xludf.DUMMYFUNCTION("""COMPUTED_VALUE"""),0.0)</f>
        <v>0</v>
      </c>
      <c r="N408" s="504">
        <f>IFERROR(__xludf.DUMMYFUNCTION("""COMPUTED_VALUE"""),0.0)</f>
        <v>0</v>
      </c>
      <c r="O408" s="62"/>
      <c r="P408" s="62"/>
      <c r="Q408" s="62"/>
      <c r="R408" s="62"/>
      <c r="S408" s="62"/>
      <c r="T408" s="62"/>
      <c r="U408" s="62"/>
      <c r="V408" s="62"/>
      <c r="W408" s="62"/>
      <c r="X408" s="62"/>
      <c r="Y408" s="62"/>
      <c r="Z408" s="62"/>
    </row>
    <row r="409">
      <c r="A409" s="62"/>
      <c r="B409" s="62"/>
      <c r="C409" s="62"/>
      <c r="D409" s="62"/>
      <c r="E409" s="62"/>
      <c r="F409" s="62"/>
      <c r="G409" s="504">
        <f>IFERROR(__xludf.DUMMYFUNCTION("""COMPUTED_VALUE"""),0.0)</f>
        <v>0</v>
      </c>
      <c r="H409" s="62"/>
      <c r="I409" s="62"/>
      <c r="J409" s="62"/>
      <c r="K409" s="62"/>
      <c r="L409" s="504">
        <f>IFERROR(__xludf.DUMMYFUNCTION("""COMPUTED_VALUE"""),0.0)</f>
        <v>0</v>
      </c>
      <c r="M409" s="504">
        <f>IFERROR(__xludf.DUMMYFUNCTION("""COMPUTED_VALUE"""),0.0)</f>
        <v>0</v>
      </c>
      <c r="N409" s="504">
        <f>IFERROR(__xludf.DUMMYFUNCTION("""COMPUTED_VALUE"""),0.0)</f>
        <v>0</v>
      </c>
      <c r="O409" s="62"/>
      <c r="P409" s="62"/>
      <c r="Q409" s="62"/>
      <c r="R409" s="62"/>
      <c r="S409" s="62"/>
      <c r="T409" s="62"/>
      <c r="U409" s="62"/>
      <c r="V409" s="62"/>
      <c r="W409" s="62"/>
      <c r="X409" s="62"/>
      <c r="Y409" s="62"/>
      <c r="Z409" s="62"/>
    </row>
    <row r="410">
      <c r="A410" s="62"/>
      <c r="B410" s="62" t="str">
        <f>IFERROR(__xludf.DUMMYFUNCTION("""COMPUTED_VALUE"""),"大谷")</f>
        <v>大谷</v>
      </c>
      <c r="C410" s="62"/>
      <c r="D410" s="62"/>
      <c r="E410" s="62"/>
      <c r="F410" s="62"/>
      <c r="G410" s="504">
        <f>IFERROR(__xludf.DUMMYFUNCTION("""COMPUTED_VALUE"""),0.0)</f>
        <v>0</v>
      </c>
      <c r="H410" s="62"/>
      <c r="I410" s="62"/>
      <c r="J410" s="62"/>
      <c r="K410" s="62"/>
      <c r="L410" s="504">
        <f>IFERROR(__xludf.DUMMYFUNCTION("""COMPUTED_VALUE"""),0.0)</f>
        <v>0</v>
      </c>
      <c r="M410" s="504">
        <f>IFERROR(__xludf.DUMMYFUNCTION("""COMPUTED_VALUE"""),0.0)</f>
        <v>0</v>
      </c>
      <c r="N410" s="504">
        <f>IFERROR(__xludf.DUMMYFUNCTION("""COMPUTED_VALUE"""),0.0)</f>
        <v>0</v>
      </c>
      <c r="O410" s="62"/>
      <c r="P410" s="62"/>
      <c r="Q410" s="62"/>
      <c r="R410" s="62"/>
      <c r="S410" s="62"/>
      <c r="T410" s="62"/>
      <c r="U410" s="62"/>
      <c r="V410" s="62"/>
      <c r="W410" s="62"/>
      <c r="X410" s="62"/>
      <c r="Y410" s="62"/>
      <c r="Z410" s="62"/>
    </row>
    <row r="411">
      <c r="A411" s="62"/>
      <c r="B411" s="62"/>
      <c r="C411" s="62"/>
      <c r="D411" s="62"/>
      <c r="E411" s="62"/>
      <c r="F411" s="62"/>
      <c r="G411" s="504">
        <f>IFERROR(__xludf.DUMMYFUNCTION("""COMPUTED_VALUE"""),0.0)</f>
        <v>0</v>
      </c>
      <c r="H411" s="62"/>
      <c r="I411" s="62"/>
      <c r="J411" s="62"/>
      <c r="K411" s="62"/>
      <c r="L411" s="504">
        <f>IFERROR(__xludf.DUMMYFUNCTION("""COMPUTED_VALUE"""),0.0)</f>
        <v>0</v>
      </c>
      <c r="M411" s="504">
        <f>IFERROR(__xludf.DUMMYFUNCTION("""COMPUTED_VALUE"""),0.0)</f>
        <v>0</v>
      </c>
      <c r="N411" s="504">
        <f>IFERROR(__xludf.DUMMYFUNCTION("""COMPUTED_VALUE"""),0.0)</f>
        <v>0</v>
      </c>
      <c r="O411" s="62"/>
      <c r="P411" s="62"/>
      <c r="Q411" s="62"/>
      <c r="R411" s="62"/>
      <c r="S411" s="62"/>
      <c r="T411" s="62"/>
      <c r="U411" s="62"/>
      <c r="V411" s="62"/>
      <c r="W411" s="62"/>
      <c r="X411" s="62"/>
      <c r="Y411" s="62"/>
      <c r="Z411" s="62"/>
    </row>
    <row r="412">
      <c r="A412" s="62"/>
      <c r="B412" s="62" t="str">
        <f>IFERROR(__xludf.DUMMYFUNCTION("""COMPUTED_VALUE"""),"森")</f>
        <v>森</v>
      </c>
      <c r="C412" s="62"/>
      <c r="D412" s="62"/>
      <c r="E412" s="62"/>
      <c r="F412" s="62"/>
      <c r="G412" s="504">
        <f>IFERROR(__xludf.DUMMYFUNCTION("""COMPUTED_VALUE"""),0.0)</f>
        <v>0</v>
      </c>
      <c r="H412" s="62"/>
      <c r="I412" s="62"/>
      <c r="J412" s="62"/>
      <c r="K412" s="62"/>
      <c r="L412" s="504">
        <f>IFERROR(__xludf.DUMMYFUNCTION("""COMPUTED_VALUE"""),0.0)</f>
        <v>0</v>
      </c>
      <c r="M412" s="504">
        <f>IFERROR(__xludf.DUMMYFUNCTION("""COMPUTED_VALUE"""),0.0)</f>
        <v>0</v>
      </c>
      <c r="N412" s="504">
        <f>IFERROR(__xludf.DUMMYFUNCTION("""COMPUTED_VALUE"""),0.0)</f>
        <v>0</v>
      </c>
      <c r="O412" s="62"/>
      <c r="P412" s="62"/>
      <c r="Q412" s="62"/>
      <c r="R412" s="62"/>
      <c r="S412" s="62"/>
      <c r="T412" s="62"/>
      <c r="U412" s="62"/>
      <c r="V412" s="62"/>
      <c r="W412" s="62"/>
      <c r="X412" s="62"/>
      <c r="Y412" s="62"/>
      <c r="Z412" s="62"/>
    </row>
    <row r="413">
      <c r="A413" s="62"/>
      <c r="B413" s="62"/>
      <c r="C413" s="62"/>
      <c r="D413" s="62"/>
      <c r="E413" s="62"/>
      <c r="F413" s="62"/>
      <c r="G413" s="504">
        <f>IFERROR(__xludf.DUMMYFUNCTION("""COMPUTED_VALUE"""),0.0)</f>
        <v>0</v>
      </c>
      <c r="H413" s="62"/>
      <c r="I413" s="62"/>
      <c r="J413" s="62"/>
      <c r="K413" s="62"/>
      <c r="L413" s="504">
        <f>IFERROR(__xludf.DUMMYFUNCTION("""COMPUTED_VALUE"""),0.0)</f>
        <v>0</v>
      </c>
      <c r="M413" s="504">
        <f>IFERROR(__xludf.DUMMYFUNCTION("""COMPUTED_VALUE"""),0.0)</f>
        <v>0</v>
      </c>
      <c r="N413" s="504">
        <f>IFERROR(__xludf.DUMMYFUNCTION("""COMPUTED_VALUE"""),0.0)</f>
        <v>0</v>
      </c>
      <c r="O413" s="62"/>
      <c r="P413" s="62"/>
      <c r="Q413" s="62"/>
      <c r="R413" s="62"/>
      <c r="S413" s="62"/>
      <c r="T413" s="62"/>
      <c r="U413" s="62"/>
      <c r="V413" s="62"/>
      <c r="W413" s="62"/>
      <c r="X413" s="62"/>
      <c r="Y413" s="62"/>
      <c r="Z413" s="62"/>
    </row>
    <row r="414">
      <c r="A414" s="62"/>
      <c r="B414" s="62" t="str">
        <f>IFERROR(__xludf.DUMMYFUNCTION("""COMPUTED_VALUE"""),"金子")</f>
        <v>金子</v>
      </c>
      <c r="C414" s="62"/>
      <c r="D414" s="62"/>
      <c r="E414" s="62"/>
      <c r="F414" s="62"/>
      <c r="G414" s="504">
        <f>IFERROR(__xludf.DUMMYFUNCTION("""COMPUTED_VALUE"""),0.0)</f>
        <v>0</v>
      </c>
      <c r="H414" s="62"/>
      <c r="I414" s="62"/>
      <c r="J414" s="62"/>
      <c r="K414" s="62"/>
      <c r="L414" s="504">
        <f>IFERROR(__xludf.DUMMYFUNCTION("""COMPUTED_VALUE"""),0.0)</f>
        <v>0</v>
      </c>
      <c r="M414" s="504">
        <f>IFERROR(__xludf.DUMMYFUNCTION("""COMPUTED_VALUE"""),0.0)</f>
        <v>0</v>
      </c>
      <c r="N414" s="504">
        <f>IFERROR(__xludf.DUMMYFUNCTION("""COMPUTED_VALUE"""),0.0)</f>
        <v>0</v>
      </c>
      <c r="O414" s="62"/>
      <c r="P414" s="62"/>
      <c r="Q414" s="62"/>
      <c r="R414" s="62"/>
      <c r="S414" s="62"/>
      <c r="T414" s="62"/>
      <c r="U414" s="62"/>
      <c r="V414" s="62"/>
      <c r="W414" s="62"/>
      <c r="X414" s="62"/>
      <c r="Y414" s="62"/>
      <c r="Z414" s="62"/>
    </row>
    <row r="415">
      <c r="A415" s="62"/>
      <c r="B415" s="62"/>
      <c r="C415" s="62"/>
      <c r="D415" s="62"/>
      <c r="E415" s="62"/>
      <c r="F415" s="62"/>
      <c r="G415" s="504">
        <f>IFERROR(__xludf.DUMMYFUNCTION("""COMPUTED_VALUE"""),0.0)</f>
        <v>0</v>
      </c>
      <c r="H415" s="62"/>
      <c r="I415" s="62"/>
      <c r="J415" s="62"/>
      <c r="K415" s="62"/>
      <c r="L415" s="504">
        <f>IFERROR(__xludf.DUMMYFUNCTION("""COMPUTED_VALUE"""),0.0)</f>
        <v>0</v>
      </c>
      <c r="M415" s="504">
        <f>IFERROR(__xludf.DUMMYFUNCTION("""COMPUTED_VALUE"""),0.0)</f>
        <v>0</v>
      </c>
      <c r="N415" s="504">
        <f>IFERROR(__xludf.DUMMYFUNCTION("""COMPUTED_VALUE"""),0.0)</f>
        <v>0</v>
      </c>
      <c r="O415" s="62"/>
      <c r="P415" s="62"/>
      <c r="Q415" s="62"/>
      <c r="R415" s="62"/>
      <c r="S415" s="62"/>
      <c r="T415" s="62"/>
      <c r="U415" s="62"/>
      <c r="V415" s="62"/>
      <c r="W415" s="62"/>
      <c r="X415" s="62"/>
      <c r="Y415" s="62"/>
      <c r="Z415" s="62"/>
    </row>
    <row r="416">
      <c r="A416" s="62"/>
      <c r="B416" s="552" t="str">
        <f>IFERROR(__xludf.DUMMYFUNCTION("""COMPUTED_VALUE"""),"SMS")</f>
        <v>SMS</v>
      </c>
      <c r="C416" s="62"/>
      <c r="D416" s="62"/>
      <c r="E416" s="62"/>
      <c r="F416" s="62"/>
      <c r="G416" s="504">
        <f>IFERROR(__xludf.DUMMYFUNCTION("""COMPUTED_VALUE"""),0.0)</f>
        <v>0</v>
      </c>
      <c r="H416" s="62"/>
      <c r="I416" s="62"/>
      <c r="J416" s="62"/>
      <c r="K416" s="62"/>
      <c r="L416" s="504">
        <f>IFERROR(__xludf.DUMMYFUNCTION("""COMPUTED_VALUE"""),0.0)</f>
        <v>0</v>
      </c>
      <c r="M416" s="504">
        <f>IFERROR(__xludf.DUMMYFUNCTION("""COMPUTED_VALUE"""),0.0)</f>
        <v>0</v>
      </c>
      <c r="N416" s="504">
        <f>IFERROR(__xludf.DUMMYFUNCTION("""COMPUTED_VALUE"""),0.0)</f>
        <v>0</v>
      </c>
      <c r="O416" s="62"/>
      <c r="P416" s="62"/>
      <c r="Q416" s="62"/>
      <c r="R416" s="62"/>
      <c r="S416" s="62"/>
      <c r="T416" s="62"/>
      <c r="U416" s="62"/>
      <c r="V416" s="62"/>
      <c r="W416" s="62"/>
      <c r="X416" s="62"/>
      <c r="Y416" s="62"/>
      <c r="Z416" s="62"/>
    </row>
    <row r="417">
      <c r="A417" s="62"/>
      <c r="B417" s="62" t="str">
        <f>IFERROR(__xludf.DUMMYFUNCTION("""COMPUTED_VALUE"""),"紹介")</f>
        <v>紹介</v>
      </c>
      <c r="C417" s="62"/>
      <c r="D417" s="62"/>
      <c r="E417" s="62"/>
      <c r="F417" s="62"/>
      <c r="G417" s="504">
        <f>IFERROR(__xludf.DUMMYFUNCTION("""COMPUTED_VALUE"""),0.0)</f>
        <v>0</v>
      </c>
      <c r="H417" s="62"/>
      <c r="I417" s="62"/>
      <c r="J417" s="62"/>
      <c r="K417" s="62"/>
      <c r="L417" s="504">
        <f>IFERROR(__xludf.DUMMYFUNCTION("""COMPUTED_VALUE"""),0.0)</f>
        <v>0</v>
      </c>
      <c r="M417" s="504">
        <f>IFERROR(__xludf.DUMMYFUNCTION("""COMPUTED_VALUE"""),0.0)</f>
        <v>0</v>
      </c>
      <c r="N417" s="504">
        <f>IFERROR(__xludf.DUMMYFUNCTION("""COMPUTED_VALUE"""),0.0)</f>
        <v>0</v>
      </c>
      <c r="O417" s="62"/>
      <c r="P417" s="62"/>
      <c r="Q417" s="62"/>
      <c r="R417" s="62"/>
      <c r="S417" s="62"/>
      <c r="T417" s="62"/>
      <c r="U417" s="62"/>
      <c r="V417" s="62"/>
      <c r="W417" s="62"/>
      <c r="X417" s="62"/>
      <c r="Y417" s="62"/>
      <c r="Z417" s="62"/>
    </row>
    <row r="418">
      <c r="A418" s="62"/>
      <c r="B418" s="62" t="str">
        <f>IFERROR(__xludf.DUMMYFUNCTION("""COMPUTED_VALUE"""),"仁子")</f>
        <v>仁子</v>
      </c>
      <c r="C418" s="62"/>
      <c r="D418" s="62"/>
      <c r="E418" s="62"/>
      <c r="F418" s="62"/>
      <c r="G418" s="504">
        <f>IFERROR(__xludf.DUMMYFUNCTION("""COMPUTED_VALUE"""),0.0)</f>
        <v>0</v>
      </c>
      <c r="H418" s="62"/>
      <c r="I418" s="62"/>
      <c r="J418" s="62"/>
      <c r="K418" s="62"/>
      <c r="L418" s="504">
        <f>IFERROR(__xludf.DUMMYFUNCTION("""COMPUTED_VALUE"""),0.0)</f>
        <v>0</v>
      </c>
      <c r="M418" s="504">
        <f>IFERROR(__xludf.DUMMYFUNCTION("""COMPUTED_VALUE"""),0.0)</f>
        <v>0</v>
      </c>
      <c r="N418" s="504">
        <f>IFERROR(__xludf.DUMMYFUNCTION("""COMPUTED_VALUE"""),0.0)</f>
        <v>0</v>
      </c>
      <c r="O418" s="62"/>
      <c r="P418" s="62"/>
      <c r="Q418" s="62"/>
      <c r="R418" s="62"/>
      <c r="S418" s="62"/>
      <c r="T418" s="62"/>
      <c r="U418" s="62"/>
      <c r="V418" s="62"/>
      <c r="W418" s="62"/>
      <c r="X418" s="62"/>
      <c r="Y418" s="62"/>
      <c r="Z418" s="62"/>
    </row>
    <row r="419">
      <c r="A419" s="62"/>
      <c r="B419" s="62" t="str">
        <f>IFERROR(__xludf.DUMMYFUNCTION("""COMPUTED_VALUE"""),"鈴木")</f>
        <v>鈴木</v>
      </c>
      <c r="C419" s="62">
        <f>IFERROR(__xludf.DUMMYFUNCTION("""COMPUTED_VALUE"""),10.0)</f>
        <v>10</v>
      </c>
      <c r="D419" s="62">
        <f>IFERROR(__xludf.DUMMYFUNCTION("""COMPUTED_VALUE"""),0.0)</f>
        <v>0</v>
      </c>
      <c r="E419" s="62"/>
      <c r="F419" s="62"/>
      <c r="G419" s="504">
        <f>IFERROR(__xludf.DUMMYFUNCTION("""COMPUTED_VALUE"""),0.0)</f>
        <v>0</v>
      </c>
      <c r="H419" s="62"/>
      <c r="I419" s="62">
        <f>IFERROR(__xludf.DUMMYFUNCTION("""COMPUTED_VALUE"""),1.0)</f>
        <v>1</v>
      </c>
      <c r="J419" s="552">
        <f>IFERROR(__xludf.DUMMYFUNCTION("""COMPUTED_VALUE"""),30000.0)</f>
        <v>30000</v>
      </c>
      <c r="K419" s="62"/>
      <c r="L419" s="504">
        <f>IFERROR(__xludf.DUMMYFUNCTION("""COMPUTED_VALUE"""),0.0)</f>
        <v>0</v>
      </c>
      <c r="M419" s="504">
        <f>IFERROR(__xludf.DUMMYFUNCTION("""COMPUTED_VALUE"""),0.1)</f>
        <v>0.1</v>
      </c>
      <c r="N419" s="504">
        <f>IFERROR(__xludf.DUMMYFUNCTION("""COMPUTED_VALUE"""),0.0)</f>
        <v>0</v>
      </c>
      <c r="O419" s="62"/>
      <c r="P419" s="62"/>
      <c r="Q419" s="62"/>
      <c r="R419" s="62"/>
      <c r="S419" s="62"/>
      <c r="T419" s="62"/>
      <c r="U419" s="62"/>
      <c r="V419" s="62"/>
      <c r="W419" s="62"/>
      <c r="X419" s="62"/>
      <c r="Y419" s="62"/>
      <c r="Z419" s="62"/>
    </row>
    <row r="420">
      <c r="A420" s="62"/>
      <c r="B420" s="62" t="str">
        <f>IFERROR(__xludf.DUMMYFUNCTION("""COMPUTED_VALUE"""),"仲間")</f>
        <v>仲間</v>
      </c>
      <c r="C420" s="62">
        <f>IFERROR(__xludf.DUMMYFUNCTION("""COMPUTED_VALUE"""),52.0)</f>
        <v>52</v>
      </c>
      <c r="D420" s="62">
        <f>IFERROR(__xludf.DUMMYFUNCTION("""COMPUTED_VALUE"""),6.0)</f>
        <v>6</v>
      </c>
      <c r="E420" s="62"/>
      <c r="F420" s="62">
        <f>IFERROR(__xludf.DUMMYFUNCTION("""COMPUTED_VALUE"""),4.0)</f>
        <v>4</v>
      </c>
      <c r="G420" s="504">
        <f>IFERROR(__xludf.DUMMYFUNCTION("""COMPUTED_VALUE"""),0.11538461538461539)</f>
        <v>0.1153846154</v>
      </c>
      <c r="H420" s="62">
        <f>IFERROR(__xludf.DUMMYFUNCTION("""COMPUTED_VALUE"""),3.0)</f>
        <v>3</v>
      </c>
      <c r="I420" s="62"/>
      <c r="J420" s="62"/>
      <c r="K420" s="62"/>
      <c r="L420" s="504">
        <f>IFERROR(__xludf.DUMMYFUNCTION("""COMPUTED_VALUE"""),0.057692307692307696)</f>
        <v>0.05769230769</v>
      </c>
      <c r="M420" s="504">
        <f>IFERROR(__xludf.DUMMYFUNCTION("""COMPUTED_VALUE"""),0.0)</f>
        <v>0</v>
      </c>
      <c r="N420" s="504">
        <f>IFERROR(__xludf.DUMMYFUNCTION("""COMPUTED_VALUE"""),0.0)</f>
        <v>0</v>
      </c>
      <c r="O420" s="62" t="str">
        <f>IFERROR(__xludf.DUMMYFUNCTION("""COMPUTED_VALUE"""),"リストE")</f>
        <v>リストE</v>
      </c>
      <c r="P420" s="553" t="str">
        <f>IFERROR(__xludf.DUMMYFUNCTION("""COMPUTED_VALUE"""),"祝日")</f>
        <v>祝日</v>
      </c>
      <c r="Q420" s="62"/>
      <c r="R420" s="62"/>
      <c r="S420" s="62"/>
      <c r="T420" s="62"/>
      <c r="U420" s="62"/>
      <c r="V420" s="62"/>
      <c r="W420" s="62"/>
      <c r="X420" s="62"/>
      <c r="Y420" s="62"/>
      <c r="Z420" s="62"/>
    </row>
    <row r="421">
      <c r="A421" s="62"/>
      <c r="B421" s="62"/>
      <c r="C421" s="62"/>
      <c r="D421" s="62"/>
      <c r="E421" s="62"/>
      <c r="F421" s="62"/>
      <c r="G421" s="504">
        <f>IFERROR(__xludf.DUMMYFUNCTION("""COMPUTED_VALUE"""),0.0)</f>
        <v>0</v>
      </c>
      <c r="H421" s="62"/>
      <c r="I421" s="62"/>
      <c r="J421" s="62"/>
      <c r="K421" s="62"/>
      <c r="L421" s="504">
        <f>IFERROR(__xludf.DUMMYFUNCTION("""COMPUTED_VALUE"""),0.0)</f>
        <v>0</v>
      </c>
      <c r="M421" s="504">
        <f>IFERROR(__xludf.DUMMYFUNCTION("""COMPUTED_VALUE"""),0.0)</f>
        <v>0</v>
      </c>
      <c r="N421" s="504">
        <f>IFERROR(__xludf.DUMMYFUNCTION("""COMPUTED_VALUE"""),0.0)</f>
        <v>0</v>
      </c>
      <c r="O421" s="62"/>
      <c r="P421" s="62"/>
      <c r="Q421" s="62"/>
      <c r="R421" s="62"/>
      <c r="S421" s="62"/>
      <c r="T421" s="62"/>
      <c r="U421" s="62"/>
      <c r="V421" s="62"/>
      <c r="W421" s="62"/>
      <c r="X421" s="62"/>
      <c r="Y421" s="62"/>
      <c r="Z421" s="62"/>
    </row>
    <row r="422">
      <c r="A422" s="62"/>
      <c r="B422" s="62" t="str">
        <f>IFERROR(__xludf.DUMMYFUNCTION("""COMPUTED_VALUE"""),"合計")</f>
        <v>合計</v>
      </c>
      <c r="C422" s="62">
        <f>IFERROR(__xludf.DUMMYFUNCTION("""COMPUTED_VALUE"""),183.0)</f>
        <v>183</v>
      </c>
      <c r="D422" s="62">
        <f>IFERROR(__xludf.DUMMYFUNCTION("""COMPUTED_VALUE"""),17.0)</f>
        <v>17</v>
      </c>
      <c r="E422" s="62">
        <f>IFERROR(__xludf.DUMMYFUNCTION("""COMPUTED_VALUE"""),1.0)</f>
        <v>1</v>
      </c>
      <c r="F422" s="62">
        <f>IFERROR(__xludf.DUMMYFUNCTION("""COMPUTED_VALUE"""),13.0)</f>
        <v>13</v>
      </c>
      <c r="G422" s="504">
        <f>IFERROR(__xludf.DUMMYFUNCTION("""COMPUTED_VALUE"""),0.09289617486338798)</f>
        <v>0.09289617486</v>
      </c>
      <c r="H422" s="62">
        <f>IFERROR(__xludf.DUMMYFUNCTION("""COMPUTED_VALUE"""),6.0)</f>
        <v>6</v>
      </c>
      <c r="I422" s="62">
        <f>IFERROR(__xludf.DUMMYFUNCTION("""COMPUTED_VALUE"""),4.0)</f>
        <v>4</v>
      </c>
      <c r="J422" s="552">
        <f>IFERROR(__xludf.DUMMYFUNCTION("""COMPUTED_VALUE"""),140000.0)</f>
        <v>140000</v>
      </c>
      <c r="K422" s="62">
        <f>IFERROR(__xludf.DUMMYFUNCTION("""COMPUTED_VALUE"""),0.0)</f>
        <v>0</v>
      </c>
      <c r="L422" s="504">
        <f>IFERROR(__xludf.DUMMYFUNCTION("""COMPUTED_VALUE"""),0.03278688524590164)</f>
        <v>0.03278688525</v>
      </c>
      <c r="M422" s="504">
        <f>IFERROR(__xludf.DUMMYFUNCTION("""COMPUTED_VALUE"""),0.02185792349726776)</f>
        <v>0.0218579235</v>
      </c>
      <c r="N422" s="504">
        <f>IFERROR(__xludf.DUMMYFUNCTION("""COMPUTED_VALUE"""),0.6666666666666666)</f>
        <v>0.6666666667</v>
      </c>
      <c r="O422" s="62"/>
      <c r="P422" s="62"/>
      <c r="Q422" s="62"/>
      <c r="R422" s="62"/>
      <c r="S422" s="62"/>
      <c r="T422" s="62"/>
      <c r="U422" s="62"/>
      <c r="V422" s="62"/>
      <c r="W422" s="62"/>
      <c r="X422" s="62"/>
      <c r="Y422" s="62"/>
      <c r="Z422" s="62"/>
    </row>
    <row r="423">
      <c r="A423" s="62" t="str">
        <f>IFERROR(__xludf.DUMMYFUNCTION("""COMPUTED_VALUE"""),"日付")</f>
        <v>日付</v>
      </c>
      <c r="B423" s="62" t="str">
        <f>IFERROR(__xludf.DUMMYFUNCTION("""COMPUTED_VALUE"""),"名前")</f>
        <v>名前</v>
      </c>
      <c r="C423" s="62" t="str">
        <f>IFERROR(__xludf.DUMMYFUNCTION("""COMPUTED_VALUE"""),"打電件数")</f>
        <v>打電件数</v>
      </c>
      <c r="D423" s="62" t="str">
        <f>IFERROR(__xludf.DUMMYFUNCTION("""COMPUTED_VALUE"""),"着電件数")</f>
        <v>着電件数</v>
      </c>
      <c r="E423" s="62" t="str">
        <f>IFERROR(__xludf.DUMMYFUNCTION("""COMPUTED_VALUE"""),"折り返し件数")</f>
        <v>折り返し件数</v>
      </c>
      <c r="F423" s="62" t="str">
        <f>IFERROR(__xludf.DUMMYFUNCTION("""COMPUTED_VALUE"""),"拒否")</f>
        <v>拒否</v>
      </c>
      <c r="G423" s="62" t="str">
        <f>IFERROR(__xludf.DUMMYFUNCTION("""COMPUTED_VALUE"""),"着電率")</f>
        <v>着電率</v>
      </c>
      <c r="H423" s="62" t="str">
        <f>IFERROR(__xludf.DUMMYFUNCTION("""COMPUTED_VALUE"""),"LINE登録")</f>
        <v>LINE登録</v>
      </c>
      <c r="I423" s="62" t="str">
        <f>IFERROR(__xludf.DUMMYFUNCTION("""COMPUTED_VALUE"""),"アカウント作成")</f>
        <v>アカウント作成</v>
      </c>
      <c r="J423" s="552" t="str">
        <f>IFERROR(__xludf.DUMMYFUNCTION("""COMPUTED_VALUE"""),"新規信用枠額")</f>
        <v>新規信用枠額</v>
      </c>
      <c r="K423" s="62" t="str">
        <f>IFERROR(__xludf.DUMMYFUNCTION("""COMPUTED_VALUE"""),"リスト死回線数")</f>
        <v>リスト死回線数</v>
      </c>
      <c r="L423" s="62" t="str">
        <f>IFERROR(__xludf.DUMMYFUNCTION("""COMPUTED_VALUE"""),"LINE率(打電から)")</f>
        <v>LINE率(打電から)</v>
      </c>
      <c r="M423" s="62" t="str">
        <f>IFERROR(__xludf.DUMMYFUNCTION("""COMPUTED_VALUE"""),"アカウント作成率(打電から)")</f>
        <v>アカウント作成率(打電から)</v>
      </c>
      <c r="N423" s="62" t="str">
        <f>IFERROR(__xludf.DUMMYFUNCTION("""COMPUTED_VALUE"""),"アカウント作成率(LINEから)")</f>
        <v>アカウント作成率(LINEから)</v>
      </c>
      <c r="O423" s="62" t="str">
        <f>IFERROR(__xludf.DUMMYFUNCTION("""COMPUTED_VALUE"""),"リスト名")</f>
        <v>リスト名</v>
      </c>
      <c r="P423" s="553" t="str">
        <f>IFERROR(__xludf.DUMMYFUNCTION("""COMPUTED_VALUE"""),"日本基準")</f>
        <v>日本基準</v>
      </c>
      <c r="Q423" s="62"/>
      <c r="R423" s="62"/>
      <c r="S423" s="62"/>
      <c r="T423" s="62"/>
      <c r="U423" s="62"/>
      <c r="V423" s="62"/>
      <c r="W423" s="62"/>
      <c r="X423" s="62"/>
      <c r="Y423" s="62"/>
      <c r="Z423" s="62"/>
    </row>
    <row r="424">
      <c r="A424" s="556">
        <f>IFERROR(__xludf.DUMMYFUNCTION("""COMPUTED_VALUE"""),45921.0)</f>
        <v>45921</v>
      </c>
      <c r="B424" s="62" t="str">
        <f>IFERROR(__xludf.DUMMYFUNCTION("""COMPUTED_VALUE"""),"あり")</f>
        <v>あり</v>
      </c>
      <c r="C424" s="62"/>
      <c r="D424" s="62"/>
      <c r="E424" s="62"/>
      <c r="F424" s="62"/>
      <c r="G424" s="504">
        <f>IFERROR(__xludf.DUMMYFUNCTION("""COMPUTED_VALUE"""),0.0)</f>
        <v>0</v>
      </c>
      <c r="H424" s="62">
        <f>IFERROR(__xludf.DUMMYFUNCTION("""COMPUTED_VALUE"""),3.0)</f>
        <v>3</v>
      </c>
      <c r="I424" s="62"/>
      <c r="J424" s="62"/>
      <c r="K424" s="62"/>
      <c r="L424" s="504">
        <f>IFERROR(__xludf.DUMMYFUNCTION("""COMPUTED_VALUE"""),0.0)</f>
        <v>0</v>
      </c>
      <c r="M424" s="504">
        <f>IFERROR(__xludf.DUMMYFUNCTION("""COMPUTED_VALUE"""),0.0)</f>
        <v>0</v>
      </c>
      <c r="N424" s="504">
        <f>IFERROR(__xludf.DUMMYFUNCTION("""COMPUTED_VALUE"""),0.0)</f>
        <v>0</v>
      </c>
      <c r="O424" s="62"/>
      <c r="P424" s="62"/>
      <c r="Q424" s="62"/>
      <c r="R424" s="62"/>
      <c r="S424" s="62"/>
      <c r="T424" s="62"/>
      <c r="U424" s="62"/>
      <c r="V424" s="62"/>
      <c r="W424" s="62"/>
      <c r="X424" s="62"/>
      <c r="Y424" s="62"/>
      <c r="Z424" s="62"/>
    </row>
    <row r="425">
      <c r="A425" s="62"/>
      <c r="B425" s="62" t="str">
        <f>IFERROR(__xludf.DUMMYFUNCTION("""COMPUTED_VALUE"""),"しょうま")</f>
        <v>しょうま</v>
      </c>
      <c r="C425" s="62">
        <f>IFERROR(__xludf.DUMMYFUNCTION("""COMPUTED_VALUE"""),108.0)</f>
        <v>108</v>
      </c>
      <c r="D425" s="62">
        <f>IFERROR(__xludf.DUMMYFUNCTION("""COMPUTED_VALUE"""),4.0)</f>
        <v>4</v>
      </c>
      <c r="E425" s="62"/>
      <c r="F425" s="62">
        <f>IFERROR(__xludf.DUMMYFUNCTION("""COMPUTED_VALUE"""),4.0)</f>
        <v>4</v>
      </c>
      <c r="G425" s="504">
        <f>IFERROR(__xludf.DUMMYFUNCTION("""COMPUTED_VALUE"""),0.037037037037037035)</f>
        <v>0.03703703704</v>
      </c>
      <c r="H425" s="62">
        <f>IFERROR(__xludf.DUMMYFUNCTION("""COMPUTED_VALUE"""),5.0)</f>
        <v>5</v>
      </c>
      <c r="I425" s="62">
        <f>IFERROR(__xludf.DUMMYFUNCTION("""COMPUTED_VALUE"""),5.0)</f>
        <v>5</v>
      </c>
      <c r="J425" s="552">
        <f>IFERROR(__xludf.DUMMYFUNCTION("""COMPUTED_VALUE"""),210000.0)</f>
        <v>210000</v>
      </c>
      <c r="K425" s="62">
        <f>IFERROR(__xludf.DUMMYFUNCTION("""COMPUTED_VALUE"""),5.0)</f>
        <v>5</v>
      </c>
      <c r="L425" s="504">
        <f>IFERROR(__xludf.DUMMYFUNCTION("""COMPUTED_VALUE"""),0.046296296296296294)</f>
        <v>0.0462962963</v>
      </c>
      <c r="M425" s="504">
        <f>IFERROR(__xludf.DUMMYFUNCTION("""COMPUTED_VALUE"""),0.046296296296296294)</f>
        <v>0.0462962963</v>
      </c>
      <c r="N425" s="504">
        <f>IFERROR(__xludf.DUMMYFUNCTION("""COMPUTED_VALUE"""),1.0)</f>
        <v>1</v>
      </c>
      <c r="O425" s="62" t="str">
        <f>IFERROR(__xludf.DUMMYFUNCTION("""COMPUTED_VALUE"""),"リストE")</f>
        <v>リストE</v>
      </c>
      <c r="P425" s="553" t="str">
        <f>IFERROR(__xludf.DUMMYFUNCTION("""COMPUTED_VALUE"""),"祝日")</f>
        <v>祝日</v>
      </c>
      <c r="Q425" s="62"/>
      <c r="R425" s="62"/>
      <c r="S425" s="62"/>
      <c r="T425" s="62"/>
      <c r="U425" s="62"/>
      <c r="V425" s="62"/>
      <c r="W425" s="62"/>
      <c r="X425" s="62"/>
      <c r="Y425" s="62"/>
      <c r="Z425" s="62"/>
    </row>
    <row r="426">
      <c r="A426" s="62"/>
      <c r="B426" s="62"/>
      <c r="C426" s="62"/>
      <c r="D426" s="62"/>
      <c r="E426" s="62"/>
      <c r="F426" s="62"/>
      <c r="G426" s="504">
        <f>IFERROR(__xludf.DUMMYFUNCTION("""COMPUTED_VALUE"""),0.0)</f>
        <v>0</v>
      </c>
      <c r="H426" s="62"/>
      <c r="I426" s="62"/>
      <c r="J426" s="62"/>
      <c r="K426" s="62"/>
      <c r="L426" s="504">
        <f>IFERROR(__xludf.DUMMYFUNCTION("""COMPUTED_VALUE"""),0.0)</f>
        <v>0</v>
      </c>
      <c r="M426" s="504">
        <f>IFERROR(__xludf.DUMMYFUNCTION("""COMPUTED_VALUE"""),0.0)</f>
        <v>0</v>
      </c>
      <c r="N426" s="504">
        <f>IFERROR(__xludf.DUMMYFUNCTION("""COMPUTED_VALUE"""),0.0)</f>
        <v>0</v>
      </c>
      <c r="O426" s="62"/>
      <c r="P426" s="62"/>
      <c r="Q426" s="62"/>
      <c r="R426" s="62"/>
      <c r="S426" s="62"/>
      <c r="T426" s="62"/>
      <c r="U426" s="62"/>
      <c r="V426" s="62"/>
      <c r="W426" s="62"/>
      <c r="X426" s="62"/>
      <c r="Y426" s="62"/>
      <c r="Z426" s="62"/>
    </row>
    <row r="427">
      <c r="A427" s="62"/>
      <c r="B427" s="62" t="str">
        <f>IFERROR(__xludf.DUMMYFUNCTION("""COMPUTED_VALUE"""),"ジョーナ")</f>
        <v>ジョーナ</v>
      </c>
      <c r="C427" s="62"/>
      <c r="D427" s="62"/>
      <c r="E427" s="62"/>
      <c r="F427" s="62"/>
      <c r="G427" s="504">
        <f>IFERROR(__xludf.DUMMYFUNCTION("""COMPUTED_VALUE"""),0.0)</f>
        <v>0</v>
      </c>
      <c r="H427" s="62"/>
      <c r="I427" s="62"/>
      <c r="J427" s="62"/>
      <c r="K427" s="62"/>
      <c r="L427" s="504">
        <f>IFERROR(__xludf.DUMMYFUNCTION("""COMPUTED_VALUE"""),0.0)</f>
        <v>0</v>
      </c>
      <c r="M427" s="504">
        <f>IFERROR(__xludf.DUMMYFUNCTION("""COMPUTED_VALUE"""),0.0)</f>
        <v>0</v>
      </c>
      <c r="N427" s="504">
        <f>IFERROR(__xludf.DUMMYFUNCTION("""COMPUTED_VALUE"""),0.0)</f>
        <v>0</v>
      </c>
      <c r="O427" s="62"/>
      <c r="P427" s="62"/>
      <c r="Q427" s="62"/>
      <c r="R427" s="62"/>
      <c r="S427" s="62"/>
      <c r="T427" s="62"/>
      <c r="U427" s="62"/>
      <c r="V427" s="62"/>
      <c r="W427" s="62"/>
      <c r="X427" s="62"/>
      <c r="Y427" s="62"/>
      <c r="Z427" s="62"/>
    </row>
    <row r="428">
      <c r="A428" s="62"/>
      <c r="B428" s="62" t="str">
        <f>IFERROR(__xludf.DUMMYFUNCTION("""COMPUTED_VALUE"""),"武田")</f>
        <v>武田</v>
      </c>
      <c r="C428" s="62"/>
      <c r="D428" s="62"/>
      <c r="E428" s="62"/>
      <c r="F428" s="62"/>
      <c r="G428" s="504">
        <f>IFERROR(__xludf.DUMMYFUNCTION("""COMPUTED_VALUE"""),0.0)</f>
        <v>0</v>
      </c>
      <c r="H428" s="62"/>
      <c r="I428" s="62"/>
      <c r="J428" s="62"/>
      <c r="K428" s="62"/>
      <c r="L428" s="504">
        <f>IFERROR(__xludf.DUMMYFUNCTION("""COMPUTED_VALUE"""),0.0)</f>
        <v>0</v>
      </c>
      <c r="M428" s="504">
        <f>IFERROR(__xludf.DUMMYFUNCTION("""COMPUTED_VALUE"""),0.0)</f>
        <v>0</v>
      </c>
      <c r="N428" s="504">
        <f>IFERROR(__xludf.DUMMYFUNCTION("""COMPUTED_VALUE"""),0.0)</f>
        <v>0</v>
      </c>
      <c r="O428" s="62"/>
      <c r="P428" s="62"/>
      <c r="Q428" s="62"/>
      <c r="R428" s="62"/>
      <c r="S428" s="62"/>
      <c r="T428" s="62"/>
      <c r="U428" s="62"/>
      <c r="V428" s="62"/>
      <c r="W428" s="62"/>
      <c r="X428" s="62"/>
      <c r="Y428" s="62"/>
      <c r="Z428" s="62"/>
    </row>
    <row r="429">
      <c r="A429" s="62"/>
      <c r="B429" s="62" t="str">
        <f>IFERROR(__xludf.DUMMYFUNCTION("""COMPUTED_VALUE"""),"高木")</f>
        <v>高木</v>
      </c>
      <c r="C429" s="62"/>
      <c r="D429" s="62"/>
      <c r="E429" s="62"/>
      <c r="F429" s="62"/>
      <c r="G429" s="504">
        <f>IFERROR(__xludf.DUMMYFUNCTION("""COMPUTED_VALUE"""),0.0)</f>
        <v>0</v>
      </c>
      <c r="H429" s="62"/>
      <c r="I429" s="62"/>
      <c r="J429" s="62"/>
      <c r="K429" s="62"/>
      <c r="L429" s="504">
        <f>IFERROR(__xludf.DUMMYFUNCTION("""COMPUTED_VALUE"""),0.0)</f>
        <v>0</v>
      </c>
      <c r="M429" s="504">
        <f>IFERROR(__xludf.DUMMYFUNCTION("""COMPUTED_VALUE"""),0.0)</f>
        <v>0</v>
      </c>
      <c r="N429" s="504">
        <f>IFERROR(__xludf.DUMMYFUNCTION("""COMPUTED_VALUE"""),0.0)</f>
        <v>0</v>
      </c>
      <c r="O429" s="62"/>
      <c r="P429" s="62"/>
      <c r="Q429" s="62"/>
      <c r="R429" s="62"/>
      <c r="S429" s="62"/>
      <c r="T429" s="62"/>
      <c r="U429" s="62"/>
      <c r="V429" s="62"/>
      <c r="W429" s="62"/>
      <c r="X429" s="62"/>
      <c r="Y429" s="62"/>
      <c r="Z429" s="62"/>
    </row>
    <row r="430">
      <c r="A430" s="62"/>
      <c r="B430" s="62"/>
      <c r="C430" s="62"/>
      <c r="D430" s="62"/>
      <c r="E430" s="62"/>
      <c r="F430" s="62"/>
      <c r="G430" s="504">
        <f>IFERROR(__xludf.DUMMYFUNCTION("""COMPUTED_VALUE"""),0.0)</f>
        <v>0</v>
      </c>
      <c r="H430" s="62"/>
      <c r="I430" s="62"/>
      <c r="J430" s="62"/>
      <c r="K430" s="62"/>
      <c r="L430" s="504">
        <f>IFERROR(__xludf.DUMMYFUNCTION("""COMPUTED_VALUE"""),0.0)</f>
        <v>0</v>
      </c>
      <c r="M430" s="504">
        <f>IFERROR(__xludf.DUMMYFUNCTION("""COMPUTED_VALUE"""),0.0)</f>
        <v>0</v>
      </c>
      <c r="N430" s="504">
        <f>IFERROR(__xludf.DUMMYFUNCTION("""COMPUTED_VALUE"""),0.0)</f>
        <v>0</v>
      </c>
      <c r="O430" s="62"/>
      <c r="P430" s="62"/>
      <c r="Q430" s="62"/>
      <c r="R430" s="62"/>
      <c r="S430" s="62"/>
      <c r="T430" s="62"/>
      <c r="U430" s="62"/>
      <c r="V430" s="62"/>
      <c r="W430" s="62"/>
      <c r="X430" s="62"/>
      <c r="Y430" s="62"/>
      <c r="Z430" s="62"/>
    </row>
    <row r="431">
      <c r="A431" s="62"/>
      <c r="B431" s="62" t="str">
        <f>IFERROR(__xludf.DUMMYFUNCTION("""COMPUTED_VALUE"""),"大谷")</f>
        <v>大谷</v>
      </c>
      <c r="C431" s="62"/>
      <c r="D431" s="62"/>
      <c r="E431" s="62"/>
      <c r="F431" s="62"/>
      <c r="G431" s="504">
        <f>IFERROR(__xludf.DUMMYFUNCTION("""COMPUTED_VALUE"""),0.0)</f>
        <v>0</v>
      </c>
      <c r="H431" s="62"/>
      <c r="I431" s="62"/>
      <c r="J431" s="62"/>
      <c r="K431" s="62"/>
      <c r="L431" s="504">
        <f>IFERROR(__xludf.DUMMYFUNCTION("""COMPUTED_VALUE"""),0.0)</f>
        <v>0</v>
      </c>
      <c r="M431" s="504">
        <f>IFERROR(__xludf.DUMMYFUNCTION("""COMPUTED_VALUE"""),0.0)</f>
        <v>0</v>
      </c>
      <c r="N431" s="504">
        <f>IFERROR(__xludf.DUMMYFUNCTION("""COMPUTED_VALUE"""),0.0)</f>
        <v>0</v>
      </c>
      <c r="O431" s="62"/>
      <c r="P431" s="62"/>
      <c r="Q431" s="62"/>
      <c r="R431" s="62"/>
      <c r="S431" s="62"/>
      <c r="T431" s="62"/>
      <c r="U431" s="62"/>
      <c r="V431" s="62"/>
      <c r="W431" s="62"/>
      <c r="X431" s="62"/>
      <c r="Y431" s="62"/>
      <c r="Z431" s="62"/>
    </row>
    <row r="432">
      <c r="A432" s="62"/>
      <c r="B432" s="62"/>
      <c r="C432" s="62"/>
      <c r="D432" s="62"/>
      <c r="E432" s="62"/>
      <c r="F432" s="62"/>
      <c r="G432" s="504">
        <f>IFERROR(__xludf.DUMMYFUNCTION("""COMPUTED_VALUE"""),0.0)</f>
        <v>0</v>
      </c>
      <c r="H432" s="62"/>
      <c r="I432" s="62"/>
      <c r="J432" s="62"/>
      <c r="K432" s="62"/>
      <c r="L432" s="504">
        <f>IFERROR(__xludf.DUMMYFUNCTION("""COMPUTED_VALUE"""),0.0)</f>
        <v>0</v>
      </c>
      <c r="M432" s="504">
        <f>IFERROR(__xludf.DUMMYFUNCTION("""COMPUTED_VALUE"""),0.0)</f>
        <v>0</v>
      </c>
      <c r="N432" s="504">
        <f>IFERROR(__xludf.DUMMYFUNCTION("""COMPUTED_VALUE"""),0.0)</f>
        <v>0</v>
      </c>
      <c r="O432" s="62"/>
      <c r="P432" s="62"/>
      <c r="Q432" s="62"/>
      <c r="R432" s="62"/>
      <c r="S432" s="62"/>
      <c r="T432" s="62"/>
      <c r="U432" s="62"/>
      <c r="V432" s="62"/>
      <c r="W432" s="62"/>
      <c r="X432" s="62"/>
      <c r="Y432" s="62"/>
      <c r="Z432" s="62"/>
    </row>
    <row r="433">
      <c r="A433" s="62"/>
      <c r="B433" s="62" t="str">
        <f>IFERROR(__xludf.DUMMYFUNCTION("""COMPUTED_VALUE"""),"森")</f>
        <v>森</v>
      </c>
      <c r="C433" s="62"/>
      <c r="D433" s="62"/>
      <c r="E433" s="62"/>
      <c r="F433" s="62"/>
      <c r="G433" s="504">
        <f>IFERROR(__xludf.DUMMYFUNCTION("""COMPUTED_VALUE"""),0.0)</f>
        <v>0</v>
      </c>
      <c r="H433" s="62"/>
      <c r="I433" s="62"/>
      <c r="J433" s="62"/>
      <c r="K433" s="62"/>
      <c r="L433" s="504">
        <f>IFERROR(__xludf.DUMMYFUNCTION("""COMPUTED_VALUE"""),0.0)</f>
        <v>0</v>
      </c>
      <c r="M433" s="504">
        <f>IFERROR(__xludf.DUMMYFUNCTION("""COMPUTED_VALUE"""),0.0)</f>
        <v>0</v>
      </c>
      <c r="N433" s="504">
        <f>IFERROR(__xludf.DUMMYFUNCTION("""COMPUTED_VALUE"""),0.0)</f>
        <v>0</v>
      </c>
      <c r="O433" s="62"/>
      <c r="P433" s="62"/>
      <c r="Q433" s="62"/>
      <c r="R433" s="62"/>
      <c r="S433" s="62"/>
      <c r="T433" s="62"/>
      <c r="U433" s="62"/>
      <c r="V433" s="62"/>
      <c r="W433" s="62"/>
      <c r="X433" s="62"/>
      <c r="Y433" s="62"/>
      <c r="Z433" s="62"/>
    </row>
    <row r="434">
      <c r="A434" s="62"/>
      <c r="B434" s="62"/>
      <c r="C434" s="62"/>
      <c r="D434" s="62"/>
      <c r="E434" s="62"/>
      <c r="F434" s="62"/>
      <c r="G434" s="504">
        <f>IFERROR(__xludf.DUMMYFUNCTION("""COMPUTED_VALUE"""),0.0)</f>
        <v>0</v>
      </c>
      <c r="H434" s="62"/>
      <c r="I434" s="62"/>
      <c r="J434" s="62"/>
      <c r="K434" s="62"/>
      <c r="L434" s="504">
        <f>IFERROR(__xludf.DUMMYFUNCTION("""COMPUTED_VALUE"""),0.0)</f>
        <v>0</v>
      </c>
      <c r="M434" s="504">
        <f>IFERROR(__xludf.DUMMYFUNCTION("""COMPUTED_VALUE"""),0.0)</f>
        <v>0</v>
      </c>
      <c r="N434" s="504">
        <f>IFERROR(__xludf.DUMMYFUNCTION("""COMPUTED_VALUE"""),0.0)</f>
        <v>0</v>
      </c>
      <c r="O434" s="62"/>
      <c r="P434" s="62"/>
      <c r="Q434" s="62"/>
      <c r="R434" s="62"/>
      <c r="S434" s="62"/>
      <c r="T434" s="62"/>
      <c r="U434" s="62"/>
      <c r="V434" s="62"/>
      <c r="W434" s="62"/>
      <c r="X434" s="62"/>
      <c r="Y434" s="62"/>
      <c r="Z434" s="62"/>
    </row>
    <row r="435">
      <c r="A435" s="62"/>
      <c r="B435" s="62" t="str">
        <f>IFERROR(__xludf.DUMMYFUNCTION("""COMPUTED_VALUE"""),"金子")</f>
        <v>金子</v>
      </c>
      <c r="C435" s="62"/>
      <c r="D435" s="62"/>
      <c r="E435" s="62"/>
      <c r="F435" s="62"/>
      <c r="G435" s="504">
        <f>IFERROR(__xludf.DUMMYFUNCTION("""COMPUTED_VALUE"""),0.0)</f>
        <v>0</v>
      </c>
      <c r="H435" s="62"/>
      <c r="I435" s="62"/>
      <c r="J435" s="62"/>
      <c r="K435" s="62"/>
      <c r="L435" s="504">
        <f>IFERROR(__xludf.DUMMYFUNCTION("""COMPUTED_VALUE"""),0.0)</f>
        <v>0</v>
      </c>
      <c r="M435" s="504">
        <f>IFERROR(__xludf.DUMMYFUNCTION("""COMPUTED_VALUE"""),0.0)</f>
        <v>0</v>
      </c>
      <c r="N435" s="504">
        <f>IFERROR(__xludf.DUMMYFUNCTION("""COMPUTED_VALUE"""),0.0)</f>
        <v>0</v>
      </c>
      <c r="O435" s="62"/>
      <c r="P435" s="62"/>
      <c r="Q435" s="62"/>
      <c r="R435" s="62"/>
      <c r="S435" s="62"/>
      <c r="T435" s="62"/>
      <c r="U435" s="62"/>
      <c r="V435" s="62"/>
      <c r="W435" s="62"/>
      <c r="X435" s="62"/>
      <c r="Y435" s="62"/>
      <c r="Z435" s="62"/>
    </row>
    <row r="436">
      <c r="A436" s="62"/>
      <c r="B436" s="62"/>
      <c r="C436" s="62"/>
      <c r="D436" s="62"/>
      <c r="E436" s="62"/>
      <c r="F436" s="62"/>
      <c r="G436" s="504">
        <f>IFERROR(__xludf.DUMMYFUNCTION("""COMPUTED_VALUE"""),0.0)</f>
        <v>0</v>
      </c>
      <c r="H436" s="62"/>
      <c r="I436" s="62"/>
      <c r="J436" s="62"/>
      <c r="K436" s="62"/>
      <c r="L436" s="504">
        <f>IFERROR(__xludf.DUMMYFUNCTION("""COMPUTED_VALUE"""),0.0)</f>
        <v>0</v>
      </c>
      <c r="M436" s="504">
        <f>IFERROR(__xludf.DUMMYFUNCTION("""COMPUTED_VALUE"""),0.0)</f>
        <v>0</v>
      </c>
      <c r="N436" s="504">
        <f>IFERROR(__xludf.DUMMYFUNCTION("""COMPUTED_VALUE"""),0.0)</f>
        <v>0</v>
      </c>
      <c r="O436" s="62"/>
      <c r="P436" s="62"/>
      <c r="Q436" s="62"/>
      <c r="R436" s="62"/>
      <c r="S436" s="62"/>
      <c r="T436" s="62"/>
      <c r="U436" s="62"/>
      <c r="V436" s="62"/>
      <c r="W436" s="62"/>
      <c r="X436" s="62"/>
      <c r="Y436" s="62"/>
      <c r="Z436" s="62"/>
    </row>
    <row r="437">
      <c r="A437" s="62"/>
      <c r="B437" s="552" t="str">
        <f>IFERROR(__xludf.DUMMYFUNCTION("""COMPUTED_VALUE"""),"SMS")</f>
        <v>SMS</v>
      </c>
      <c r="C437" s="62"/>
      <c r="D437" s="62"/>
      <c r="E437" s="62"/>
      <c r="F437" s="62"/>
      <c r="G437" s="504">
        <f>IFERROR(__xludf.DUMMYFUNCTION("""COMPUTED_VALUE"""),0.0)</f>
        <v>0</v>
      </c>
      <c r="H437" s="62"/>
      <c r="I437" s="62">
        <f>IFERROR(__xludf.DUMMYFUNCTION("""COMPUTED_VALUE"""),1.0)</f>
        <v>1</v>
      </c>
      <c r="J437" s="552">
        <f>IFERROR(__xludf.DUMMYFUNCTION("""COMPUTED_VALUE"""),50000.0)</f>
        <v>50000</v>
      </c>
      <c r="K437" s="62"/>
      <c r="L437" s="504">
        <f>IFERROR(__xludf.DUMMYFUNCTION("""COMPUTED_VALUE"""),0.0)</f>
        <v>0</v>
      </c>
      <c r="M437" s="504">
        <f>IFERROR(__xludf.DUMMYFUNCTION("""COMPUTED_VALUE"""),0.0)</f>
        <v>0</v>
      </c>
      <c r="N437" s="504">
        <f>IFERROR(__xludf.DUMMYFUNCTION("""COMPUTED_VALUE"""),0.0)</f>
        <v>0</v>
      </c>
      <c r="O437" s="62"/>
      <c r="P437" s="62"/>
      <c r="Q437" s="62"/>
      <c r="R437" s="62"/>
      <c r="S437" s="62"/>
      <c r="T437" s="62"/>
      <c r="U437" s="62"/>
      <c r="V437" s="62"/>
      <c r="W437" s="62"/>
      <c r="X437" s="62"/>
      <c r="Y437" s="62"/>
      <c r="Z437" s="62"/>
    </row>
    <row r="438">
      <c r="A438" s="62"/>
      <c r="B438" s="62" t="str">
        <f>IFERROR(__xludf.DUMMYFUNCTION("""COMPUTED_VALUE"""),"紹介")</f>
        <v>紹介</v>
      </c>
      <c r="C438" s="62"/>
      <c r="D438" s="62"/>
      <c r="E438" s="62"/>
      <c r="F438" s="62"/>
      <c r="G438" s="504">
        <f>IFERROR(__xludf.DUMMYFUNCTION("""COMPUTED_VALUE"""),0.0)</f>
        <v>0</v>
      </c>
      <c r="H438" s="62"/>
      <c r="I438" s="62"/>
      <c r="J438" s="62"/>
      <c r="K438" s="62"/>
      <c r="L438" s="504">
        <f>IFERROR(__xludf.DUMMYFUNCTION("""COMPUTED_VALUE"""),0.0)</f>
        <v>0</v>
      </c>
      <c r="M438" s="504">
        <f>IFERROR(__xludf.DUMMYFUNCTION("""COMPUTED_VALUE"""),0.0)</f>
        <v>0</v>
      </c>
      <c r="N438" s="504">
        <f>IFERROR(__xludf.DUMMYFUNCTION("""COMPUTED_VALUE"""),0.0)</f>
        <v>0</v>
      </c>
      <c r="O438" s="62"/>
      <c r="P438" s="62"/>
      <c r="Q438" s="62"/>
      <c r="R438" s="62"/>
      <c r="S438" s="62"/>
      <c r="T438" s="62"/>
      <c r="U438" s="62"/>
      <c r="V438" s="62"/>
      <c r="W438" s="62"/>
      <c r="X438" s="62"/>
      <c r="Y438" s="62"/>
      <c r="Z438" s="62"/>
    </row>
    <row r="439">
      <c r="A439" s="62"/>
      <c r="B439" s="62" t="str">
        <f>IFERROR(__xludf.DUMMYFUNCTION("""COMPUTED_VALUE"""),"仁子")</f>
        <v>仁子</v>
      </c>
      <c r="C439" s="62"/>
      <c r="D439" s="62"/>
      <c r="E439" s="62"/>
      <c r="F439" s="62"/>
      <c r="G439" s="504">
        <f>IFERROR(__xludf.DUMMYFUNCTION("""COMPUTED_VALUE"""),0.0)</f>
        <v>0</v>
      </c>
      <c r="H439" s="62"/>
      <c r="I439" s="62">
        <f>IFERROR(__xludf.DUMMYFUNCTION("""COMPUTED_VALUE"""),2.0)</f>
        <v>2</v>
      </c>
      <c r="J439" s="552">
        <f>IFERROR(__xludf.DUMMYFUNCTION("""COMPUTED_VALUE"""),130000.0)</f>
        <v>130000</v>
      </c>
      <c r="K439" s="62"/>
      <c r="L439" s="504">
        <f>IFERROR(__xludf.DUMMYFUNCTION("""COMPUTED_VALUE"""),0.0)</f>
        <v>0</v>
      </c>
      <c r="M439" s="504">
        <f>IFERROR(__xludf.DUMMYFUNCTION("""COMPUTED_VALUE"""),0.0)</f>
        <v>0</v>
      </c>
      <c r="N439" s="504">
        <f>IFERROR(__xludf.DUMMYFUNCTION("""COMPUTED_VALUE"""),0.0)</f>
        <v>0</v>
      </c>
      <c r="O439" s="62"/>
      <c r="P439" s="62"/>
      <c r="Q439" s="62"/>
      <c r="R439" s="62"/>
      <c r="S439" s="62"/>
      <c r="T439" s="62"/>
      <c r="U439" s="62"/>
      <c r="V439" s="62"/>
      <c r="W439" s="62"/>
      <c r="X439" s="62"/>
      <c r="Y439" s="62"/>
      <c r="Z439" s="62"/>
    </row>
    <row r="440">
      <c r="A440" s="62"/>
      <c r="B440" s="62" t="str">
        <f>IFERROR(__xludf.DUMMYFUNCTION("""COMPUTED_VALUE"""),"鈴木")</f>
        <v>鈴木</v>
      </c>
      <c r="C440" s="62"/>
      <c r="D440" s="62"/>
      <c r="E440" s="62"/>
      <c r="F440" s="62"/>
      <c r="G440" s="504">
        <f>IFERROR(__xludf.DUMMYFUNCTION("""COMPUTED_VALUE"""),0.0)</f>
        <v>0</v>
      </c>
      <c r="H440" s="62"/>
      <c r="I440" s="62"/>
      <c r="J440" s="62"/>
      <c r="K440" s="62"/>
      <c r="L440" s="504">
        <f>IFERROR(__xludf.DUMMYFUNCTION("""COMPUTED_VALUE"""),0.0)</f>
        <v>0</v>
      </c>
      <c r="M440" s="504">
        <f>IFERROR(__xludf.DUMMYFUNCTION("""COMPUTED_VALUE"""),0.0)</f>
        <v>0</v>
      </c>
      <c r="N440" s="504">
        <f>IFERROR(__xludf.DUMMYFUNCTION("""COMPUTED_VALUE"""),0.0)</f>
        <v>0</v>
      </c>
      <c r="O440" s="62"/>
      <c r="P440" s="62"/>
      <c r="Q440" s="62"/>
      <c r="R440" s="62"/>
      <c r="S440" s="62"/>
      <c r="T440" s="62"/>
      <c r="U440" s="62"/>
      <c r="V440" s="62"/>
      <c r="W440" s="62"/>
      <c r="X440" s="62"/>
      <c r="Y440" s="62"/>
      <c r="Z440" s="62"/>
    </row>
    <row r="441">
      <c r="A441" s="62"/>
      <c r="B441" s="62" t="str">
        <f>IFERROR(__xludf.DUMMYFUNCTION("""COMPUTED_VALUE"""),"仲間")</f>
        <v>仲間</v>
      </c>
      <c r="C441" s="62"/>
      <c r="D441" s="62"/>
      <c r="E441" s="62"/>
      <c r="F441" s="62"/>
      <c r="G441" s="504">
        <f>IFERROR(__xludf.DUMMYFUNCTION("""COMPUTED_VALUE"""),0.0)</f>
        <v>0</v>
      </c>
      <c r="H441" s="62"/>
      <c r="I441" s="62">
        <f>IFERROR(__xludf.DUMMYFUNCTION("""COMPUTED_VALUE"""),1.0)</f>
        <v>1</v>
      </c>
      <c r="J441" s="552">
        <f>IFERROR(__xludf.DUMMYFUNCTION("""COMPUTED_VALUE"""),50000.0)</f>
        <v>50000</v>
      </c>
      <c r="K441" s="62"/>
      <c r="L441" s="504">
        <f>IFERROR(__xludf.DUMMYFUNCTION("""COMPUTED_VALUE"""),0.0)</f>
        <v>0</v>
      </c>
      <c r="M441" s="504">
        <f>IFERROR(__xludf.DUMMYFUNCTION("""COMPUTED_VALUE"""),0.0)</f>
        <v>0</v>
      </c>
      <c r="N441" s="504">
        <f>IFERROR(__xludf.DUMMYFUNCTION("""COMPUTED_VALUE"""),0.0)</f>
        <v>0</v>
      </c>
      <c r="O441" s="62" t="str">
        <f>IFERROR(__xludf.DUMMYFUNCTION("""COMPUTED_VALUE"""),"リストE")</f>
        <v>リストE</v>
      </c>
      <c r="P441" s="553" t="str">
        <f>IFERROR(__xludf.DUMMYFUNCTION("""COMPUTED_VALUE"""),"平日")</f>
        <v>平日</v>
      </c>
      <c r="Q441" s="62"/>
      <c r="R441" s="62"/>
      <c r="S441" s="62"/>
      <c r="T441" s="62"/>
      <c r="U441" s="62"/>
      <c r="V441" s="62"/>
      <c r="W441" s="62"/>
      <c r="X441" s="62"/>
      <c r="Y441" s="62"/>
      <c r="Z441" s="62"/>
    </row>
    <row r="442">
      <c r="A442" s="62"/>
      <c r="B442" s="62"/>
      <c r="C442" s="62"/>
      <c r="D442" s="62"/>
      <c r="E442" s="62"/>
      <c r="F442" s="62"/>
      <c r="G442" s="504">
        <f>IFERROR(__xludf.DUMMYFUNCTION("""COMPUTED_VALUE"""),0.0)</f>
        <v>0</v>
      </c>
      <c r="H442" s="62"/>
      <c r="I442" s="62"/>
      <c r="J442" s="62"/>
      <c r="K442" s="62"/>
      <c r="L442" s="504">
        <f>IFERROR(__xludf.DUMMYFUNCTION("""COMPUTED_VALUE"""),0.0)</f>
        <v>0</v>
      </c>
      <c r="M442" s="504">
        <f>IFERROR(__xludf.DUMMYFUNCTION("""COMPUTED_VALUE"""),0.0)</f>
        <v>0</v>
      </c>
      <c r="N442" s="504">
        <f>IFERROR(__xludf.DUMMYFUNCTION("""COMPUTED_VALUE"""),0.0)</f>
        <v>0</v>
      </c>
      <c r="O442" s="62"/>
      <c r="P442" s="62"/>
      <c r="Q442" s="62"/>
      <c r="R442" s="62"/>
      <c r="S442" s="62"/>
      <c r="T442" s="62"/>
      <c r="U442" s="62"/>
      <c r="V442" s="62"/>
      <c r="W442" s="62"/>
      <c r="X442" s="62"/>
      <c r="Y442" s="62"/>
      <c r="Z442" s="62"/>
    </row>
    <row r="443">
      <c r="A443" s="62"/>
      <c r="B443" s="62" t="str">
        <f>IFERROR(__xludf.DUMMYFUNCTION("""COMPUTED_VALUE"""),"合計")</f>
        <v>合計</v>
      </c>
      <c r="C443" s="62">
        <f>IFERROR(__xludf.DUMMYFUNCTION("""COMPUTED_VALUE"""),108.0)</f>
        <v>108</v>
      </c>
      <c r="D443" s="62">
        <f>IFERROR(__xludf.DUMMYFUNCTION("""COMPUTED_VALUE"""),4.0)</f>
        <v>4</v>
      </c>
      <c r="E443" s="62">
        <f>IFERROR(__xludf.DUMMYFUNCTION("""COMPUTED_VALUE"""),0.0)</f>
        <v>0</v>
      </c>
      <c r="F443" s="62">
        <f>IFERROR(__xludf.DUMMYFUNCTION("""COMPUTED_VALUE"""),4.0)</f>
        <v>4</v>
      </c>
      <c r="G443" s="504">
        <f>IFERROR(__xludf.DUMMYFUNCTION("""COMPUTED_VALUE"""),0.037037037037037035)</f>
        <v>0.03703703704</v>
      </c>
      <c r="H443" s="62">
        <f>IFERROR(__xludf.DUMMYFUNCTION("""COMPUTED_VALUE"""),8.0)</f>
        <v>8</v>
      </c>
      <c r="I443" s="62">
        <f>IFERROR(__xludf.DUMMYFUNCTION("""COMPUTED_VALUE"""),9.0)</f>
        <v>9</v>
      </c>
      <c r="J443" s="552">
        <f>IFERROR(__xludf.DUMMYFUNCTION("""COMPUTED_VALUE"""),440000.0)</f>
        <v>440000</v>
      </c>
      <c r="K443" s="62">
        <f>IFERROR(__xludf.DUMMYFUNCTION("""COMPUTED_VALUE"""),5.0)</f>
        <v>5</v>
      </c>
      <c r="L443" s="504">
        <f>IFERROR(__xludf.DUMMYFUNCTION("""COMPUTED_VALUE"""),0.07407407407407407)</f>
        <v>0.07407407407</v>
      </c>
      <c r="M443" s="504">
        <f>IFERROR(__xludf.DUMMYFUNCTION("""COMPUTED_VALUE"""),0.08333333333333333)</f>
        <v>0.08333333333</v>
      </c>
      <c r="N443" s="504">
        <f>IFERROR(__xludf.DUMMYFUNCTION("""COMPUTED_VALUE"""),1.125)</f>
        <v>1.125</v>
      </c>
      <c r="O443" s="62"/>
      <c r="P443" s="62"/>
      <c r="Q443" s="62"/>
      <c r="R443" s="62"/>
      <c r="S443" s="62"/>
      <c r="T443" s="62"/>
      <c r="U443" s="62"/>
      <c r="V443" s="62"/>
      <c r="W443" s="62"/>
      <c r="X443" s="62"/>
      <c r="Y443" s="62"/>
      <c r="Z443" s="62"/>
    </row>
    <row r="444">
      <c r="A444" s="62" t="str">
        <f>IFERROR(__xludf.DUMMYFUNCTION("""COMPUTED_VALUE"""),"日付")</f>
        <v>日付</v>
      </c>
      <c r="B444" s="62" t="str">
        <f>IFERROR(__xludf.DUMMYFUNCTION("""COMPUTED_VALUE"""),"名前")</f>
        <v>名前</v>
      </c>
      <c r="C444" s="62" t="str">
        <f>IFERROR(__xludf.DUMMYFUNCTION("""COMPUTED_VALUE"""),"打電件数")</f>
        <v>打電件数</v>
      </c>
      <c r="D444" s="62" t="str">
        <f>IFERROR(__xludf.DUMMYFUNCTION("""COMPUTED_VALUE"""),"着電件数")</f>
        <v>着電件数</v>
      </c>
      <c r="E444" s="62" t="str">
        <f>IFERROR(__xludf.DUMMYFUNCTION("""COMPUTED_VALUE"""),"折り返し件数")</f>
        <v>折り返し件数</v>
      </c>
      <c r="F444" s="62" t="str">
        <f>IFERROR(__xludf.DUMMYFUNCTION("""COMPUTED_VALUE"""),"拒否")</f>
        <v>拒否</v>
      </c>
      <c r="G444" s="62" t="str">
        <f>IFERROR(__xludf.DUMMYFUNCTION("""COMPUTED_VALUE"""),"着電率")</f>
        <v>着電率</v>
      </c>
      <c r="H444" s="62" t="str">
        <f>IFERROR(__xludf.DUMMYFUNCTION("""COMPUTED_VALUE"""),"LINE登録")</f>
        <v>LINE登録</v>
      </c>
      <c r="I444" s="62" t="str">
        <f>IFERROR(__xludf.DUMMYFUNCTION("""COMPUTED_VALUE"""),"アカウント作成")</f>
        <v>アカウント作成</v>
      </c>
      <c r="J444" s="552" t="str">
        <f>IFERROR(__xludf.DUMMYFUNCTION("""COMPUTED_VALUE"""),"新規信用枠額")</f>
        <v>新規信用枠額</v>
      </c>
      <c r="K444" s="62" t="str">
        <f>IFERROR(__xludf.DUMMYFUNCTION("""COMPUTED_VALUE"""),"リスト死回線数")</f>
        <v>リスト死回線数</v>
      </c>
      <c r="L444" s="62" t="str">
        <f>IFERROR(__xludf.DUMMYFUNCTION("""COMPUTED_VALUE"""),"LINE率(打電から)")</f>
        <v>LINE率(打電から)</v>
      </c>
      <c r="M444" s="62" t="str">
        <f>IFERROR(__xludf.DUMMYFUNCTION("""COMPUTED_VALUE"""),"アカウント作成率(打電から)")</f>
        <v>アカウント作成率(打電から)</v>
      </c>
      <c r="N444" s="62" t="str">
        <f>IFERROR(__xludf.DUMMYFUNCTION("""COMPUTED_VALUE"""),"アカウント作成率(LINEから)")</f>
        <v>アカウント作成率(LINEから)</v>
      </c>
      <c r="O444" s="62" t="str">
        <f>IFERROR(__xludf.DUMMYFUNCTION("""COMPUTED_VALUE"""),"リスト名")</f>
        <v>リスト名</v>
      </c>
      <c r="P444" s="553" t="str">
        <f>IFERROR(__xludf.DUMMYFUNCTION("""COMPUTED_VALUE"""),"日本基準")</f>
        <v>日本基準</v>
      </c>
      <c r="Q444" s="62"/>
      <c r="R444" s="62"/>
      <c r="S444" s="62"/>
      <c r="T444" s="62"/>
      <c r="U444" s="62"/>
      <c r="V444" s="62"/>
      <c r="W444" s="62"/>
      <c r="X444" s="62"/>
      <c r="Y444" s="62"/>
      <c r="Z444" s="62"/>
    </row>
    <row r="445">
      <c r="A445" s="556">
        <f>IFERROR(__xludf.DUMMYFUNCTION("""COMPUTED_VALUE"""),45922.0)</f>
        <v>45922</v>
      </c>
      <c r="B445" s="62" t="str">
        <f>IFERROR(__xludf.DUMMYFUNCTION("""COMPUTED_VALUE"""),"あり")</f>
        <v>あり</v>
      </c>
      <c r="C445" s="62">
        <f>IFERROR(__xludf.DUMMYFUNCTION("""COMPUTED_VALUE"""),78.0)</f>
        <v>78</v>
      </c>
      <c r="D445" s="62">
        <f>IFERROR(__xludf.DUMMYFUNCTION("""COMPUTED_VALUE"""),11.0)</f>
        <v>11</v>
      </c>
      <c r="E445" s="62"/>
      <c r="F445" s="62">
        <f>IFERROR(__xludf.DUMMYFUNCTION("""COMPUTED_VALUE"""),8.0)</f>
        <v>8</v>
      </c>
      <c r="G445" s="504">
        <f>IFERROR(__xludf.DUMMYFUNCTION("""COMPUTED_VALUE"""),0.14102564102564102)</f>
        <v>0.141025641</v>
      </c>
      <c r="H445" s="62">
        <f>IFERROR(__xludf.DUMMYFUNCTION("""COMPUTED_VALUE"""),3.0)</f>
        <v>3</v>
      </c>
      <c r="I445" s="62">
        <f>IFERROR(__xludf.DUMMYFUNCTION("""COMPUTED_VALUE"""),1.0)</f>
        <v>1</v>
      </c>
      <c r="J445" s="552">
        <f>IFERROR(__xludf.DUMMYFUNCTION("""COMPUTED_VALUE"""),30000.0)</f>
        <v>30000</v>
      </c>
      <c r="K445" s="62">
        <f>IFERROR(__xludf.DUMMYFUNCTION("""COMPUTED_VALUE"""),2.0)</f>
        <v>2</v>
      </c>
      <c r="L445" s="504">
        <f>IFERROR(__xludf.DUMMYFUNCTION("""COMPUTED_VALUE"""),0.038461538461538464)</f>
        <v>0.03846153846</v>
      </c>
      <c r="M445" s="504">
        <f>IFERROR(__xludf.DUMMYFUNCTION("""COMPUTED_VALUE"""),0.01282051282051282)</f>
        <v>0.01282051282</v>
      </c>
      <c r="N445" s="504">
        <f>IFERROR(__xludf.DUMMYFUNCTION("""COMPUTED_VALUE"""),0.3333333333333333)</f>
        <v>0.3333333333</v>
      </c>
      <c r="O445" s="62" t="str">
        <f>IFERROR(__xludf.DUMMYFUNCTION("""COMPUTED_VALUE"""),"リストS")</f>
        <v>リストS</v>
      </c>
      <c r="P445" s="553" t="str">
        <f>IFERROR(__xludf.DUMMYFUNCTION("""COMPUTED_VALUE"""),"平日")</f>
        <v>平日</v>
      </c>
      <c r="Q445" s="62"/>
      <c r="R445" s="62"/>
      <c r="S445" s="62"/>
      <c r="T445" s="62"/>
      <c r="U445" s="62"/>
      <c r="V445" s="62"/>
      <c r="W445" s="62"/>
      <c r="X445" s="62"/>
      <c r="Y445" s="62"/>
      <c r="Z445" s="62"/>
    </row>
    <row r="446">
      <c r="A446" s="62"/>
      <c r="B446" s="62" t="str">
        <f>IFERROR(__xludf.DUMMYFUNCTION("""COMPUTED_VALUE"""),"しょうま")</f>
        <v>しょうま</v>
      </c>
      <c r="C446" s="62">
        <f>IFERROR(__xludf.DUMMYFUNCTION("""COMPUTED_VALUE"""),439.0)</f>
        <v>439</v>
      </c>
      <c r="D446" s="62">
        <f>IFERROR(__xludf.DUMMYFUNCTION("""COMPUTED_VALUE"""),28.0)</f>
        <v>28</v>
      </c>
      <c r="E446" s="62">
        <f>IFERROR(__xludf.DUMMYFUNCTION("""COMPUTED_VALUE"""),4.0)</f>
        <v>4</v>
      </c>
      <c r="F446" s="62">
        <f>IFERROR(__xludf.DUMMYFUNCTION("""COMPUTED_VALUE"""),18.0)</f>
        <v>18</v>
      </c>
      <c r="G446" s="504">
        <f>IFERROR(__xludf.DUMMYFUNCTION("""COMPUTED_VALUE"""),0.06378132118451026)</f>
        <v>0.06378132118</v>
      </c>
      <c r="H446" s="62"/>
      <c r="I446" s="62"/>
      <c r="J446" s="62"/>
      <c r="K446" s="62"/>
      <c r="L446" s="504">
        <f>IFERROR(__xludf.DUMMYFUNCTION("""COMPUTED_VALUE"""),0.0)</f>
        <v>0</v>
      </c>
      <c r="M446" s="504">
        <f>IFERROR(__xludf.DUMMYFUNCTION("""COMPUTED_VALUE"""),0.0)</f>
        <v>0</v>
      </c>
      <c r="N446" s="504">
        <f>IFERROR(__xludf.DUMMYFUNCTION("""COMPUTED_VALUE"""),0.0)</f>
        <v>0</v>
      </c>
      <c r="O446" s="62"/>
      <c r="P446" s="62"/>
      <c r="Q446" s="62"/>
      <c r="R446" s="62"/>
      <c r="S446" s="62"/>
      <c r="T446" s="62"/>
      <c r="U446" s="62"/>
      <c r="V446" s="62"/>
      <c r="W446" s="62"/>
      <c r="X446" s="62"/>
      <c r="Y446" s="62"/>
      <c r="Z446" s="62"/>
    </row>
    <row r="447">
      <c r="A447" s="62"/>
      <c r="B447" s="62"/>
      <c r="C447" s="62"/>
      <c r="D447" s="62"/>
      <c r="E447" s="62"/>
      <c r="F447" s="62"/>
      <c r="G447" s="504">
        <f>IFERROR(__xludf.DUMMYFUNCTION("""COMPUTED_VALUE"""),0.0)</f>
        <v>0</v>
      </c>
      <c r="H447" s="62"/>
      <c r="I447" s="62"/>
      <c r="J447" s="62"/>
      <c r="K447" s="62"/>
      <c r="L447" s="504">
        <f>IFERROR(__xludf.DUMMYFUNCTION("""COMPUTED_VALUE"""),0.0)</f>
        <v>0</v>
      </c>
      <c r="M447" s="504">
        <f>IFERROR(__xludf.DUMMYFUNCTION("""COMPUTED_VALUE"""),0.0)</f>
        <v>0</v>
      </c>
      <c r="N447" s="504">
        <f>IFERROR(__xludf.DUMMYFUNCTION("""COMPUTED_VALUE"""),0.0)</f>
        <v>0</v>
      </c>
      <c r="O447" s="62"/>
      <c r="P447" s="62"/>
      <c r="Q447" s="62"/>
      <c r="R447" s="62"/>
      <c r="S447" s="62"/>
      <c r="T447" s="62"/>
      <c r="U447" s="62"/>
      <c r="V447" s="62"/>
      <c r="W447" s="62"/>
      <c r="X447" s="62"/>
      <c r="Y447" s="62"/>
      <c r="Z447" s="62"/>
    </row>
    <row r="448">
      <c r="A448" s="62"/>
      <c r="B448" s="62" t="str">
        <f>IFERROR(__xludf.DUMMYFUNCTION("""COMPUTED_VALUE"""),"ジョーナ")</f>
        <v>ジョーナ</v>
      </c>
      <c r="C448" s="62"/>
      <c r="D448" s="62"/>
      <c r="E448" s="62"/>
      <c r="F448" s="62"/>
      <c r="G448" s="504">
        <f>IFERROR(__xludf.DUMMYFUNCTION("""COMPUTED_VALUE"""),0.0)</f>
        <v>0</v>
      </c>
      <c r="H448" s="62"/>
      <c r="I448" s="62"/>
      <c r="J448" s="62"/>
      <c r="K448" s="62"/>
      <c r="L448" s="504">
        <f>IFERROR(__xludf.DUMMYFUNCTION("""COMPUTED_VALUE"""),0.0)</f>
        <v>0</v>
      </c>
      <c r="M448" s="504">
        <f>IFERROR(__xludf.DUMMYFUNCTION("""COMPUTED_VALUE"""),0.0)</f>
        <v>0</v>
      </c>
      <c r="N448" s="504">
        <f>IFERROR(__xludf.DUMMYFUNCTION("""COMPUTED_VALUE"""),0.0)</f>
        <v>0</v>
      </c>
      <c r="O448" s="62"/>
      <c r="P448" s="62"/>
      <c r="Q448" s="62"/>
      <c r="R448" s="62"/>
      <c r="S448" s="62"/>
      <c r="T448" s="62"/>
      <c r="U448" s="62"/>
      <c r="V448" s="62"/>
      <c r="W448" s="62"/>
      <c r="X448" s="62"/>
      <c r="Y448" s="62"/>
      <c r="Z448" s="62"/>
    </row>
    <row r="449">
      <c r="A449" s="62"/>
      <c r="B449" s="62" t="str">
        <f>IFERROR(__xludf.DUMMYFUNCTION("""COMPUTED_VALUE"""),"武田")</f>
        <v>武田</v>
      </c>
      <c r="C449" s="62"/>
      <c r="D449" s="62"/>
      <c r="E449" s="62"/>
      <c r="F449" s="62"/>
      <c r="G449" s="504">
        <f>IFERROR(__xludf.DUMMYFUNCTION("""COMPUTED_VALUE"""),0.0)</f>
        <v>0</v>
      </c>
      <c r="H449" s="62"/>
      <c r="I449" s="62"/>
      <c r="J449" s="62"/>
      <c r="K449" s="62"/>
      <c r="L449" s="504">
        <f>IFERROR(__xludf.DUMMYFUNCTION("""COMPUTED_VALUE"""),0.0)</f>
        <v>0</v>
      </c>
      <c r="M449" s="504">
        <f>IFERROR(__xludf.DUMMYFUNCTION("""COMPUTED_VALUE"""),0.0)</f>
        <v>0</v>
      </c>
      <c r="N449" s="504">
        <f>IFERROR(__xludf.DUMMYFUNCTION("""COMPUTED_VALUE"""),0.0)</f>
        <v>0</v>
      </c>
      <c r="O449" s="62"/>
      <c r="P449" s="62"/>
      <c r="Q449" s="62"/>
      <c r="R449" s="62"/>
      <c r="S449" s="62"/>
      <c r="T449" s="62"/>
      <c r="U449" s="62"/>
      <c r="V449" s="62"/>
      <c r="W449" s="62"/>
      <c r="X449" s="62"/>
      <c r="Y449" s="62"/>
      <c r="Z449" s="62"/>
    </row>
    <row r="450">
      <c r="A450" s="62"/>
      <c r="B450" s="62" t="str">
        <f>IFERROR(__xludf.DUMMYFUNCTION("""COMPUTED_VALUE"""),"高木")</f>
        <v>高木</v>
      </c>
      <c r="C450" s="62">
        <f>IFERROR(__xludf.DUMMYFUNCTION("""COMPUTED_VALUE"""),251.0)</f>
        <v>251</v>
      </c>
      <c r="D450" s="62">
        <f>IFERROR(__xludf.DUMMYFUNCTION("""COMPUTED_VALUE"""),37.0)</f>
        <v>37</v>
      </c>
      <c r="E450" s="62">
        <f>IFERROR(__xludf.DUMMYFUNCTION("""COMPUTED_VALUE"""),2.0)</f>
        <v>2</v>
      </c>
      <c r="F450" s="62">
        <f>IFERROR(__xludf.DUMMYFUNCTION("""COMPUTED_VALUE"""),23.0)</f>
        <v>23</v>
      </c>
      <c r="G450" s="504">
        <f>IFERROR(__xludf.DUMMYFUNCTION("""COMPUTED_VALUE"""),0.14741035856573706)</f>
        <v>0.1474103586</v>
      </c>
      <c r="H450" s="62">
        <f>IFERROR(__xludf.DUMMYFUNCTION("""COMPUTED_VALUE"""),1.0)</f>
        <v>1</v>
      </c>
      <c r="I450" s="62"/>
      <c r="J450" s="62"/>
      <c r="K450" s="62">
        <f>IFERROR(__xludf.DUMMYFUNCTION("""COMPUTED_VALUE"""),10.0)</f>
        <v>10</v>
      </c>
      <c r="L450" s="504">
        <f>IFERROR(__xludf.DUMMYFUNCTION("""COMPUTED_VALUE"""),0.00398406374501992)</f>
        <v>0.003984063745</v>
      </c>
      <c r="M450" s="504">
        <f>IFERROR(__xludf.DUMMYFUNCTION("""COMPUTED_VALUE"""),0.0)</f>
        <v>0</v>
      </c>
      <c r="N450" s="504">
        <f>IFERROR(__xludf.DUMMYFUNCTION("""COMPUTED_VALUE"""),0.0)</f>
        <v>0</v>
      </c>
      <c r="O450" s="62"/>
      <c r="P450" s="62"/>
      <c r="Q450" s="62"/>
      <c r="R450" s="62"/>
      <c r="S450" s="62"/>
      <c r="T450" s="62"/>
      <c r="U450" s="62"/>
      <c r="V450" s="62"/>
      <c r="W450" s="62"/>
      <c r="X450" s="62"/>
      <c r="Y450" s="62"/>
      <c r="Z450" s="62"/>
    </row>
    <row r="451">
      <c r="A451" s="62"/>
      <c r="B451" s="62"/>
      <c r="C451" s="62"/>
      <c r="D451" s="62"/>
      <c r="E451" s="62"/>
      <c r="F451" s="62"/>
      <c r="G451" s="504">
        <f>IFERROR(__xludf.DUMMYFUNCTION("""COMPUTED_VALUE"""),0.0)</f>
        <v>0</v>
      </c>
      <c r="H451" s="62"/>
      <c r="I451" s="62"/>
      <c r="J451" s="62"/>
      <c r="K451" s="62"/>
      <c r="L451" s="504">
        <f>IFERROR(__xludf.DUMMYFUNCTION("""COMPUTED_VALUE"""),0.0)</f>
        <v>0</v>
      </c>
      <c r="M451" s="504">
        <f>IFERROR(__xludf.DUMMYFUNCTION("""COMPUTED_VALUE"""),0.0)</f>
        <v>0</v>
      </c>
      <c r="N451" s="504">
        <f>IFERROR(__xludf.DUMMYFUNCTION("""COMPUTED_VALUE"""),0.0)</f>
        <v>0</v>
      </c>
      <c r="O451" s="62"/>
      <c r="P451" s="62"/>
      <c r="Q451" s="62"/>
      <c r="R451" s="62"/>
      <c r="S451" s="62"/>
      <c r="T451" s="62"/>
      <c r="U451" s="62"/>
      <c r="V451" s="62"/>
      <c r="W451" s="62"/>
      <c r="X451" s="62"/>
      <c r="Y451" s="62"/>
      <c r="Z451" s="62"/>
    </row>
    <row r="452">
      <c r="A452" s="62"/>
      <c r="B452" s="62" t="str">
        <f>IFERROR(__xludf.DUMMYFUNCTION("""COMPUTED_VALUE"""),"大谷")</f>
        <v>大谷</v>
      </c>
      <c r="C452" s="62"/>
      <c r="D452" s="62"/>
      <c r="E452" s="62"/>
      <c r="F452" s="62"/>
      <c r="G452" s="504">
        <f>IFERROR(__xludf.DUMMYFUNCTION("""COMPUTED_VALUE"""),0.0)</f>
        <v>0</v>
      </c>
      <c r="H452" s="62"/>
      <c r="I452" s="62"/>
      <c r="J452" s="62"/>
      <c r="K452" s="62"/>
      <c r="L452" s="504">
        <f>IFERROR(__xludf.DUMMYFUNCTION("""COMPUTED_VALUE"""),0.0)</f>
        <v>0</v>
      </c>
      <c r="M452" s="504">
        <f>IFERROR(__xludf.DUMMYFUNCTION("""COMPUTED_VALUE"""),0.0)</f>
        <v>0</v>
      </c>
      <c r="N452" s="504">
        <f>IFERROR(__xludf.DUMMYFUNCTION("""COMPUTED_VALUE"""),0.0)</f>
        <v>0</v>
      </c>
      <c r="O452" s="62"/>
      <c r="P452" s="62"/>
      <c r="Q452" s="62"/>
      <c r="R452" s="62"/>
      <c r="S452" s="62"/>
      <c r="T452" s="62"/>
      <c r="U452" s="62"/>
      <c r="V452" s="62"/>
      <c r="W452" s="62"/>
      <c r="X452" s="62"/>
      <c r="Y452" s="62"/>
      <c r="Z452" s="62"/>
    </row>
    <row r="453">
      <c r="A453" s="62"/>
      <c r="B453" s="62"/>
      <c r="C453" s="62"/>
      <c r="D453" s="62"/>
      <c r="E453" s="62"/>
      <c r="F453" s="62"/>
      <c r="G453" s="504">
        <f>IFERROR(__xludf.DUMMYFUNCTION("""COMPUTED_VALUE"""),0.0)</f>
        <v>0</v>
      </c>
      <c r="H453" s="62"/>
      <c r="I453" s="62"/>
      <c r="J453" s="62"/>
      <c r="K453" s="62"/>
      <c r="L453" s="504">
        <f>IFERROR(__xludf.DUMMYFUNCTION("""COMPUTED_VALUE"""),0.0)</f>
        <v>0</v>
      </c>
      <c r="M453" s="504">
        <f>IFERROR(__xludf.DUMMYFUNCTION("""COMPUTED_VALUE"""),0.0)</f>
        <v>0</v>
      </c>
      <c r="N453" s="504">
        <f>IFERROR(__xludf.DUMMYFUNCTION("""COMPUTED_VALUE"""),0.0)</f>
        <v>0</v>
      </c>
      <c r="O453" s="62"/>
      <c r="P453" s="62"/>
      <c r="Q453" s="62"/>
      <c r="R453" s="62"/>
      <c r="S453" s="62"/>
      <c r="T453" s="62"/>
      <c r="U453" s="62"/>
      <c r="V453" s="62"/>
      <c r="W453" s="62"/>
      <c r="X453" s="62"/>
      <c r="Y453" s="62"/>
      <c r="Z453" s="62"/>
    </row>
    <row r="454">
      <c r="A454" s="62"/>
      <c r="B454" s="62" t="str">
        <f>IFERROR(__xludf.DUMMYFUNCTION("""COMPUTED_VALUE"""),"森")</f>
        <v>森</v>
      </c>
      <c r="C454" s="62"/>
      <c r="D454" s="62"/>
      <c r="E454" s="62"/>
      <c r="F454" s="62"/>
      <c r="G454" s="504">
        <f>IFERROR(__xludf.DUMMYFUNCTION("""COMPUTED_VALUE"""),0.0)</f>
        <v>0</v>
      </c>
      <c r="H454" s="62"/>
      <c r="I454" s="62"/>
      <c r="J454" s="62"/>
      <c r="K454" s="62"/>
      <c r="L454" s="504">
        <f>IFERROR(__xludf.DUMMYFUNCTION("""COMPUTED_VALUE"""),0.0)</f>
        <v>0</v>
      </c>
      <c r="M454" s="504">
        <f>IFERROR(__xludf.DUMMYFUNCTION("""COMPUTED_VALUE"""),0.0)</f>
        <v>0</v>
      </c>
      <c r="N454" s="504">
        <f>IFERROR(__xludf.DUMMYFUNCTION("""COMPUTED_VALUE"""),0.0)</f>
        <v>0</v>
      </c>
      <c r="O454" s="62"/>
      <c r="P454" s="62"/>
      <c r="Q454" s="62"/>
      <c r="R454" s="62"/>
      <c r="S454" s="62"/>
      <c r="T454" s="62"/>
      <c r="U454" s="62"/>
      <c r="V454" s="62"/>
      <c r="W454" s="62"/>
      <c r="X454" s="62"/>
      <c r="Y454" s="62"/>
      <c r="Z454" s="62"/>
    </row>
    <row r="455">
      <c r="A455" s="62"/>
      <c r="B455" s="62"/>
      <c r="C455" s="62"/>
      <c r="D455" s="62"/>
      <c r="E455" s="62"/>
      <c r="F455" s="62"/>
      <c r="G455" s="504">
        <f>IFERROR(__xludf.DUMMYFUNCTION("""COMPUTED_VALUE"""),0.0)</f>
        <v>0</v>
      </c>
      <c r="H455" s="62"/>
      <c r="I455" s="62"/>
      <c r="J455" s="62"/>
      <c r="K455" s="62"/>
      <c r="L455" s="504">
        <f>IFERROR(__xludf.DUMMYFUNCTION("""COMPUTED_VALUE"""),0.0)</f>
        <v>0</v>
      </c>
      <c r="M455" s="504">
        <f>IFERROR(__xludf.DUMMYFUNCTION("""COMPUTED_VALUE"""),0.0)</f>
        <v>0</v>
      </c>
      <c r="N455" s="504">
        <f>IFERROR(__xludf.DUMMYFUNCTION("""COMPUTED_VALUE"""),0.0)</f>
        <v>0</v>
      </c>
      <c r="O455" s="62"/>
      <c r="P455" s="62"/>
      <c r="Q455" s="62"/>
      <c r="R455" s="62"/>
      <c r="S455" s="62"/>
      <c r="T455" s="62"/>
      <c r="U455" s="62"/>
      <c r="V455" s="62"/>
      <c r="W455" s="62"/>
      <c r="X455" s="62"/>
      <c r="Y455" s="62"/>
      <c r="Z455" s="62"/>
    </row>
    <row r="456">
      <c r="A456" s="62"/>
      <c r="B456" s="62" t="str">
        <f>IFERROR(__xludf.DUMMYFUNCTION("""COMPUTED_VALUE"""),"金子")</f>
        <v>金子</v>
      </c>
      <c r="C456" s="62"/>
      <c r="D456" s="62"/>
      <c r="E456" s="62"/>
      <c r="F456" s="62"/>
      <c r="G456" s="504">
        <f>IFERROR(__xludf.DUMMYFUNCTION("""COMPUTED_VALUE"""),0.0)</f>
        <v>0</v>
      </c>
      <c r="H456" s="62"/>
      <c r="I456" s="62"/>
      <c r="J456" s="62"/>
      <c r="K456" s="62"/>
      <c r="L456" s="504">
        <f>IFERROR(__xludf.DUMMYFUNCTION("""COMPUTED_VALUE"""),0.0)</f>
        <v>0</v>
      </c>
      <c r="M456" s="504">
        <f>IFERROR(__xludf.DUMMYFUNCTION("""COMPUTED_VALUE"""),0.0)</f>
        <v>0</v>
      </c>
      <c r="N456" s="504">
        <f>IFERROR(__xludf.DUMMYFUNCTION("""COMPUTED_VALUE"""),0.0)</f>
        <v>0</v>
      </c>
      <c r="O456" s="62"/>
      <c r="P456" s="62"/>
      <c r="Q456" s="62"/>
      <c r="R456" s="62"/>
      <c r="S456" s="62"/>
      <c r="T456" s="62"/>
      <c r="U456" s="62"/>
      <c r="V456" s="62"/>
      <c r="W456" s="62"/>
      <c r="X456" s="62"/>
      <c r="Y456" s="62"/>
      <c r="Z456" s="62"/>
    </row>
    <row r="457">
      <c r="A457" s="62"/>
      <c r="B457" s="62"/>
      <c r="C457" s="62"/>
      <c r="D457" s="62"/>
      <c r="E457" s="62"/>
      <c r="F457" s="62"/>
      <c r="G457" s="504">
        <f>IFERROR(__xludf.DUMMYFUNCTION("""COMPUTED_VALUE"""),0.0)</f>
        <v>0</v>
      </c>
      <c r="H457" s="62"/>
      <c r="I457" s="62"/>
      <c r="J457" s="62"/>
      <c r="K457" s="62"/>
      <c r="L457" s="504">
        <f>IFERROR(__xludf.DUMMYFUNCTION("""COMPUTED_VALUE"""),0.0)</f>
        <v>0</v>
      </c>
      <c r="M457" s="504">
        <f>IFERROR(__xludf.DUMMYFUNCTION("""COMPUTED_VALUE"""),0.0)</f>
        <v>0</v>
      </c>
      <c r="N457" s="504">
        <f>IFERROR(__xludf.DUMMYFUNCTION("""COMPUTED_VALUE"""),0.0)</f>
        <v>0</v>
      </c>
      <c r="O457" s="62"/>
      <c r="P457" s="62"/>
      <c r="Q457" s="62"/>
      <c r="R457" s="62"/>
      <c r="S457" s="62"/>
      <c r="T457" s="62"/>
      <c r="U457" s="62"/>
      <c r="V457" s="62"/>
      <c r="W457" s="62"/>
      <c r="X457" s="62"/>
      <c r="Y457" s="62"/>
      <c r="Z457" s="62"/>
    </row>
    <row r="458">
      <c r="A458" s="62"/>
      <c r="B458" s="552" t="str">
        <f>IFERROR(__xludf.DUMMYFUNCTION("""COMPUTED_VALUE"""),"SMS")</f>
        <v>SMS</v>
      </c>
      <c r="C458" s="62"/>
      <c r="D458" s="62"/>
      <c r="E458" s="62"/>
      <c r="F458" s="62"/>
      <c r="G458" s="504">
        <f>IFERROR(__xludf.DUMMYFUNCTION("""COMPUTED_VALUE"""),0.0)</f>
        <v>0</v>
      </c>
      <c r="H458" s="62"/>
      <c r="I458" s="62">
        <f>IFERROR(__xludf.DUMMYFUNCTION("""COMPUTED_VALUE"""),2.0)</f>
        <v>2</v>
      </c>
      <c r="J458" s="552">
        <f>IFERROR(__xludf.DUMMYFUNCTION("""COMPUTED_VALUE"""),60000.0)</f>
        <v>60000</v>
      </c>
      <c r="K458" s="62"/>
      <c r="L458" s="504">
        <f>IFERROR(__xludf.DUMMYFUNCTION("""COMPUTED_VALUE"""),0.0)</f>
        <v>0</v>
      </c>
      <c r="M458" s="504">
        <f>IFERROR(__xludf.DUMMYFUNCTION("""COMPUTED_VALUE"""),0.0)</f>
        <v>0</v>
      </c>
      <c r="N458" s="504">
        <f>IFERROR(__xludf.DUMMYFUNCTION("""COMPUTED_VALUE"""),0.0)</f>
        <v>0</v>
      </c>
      <c r="O458" s="62"/>
      <c r="P458" s="62"/>
      <c r="Q458" s="62"/>
      <c r="R458" s="62"/>
      <c r="S458" s="62"/>
      <c r="T458" s="62"/>
      <c r="U458" s="62"/>
      <c r="V458" s="62"/>
      <c r="W458" s="62"/>
      <c r="X458" s="62"/>
      <c r="Y458" s="62"/>
      <c r="Z458" s="62"/>
    </row>
    <row r="459">
      <c r="A459" s="62"/>
      <c r="B459" s="62" t="str">
        <f>IFERROR(__xludf.DUMMYFUNCTION("""COMPUTED_VALUE"""),"紹介")</f>
        <v>紹介</v>
      </c>
      <c r="C459" s="62"/>
      <c r="D459" s="62"/>
      <c r="E459" s="62"/>
      <c r="F459" s="62"/>
      <c r="G459" s="504">
        <f>IFERROR(__xludf.DUMMYFUNCTION("""COMPUTED_VALUE"""),0.0)</f>
        <v>0</v>
      </c>
      <c r="H459" s="62"/>
      <c r="I459" s="62"/>
      <c r="J459" s="62"/>
      <c r="K459" s="62"/>
      <c r="L459" s="504">
        <f>IFERROR(__xludf.DUMMYFUNCTION("""COMPUTED_VALUE"""),0.0)</f>
        <v>0</v>
      </c>
      <c r="M459" s="504">
        <f>IFERROR(__xludf.DUMMYFUNCTION("""COMPUTED_VALUE"""),0.0)</f>
        <v>0</v>
      </c>
      <c r="N459" s="504">
        <f>IFERROR(__xludf.DUMMYFUNCTION("""COMPUTED_VALUE"""),0.0)</f>
        <v>0</v>
      </c>
      <c r="O459" s="62"/>
      <c r="P459" s="62"/>
      <c r="Q459" s="62"/>
      <c r="R459" s="62"/>
      <c r="S459" s="62"/>
      <c r="T459" s="62"/>
      <c r="U459" s="62"/>
      <c r="V459" s="62"/>
      <c r="W459" s="62"/>
      <c r="X459" s="62"/>
      <c r="Y459" s="62"/>
      <c r="Z459" s="62"/>
    </row>
    <row r="460">
      <c r="A460" s="62"/>
      <c r="B460" s="62" t="str">
        <f>IFERROR(__xludf.DUMMYFUNCTION("""COMPUTED_VALUE"""),"仁子")</f>
        <v>仁子</v>
      </c>
      <c r="C460" s="62"/>
      <c r="D460" s="62"/>
      <c r="E460" s="62"/>
      <c r="F460" s="62"/>
      <c r="G460" s="504">
        <f>IFERROR(__xludf.DUMMYFUNCTION("""COMPUTED_VALUE"""),0.0)</f>
        <v>0</v>
      </c>
      <c r="H460" s="62"/>
      <c r="I460" s="62"/>
      <c r="J460" s="62"/>
      <c r="K460" s="62"/>
      <c r="L460" s="504">
        <f>IFERROR(__xludf.DUMMYFUNCTION("""COMPUTED_VALUE"""),0.0)</f>
        <v>0</v>
      </c>
      <c r="M460" s="504">
        <f>IFERROR(__xludf.DUMMYFUNCTION("""COMPUTED_VALUE"""),0.0)</f>
        <v>0</v>
      </c>
      <c r="N460" s="504">
        <f>IFERROR(__xludf.DUMMYFUNCTION("""COMPUTED_VALUE"""),0.0)</f>
        <v>0</v>
      </c>
      <c r="O460" s="62"/>
      <c r="P460" s="62"/>
      <c r="Q460" s="62"/>
      <c r="R460" s="62"/>
      <c r="S460" s="62"/>
      <c r="T460" s="62"/>
      <c r="U460" s="62"/>
      <c r="V460" s="62"/>
      <c r="W460" s="62"/>
      <c r="X460" s="62"/>
      <c r="Y460" s="62"/>
      <c r="Z460" s="62"/>
    </row>
    <row r="461">
      <c r="A461" s="62"/>
      <c r="B461" s="62" t="str">
        <f>IFERROR(__xludf.DUMMYFUNCTION("""COMPUTED_VALUE"""),"鈴木")</f>
        <v>鈴木</v>
      </c>
      <c r="C461" s="62">
        <f>IFERROR(__xludf.DUMMYFUNCTION("""COMPUTED_VALUE"""),175.0)</f>
        <v>175</v>
      </c>
      <c r="D461" s="62">
        <f>IFERROR(__xludf.DUMMYFUNCTION("""COMPUTED_VALUE"""),26.0)</f>
        <v>26</v>
      </c>
      <c r="E461" s="62"/>
      <c r="F461" s="62">
        <f>IFERROR(__xludf.DUMMYFUNCTION("""COMPUTED_VALUE"""),24.0)</f>
        <v>24</v>
      </c>
      <c r="G461" s="504">
        <f>IFERROR(__xludf.DUMMYFUNCTION("""COMPUTED_VALUE"""),0.14857142857142858)</f>
        <v>0.1485714286</v>
      </c>
      <c r="H461" s="62"/>
      <c r="I461" s="62"/>
      <c r="J461" s="62"/>
      <c r="K461" s="62"/>
      <c r="L461" s="504">
        <f>IFERROR(__xludf.DUMMYFUNCTION("""COMPUTED_VALUE"""),0.0)</f>
        <v>0</v>
      </c>
      <c r="M461" s="504">
        <f>IFERROR(__xludf.DUMMYFUNCTION("""COMPUTED_VALUE"""),0.0)</f>
        <v>0</v>
      </c>
      <c r="N461" s="504">
        <f>IFERROR(__xludf.DUMMYFUNCTION("""COMPUTED_VALUE"""),0.0)</f>
        <v>0</v>
      </c>
      <c r="O461" s="62" t="str">
        <f>IFERROR(__xludf.DUMMYFUNCTION("""COMPUTED_VALUE"""),"リストE")</f>
        <v>リストE</v>
      </c>
      <c r="P461" s="62"/>
      <c r="Q461" s="62"/>
      <c r="R461" s="62"/>
      <c r="S461" s="62"/>
      <c r="T461" s="62"/>
      <c r="U461" s="62"/>
      <c r="V461" s="62"/>
      <c r="W461" s="62"/>
      <c r="X461" s="62"/>
      <c r="Y461" s="62"/>
      <c r="Z461" s="62"/>
    </row>
    <row r="462">
      <c r="A462" s="62"/>
      <c r="B462" s="62" t="str">
        <f>IFERROR(__xludf.DUMMYFUNCTION("""COMPUTED_VALUE"""),"仲間")</f>
        <v>仲間</v>
      </c>
      <c r="C462" s="62">
        <f>IFERROR(__xludf.DUMMYFUNCTION("""COMPUTED_VALUE"""),150.0)</f>
        <v>150</v>
      </c>
      <c r="D462" s="62">
        <f>IFERROR(__xludf.DUMMYFUNCTION("""COMPUTED_VALUE"""),35.0)</f>
        <v>35</v>
      </c>
      <c r="E462" s="62">
        <f>IFERROR(__xludf.DUMMYFUNCTION("""COMPUTED_VALUE"""),3.0)</f>
        <v>3</v>
      </c>
      <c r="F462" s="62">
        <f>IFERROR(__xludf.DUMMYFUNCTION("""COMPUTED_VALUE"""),20.0)</f>
        <v>20</v>
      </c>
      <c r="G462" s="504">
        <f>IFERROR(__xludf.DUMMYFUNCTION("""COMPUTED_VALUE"""),0.23333333333333334)</f>
        <v>0.2333333333</v>
      </c>
      <c r="H462" s="62">
        <f>IFERROR(__xludf.DUMMYFUNCTION("""COMPUTED_VALUE"""),1.0)</f>
        <v>1</v>
      </c>
      <c r="I462" s="62"/>
      <c r="J462" s="62"/>
      <c r="K462" s="62"/>
      <c r="L462" s="504">
        <f>IFERROR(__xludf.DUMMYFUNCTION("""COMPUTED_VALUE"""),0.006666666666666667)</f>
        <v>0.006666666667</v>
      </c>
      <c r="M462" s="504">
        <f>IFERROR(__xludf.DUMMYFUNCTION("""COMPUTED_VALUE"""),0.0)</f>
        <v>0</v>
      </c>
      <c r="N462" s="504">
        <f>IFERROR(__xludf.DUMMYFUNCTION("""COMPUTED_VALUE"""),0.0)</f>
        <v>0</v>
      </c>
      <c r="O462" s="62" t="str">
        <f>IFERROR(__xludf.DUMMYFUNCTION("""COMPUTED_VALUE"""),"リストS")</f>
        <v>リストS</v>
      </c>
      <c r="P462" s="553" t="str">
        <f>IFERROR(__xludf.DUMMYFUNCTION("""COMPUTED_VALUE"""),"平日")</f>
        <v>平日</v>
      </c>
      <c r="Q462" s="62"/>
      <c r="R462" s="62"/>
      <c r="S462" s="62"/>
      <c r="T462" s="62"/>
      <c r="U462" s="62"/>
      <c r="V462" s="62"/>
      <c r="W462" s="62"/>
      <c r="X462" s="62"/>
      <c r="Y462" s="62"/>
      <c r="Z462" s="62"/>
    </row>
    <row r="463">
      <c r="A463" s="62"/>
      <c r="B463" s="62"/>
      <c r="C463" s="62"/>
      <c r="D463" s="62"/>
      <c r="E463" s="62"/>
      <c r="F463" s="62"/>
      <c r="G463" s="504">
        <f>IFERROR(__xludf.DUMMYFUNCTION("""COMPUTED_VALUE"""),0.0)</f>
        <v>0</v>
      </c>
      <c r="H463" s="62"/>
      <c r="I463" s="62"/>
      <c r="J463" s="62"/>
      <c r="K463" s="62"/>
      <c r="L463" s="504">
        <f>IFERROR(__xludf.DUMMYFUNCTION("""COMPUTED_VALUE"""),0.0)</f>
        <v>0</v>
      </c>
      <c r="M463" s="504">
        <f>IFERROR(__xludf.DUMMYFUNCTION("""COMPUTED_VALUE"""),0.0)</f>
        <v>0</v>
      </c>
      <c r="N463" s="504">
        <f>IFERROR(__xludf.DUMMYFUNCTION("""COMPUTED_VALUE"""),0.0)</f>
        <v>0</v>
      </c>
      <c r="O463" s="62"/>
      <c r="P463" s="62"/>
      <c r="Q463" s="62"/>
      <c r="R463" s="62"/>
      <c r="S463" s="62"/>
      <c r="T463" s="62"/>
      <c r="U463" s="62"/>
      <c r="V463" s="62"/>
      <c r="W463" s="62"/>
      <c r="X463" s="62"/>
      <c r="Y463" s="62"/>
      <c r="Z463" s="62"/>
    </row>
    <row r="464">
      <c r="A464" s="62"/>
      <c r="B464" s="62" t="str">
        <f>IFERROR(__xludf.DUMMYFUNCTION("""COMPUTED_VALUE"""),"合計")</f>
        <v>合計</v>
      </c>
      <c r="C464" s="62">
        <f>IFERROR(__xludf.DUMMYFUNCTION("""COMPUTED_VALUE"""),1093.0)</f>
        <v>1093</v>
      </c>
      <c r="D464" s="62">
        <f>IFERROR(__xludf.DUMMYFUNCTION("""COMPUTED_VALUE"""),137.0)</f>
        <v>137</v>
      </c>
      <c r="E464" s="62">
        <f>IFERROR(__xludf.DUMMYFUNCTION("""COMPUTED_VALUE"""),9.0)</f>
        <v>9</v>
      </c>
      <c r="F464" s="62">
        <f>IFERROR(__xludf.DUMMYFUNCTION("""COMPUTED_VALUE"""),93.0)</f>
        <v>93</v>
      </c>
      <c r="G464" s="504">
        <f>IFERROR(__xludf.DUMMYFUNCTION("""COMPUTED_VALUE"""),0.1253430924062214)</f>
        <v>0.1253430924</v>
      </c>
      <c r="H464" s="62">
        <f>IFERROR(__xludf.DUMMYFUNCTION("""COMPUTED_VALUE"""),5.0)</f>
        <v>5</v>
      </c>
      <c r="I464" s="62">
        <f>IFERROR(__xludf.DUMMYFUNCTION("""COMPUTED_VALUE"""),3.0)</f>
        <v>3</v>
      </c>
      <c r="J464" s="552">
        <f>IFERROR(__xludf.DUMMYFUNCTION("""COMPUTED_VALUE"""),90000.0)</f>
        <v>90000</v>
      </c>
      <c r="K464" s="62">
        <f>IFERROR(__xludf.DUMMYFUNCTION("""COMPUTED_VALUE"""),12.0)</f>
        <v>12</v>
      </c>
      <c r="L464" s="504">
        <f>IFERROR(__xludf.DUMMYFUNCTION("""COMPUTED_VALUE"""),0.004574565416285453)</f>
        <v>0.004574565416</v>
      </c>
      <c r="M464" s="504">
        <f>IFERROR(__xludf.DUMMYFUNCTION("""COMPUTED_VALUE"""),0.0027447392497712718)</f>
        <v>0.00274473925</v>
      </c>
      <c r="N464" s="504">
        <f>IFERROR(__xludf.DUMMYFUNCTION("""COMPUTED_VALUE"""),0.6)</f>
        <v>0.6</v>
      </c>
      <c r="O464" s="62"/>
      <c r="P464" s="62"/>
      <c r="Q464" s="62"/>
      <c r="R464" s="62"/>
      <c r="S464" s="62"/>
      <c r="T464" s="62"/>
      <c r="U464" s="62"/>
      <c r="V464" s="62"/>
      <c r="W464" s="62"/>
      <c r="X464" s="62"/>
      <c r="Y464" s="62"/>
      <c r="Z464" s="62"/>
    </row>
    <row r="465">
      <c r="A465" s="62" t="str">
        <f>IFERROR(__xludf.DUMMYFUNCTION("""COMPUTED_VALUE"""),"日付")</f>
        <v>日付</v>
      </c>
      <c r="B465" s="62" t="str">
        <f>IFERROR(__xludf.DUMMYFUNCTION("""COMPUTED_VALUE"""),"名前")</f>
        <v>名前</v>
      </c>
      <c r="C465" s="62" t="str">
        <f>IFERROR(__xludf.DUMMYFUNCTION("""COMPUTED_VALUE"""),"打電件数")</f>
        <v>打電件数</v>
      </c>
      <c r="D465" s="62" t="str">
        <f>IFERROR(__xludf.DUMMYFUNCTION("""COMPUTED_VALUE"""),"着電件数")</f>
        <v>着電件数</v>
      </c>
      <c r="E465" s="62" t="str">
        <f>IFERROR(__xludf.DUMMYFUNCTION("""COMPUTED_VALUE"""),"折り返し件数")</f>
        <v>折り返し件数</v>
      </c>
      <c r="F465" s="62" t="str">
        <f>IFERROR(__xludf.DUMMYFUNCTION("""COMPUTED_VALUE"""),"拒否")</f>
        <v>拒否</v>
      </c>
      <c r="G465" s="62" t="str">
        <f>IFERROR(__xludf.DUMMYFUNCTION("""COMPUTED_VALUE"""),"着電率")</f>
        <v>着電率</v>
      </c>
      <c r="H465" s="62" t="str">
        <f>IFERROR(__xludf.DUMMYFUNCTION("""COMPUTED_VALUE"""),"LINE登録")</f>
        <v>LINE登録</v>
      </c>
      <c r="I465" s="62" t="str">
        <f>IFERROR(__xludf.DUMMYFUNCTION("""COMPUTED_VALUE"""),"アカウント作成")</f>
        <v>アカウント作成</v>
      </c>
      <c r="J465" s="552" t="str">
        <f>IFERROR(__xludf.DUMMYFUNCTION("""COMPUTED_VALUE"""),"新規信用枠額")</f>
        <v>新規信用枠額</v>
      </c>
      <c r="K465" s="62" t="str">
        <f>IFERROR(__xludf.DUMMYFUNCTION("""COMPUTED_VALUE"""),"リスト死回線数")</f>
        <v>リスト死回線数</v>
      </c>
      <c r="L465" s="62" t="str">
        <f>IFERROR(__xludf.DUMMYFUNCTION("""COMPUTED_VALUE"""),"LINE率(打電から)")</f>
        <v>LINE率(打電から)</v>
      </c>
      <c r="M465" s="62" t="str">
        <f>IFERROR(__xludf.DUMMYFUNCTION("""COMPUTED_VALUE"""),"アカウント作成率(打電から)")</f>
        <v>アカウント作成率(打電から)</v>
      </c>
      <c r="N465" s="62" t="str">
        <f>IFERROR(__xludf.DUMMYFUNCTION("""COMPUTED_VALUE"""),"アカウント作成率(LINEから)")</f>
        <v>アカウント作成率(LINEから)</v>
      </c>
      <c r="O465" s="62" t="str">
        <f>IFERROR(__xludf.DUMMYFUNCTION("""COMPUTED_VALUE"""),"リスト名")</f>
        <v>リスト名</v>
      </c>
      <c r="P465" s="553" t="str">
        <f>IFERROR(__xludf.DUMMYFUNCTION("""COMPUTED_VALUE"""),"日本基準")</f>
        <v>日本基準</v>
      </c>
      <c r="Q465" s="62"/>
      <c r="R465" s="62"/>
      <c r="S465" s="62"/>
      <c r="T465" s="62"/>
      <c r="U465" s="62"/>
      <c r="V465" s="62"/>
      <c r="W465" s="62"/>
      <c r="X465" s="62"/>
      <c r="Y465" s="62"/>
      <c r="Z465" s="62"/>
    </row>
    <row r="466">
      <c r="A466" s="556">
        <f>IFERROR(__xludf.DUMMYFUNCTION("""COMPUTED_VALUE"""),45923.0)</f>
        <v>45923</v>
      </c>
      <c r="B466" s="62" t="str">
        <f>IFERROR(__xludf.DUMMYFUNCTION("""COMPUTED_VALUE"""),"あり")</f>
        <v>あり</v>
      </c>
      <c r="C466" s="62">
        <f>IFERROR(__xludf.DUMMYFUNCTION("""COMPUTED_VALUE"""),102.0)</f>
        <v>102</v>
      </c>
      <c r="D466" s="62">
        <f>IFERROR(__xludf.DUMMYFUNCTION("""COMPUTED_VALUE"""),11.0)</f>
        <v>11</v>
      </c>
      <c r="E466" s="62">
        <f>IFERROR(__xludf.DUMMYFUNCTION("""COMPUTED_VALUE"""),2.0)</f>
        <v>2</v>
      </c>
      <c r="F466" s="62">
        <f>IFERROR(__xludf.DUMMYFUNCTION("""COMPUTED_VALUE"""),8.0)</f>
        <v>8</v>
      </c>
      <c r="G466" s="504">
        <f>IFERROR(__xludf.DUMMYFUNCTION("""COMPUTED_VALUE"""),0.10784313725490197)</f>
        <v>0.1078431373</v>
      </c>
      <c r="H466" s="62">
        <f>IFERROR(__xludf.DUMMYFUNCTION("""COMPUTED_VALUE"""),3.0)</f>
        <v>3</v>
      </c>
      <c r="I466" s="62">
        <f>IFERROR(__xludf.DUMMYFUNCTION("""COMPUTED_VALUE"""),1.0)</f>
        <v>1</v>
      </c>
      <c r="J466" s="552">
        <f>IFERROR(__xludf.DUMMYFUNCTION("""COMPUTED_VALUE"""),30000.0)</f>
        <v>30000</v>
      </c>
      <c r="K466" s="62"/>
      <c r="L466" s="504">
        <f>IFERROR(__xludf.DUMMYFUNCTION("""COMPUTED_VALUE"""),0.029411764705882353)</f>
        <v>0.02941176471</v>
      </c>
      <c r="M466" s="504">
        <f>IFERROR(__xludf.DUMMYFUNCTION("""COMPUTED_VALUE"""),0.00980392156862745)</f>
        <v>0.009803921569</v>
      </c>
      <c r="N466" s="504">
        <f>IFERROR(__xludf.DUMMYFUNCTION("""COMPUTED_VALUE"""),0.3333333333333333)</f>
        <v>0.3333333333</v>
      </c>
      <c r="O466" s="62" t="str">
        <f>IFERROR(__xludf.DUMMYFUNCTION("""COMPUTED_VALUE"""),"リストS")</f>
        <v>リストS</v>
      </c>
      <c r="P466" s="553" t="str">
        <f>IFERROR(__xludf.DUMMYFUNCTION("""COMPUTED_VALUE"""),"平日")</f>
        <v>平日</v>
      </c>
      <c r="Q466" s="62"/>
      <c r="R466" s="62"/>
      <c r="S466" s="62"/>
      <c r="T466" s="62"/>
      <c r="U466" s="62"/>
      <c r="V466" s="62"/>
      <c r="W466" s="62"/>
      <c r="X466" s="62"/>
      <c r="Y466" s="62"/>
      <c r="Z466" s="62"/>
    </row>
    <row r="467">
      <c r="A467" s="62"/>
      <c r="B467" s="62" t="str">
        <f>IFERROR(__xludf.DUMMYFUNCTION("""COMPUTED_VALUE"""),"しょうま")</f>
        <v>しょうま</v>
      </c>
      <c r="C467" s="62">
        <f>IFERROR(__xludf.DUMMYFUNCTION("""COMPUTED_VALUE"""),71.0)</f>
        <v>71</v>
      </c>
      <c r="D467" s="62">
        <f>IFERROR(__xludf.DUMMYFUNCTION("""COMPUTED_VALUE"""),6.0)</f>
        <v>6</v>
      </c>
      <c r="E467" s="62">
        <f>IFERROR(__xludf.DUMMYFUNCTION("""COMPUTED_VALUE"""),1.0)</f>
        <v>1</v>
      </c>
      <c r="F467" s="62">
        <f>IFERROR(__xludf.DUMMYFUNCTION("""COMPUTED_VALUE"""),6.0)</f>
        <v>6</v>
      </c>
      <c r="G467" s="504">
        <f>IFERROR(__xludf.DUMMYFUNCTION("""COMPUTED_VALUE"""),0.08450704225352113)</f>
        <v>0.08450704225</v>
      </c>
      <c r="H467" s="62">
        <f>IFERROR(__xludf.DUMMYFUNCTION("""COMPUTED_VALUE"""),4.0)</f>
        <v>4</v>
      </c>
      <c r="I467" s="62">
        <f>IFERROR(__xludf.DUMMYFUNCTION("""COMPUTED_VALUE"""),4.0)</f>
        <v>4</v>
      </c>
      <c r="J467" s="552">
        <f>IFERROR(__xludf.DUMMYFUNCTION("""COMPUTED_VALUE"""),170000.0)</f>
        <v>170000</v>
      </c>
      <c r="K467" s="62"/>
      <c r="L467" s="504">
        <f>IFERROR(__xludf.DUMMYFUNCTION("""COMPUTED_VALUE"""),0.056338028169014086)</f>
        <v>0.05633802817</v>
      </c>
      <c r="M467" s="504">
        <f>IFERROR(__xludf.DUMMYFUNCTION("""COMPUTED_VALUE"""),0.056338028169014086)</f>
        <v>0.05633802817</v>
      </c>
      <c r="N467" s="504">
        <f>IFERROR(__xludf.DUMMYFUNCTION("""COMPUTED_VALUE"""),1.0)</f>
        <v>1</v>
      </c>
      <c r="O467" s="62" t="str">
        <f>IFERROR(__xludf.DUMMYFUNCTION("""COMPUTED_VALUE"""),"リストE")</f>
        <v>リストE</v>
      </c>
      <c r="P467" s="553" t="str">
        <f>IFERROR(__xludf.DUMMYFUNCTION("""COMPUTED_VALUE"""),"平日")</f>
        <v>平日</v>
      </c>
      <c r="Q467" s="62"/>
      <c r="R467" s="62"/>
      <c r="S467" s="62"/>
      <c r="T467" s="62"/>
      <c r="U467" s="62"/>
      <c r="V467" s="62"/>
      <c r="W467" s="62"/>
      <c r="X467" s="62"/>
      <c r="Y467" s="62"/>
      <c r="Z467" s="62"/>
    </row>
    <row r="468">
      <c r="A468" s="62"/>
      <c r="B468" s="62"/>
      <c r="C468" s="62"/>
      <c r="D468" s="62"/>
      <c r="E468" s="62"/>
      <c r="F468" s="62"/>
      <c r="G468" s="504">
        <f>IFERROR(__xludf.DUMMYFUNCTION("""COMPUTED_VALUE"""),0.0)</f>
        <v>0</v>
      </c>
      <c r="H468" s="62"/>
      <c r="I468" s="62"/>
      <c r="J468" s="62"/>
      <c r="K468" s="62"/>
      <c r="L468" s="504">
        <f>IFERROR(__xludf.DUMMYFUNCTION("""COMPUTED_VALUE"""),0.0)</f>
        <v>0</v>
      </c>
      <c r="M468" s="504">
        <f>IFERROR(__xludf.DUMMYFUNCTION("""COMPUTED_VALUE"""),0.0)</f>
        <v>0</v>
      </c>
      <c r="N468" s="504">
        <f>IFERROR(__xludf.DUMMYFUNCTION("""COMPUTED_VALUE"""),0.0)</f>
        <v>0</v>
      </c>
      <c r="O468" s="62"/>
      <c r="P468" s="62"/>
      <c r="Q468" s="62"/>
      <c r="R468" s="62"/>
      <c r="S468" s="62"/>
      <c r="T468" s="62"/>
      <c r="U468" s="62"/>
      <c r="V468" s="62"/>
      <c r="W468" s="62"/>
      <c r="X468" s="62"/>
      <c r="Y468" s="62"/>
      <c r="Z468" s="62"/>
    </row>
    <row r="469">
      <c r="A469" s="62"/>
      <c r="B469" s="62" t="str">
        <f>IFERROR(__xludf.DUMMYFUNCTION("""COMPUTED_VALUE"""),"ジョーナ")</f>
        <v>ジョーナ</v>
      </c>
      <c r="C469" s="62"/>
      <c r="D469" s="62"/>
      <c r="E469" s="62"/>
      <c r="F469" s="62"/>
      <c r="G469" s="504">
        <f>IFERROR(__xludf.DUMMYFUNCTION("""COMPUTED_VALUE"""),0.0)</f>
        <v>0</v>
      </c>
      <c r="H469" s="62"/>
      <c r="I469" s="62"/>
      <c r="J469" s="62"/>
      <c r="K469" s="62"/>
      <c r="L469" s="504">
        <f>IFERROR(__xludf.DUMMYFUNCTION("""COMPUTED_VALUE"""),0.0)</f>
        <v>0</v>
      </c>
      <c r="M469" s="504">
        <f>IFERROR(__xludf.DUMMYFUNCTION("""COMPUTED_VALUE"""),0.0)</f>
        <v>0</v>
      </c>
      <c r="N469" s="504">
        <f>IFERROR(__xludf.DUMMYFUNCTION("""COMPUTED_VALUE"""),0.0)</f>
        <v>0</v>
      </c>
      <c r="O469" s="62"/>
      <c r="P469" s="62"/>
      <c r="Q469" s="62"/>
      <c r="R469" s="62"/>
      <c r="S469" s="62"/>
      <c r="T469" s="62"/>
      <c r="U469" s="62"/>
      <c r="V469" s="62"/>
      <c r="W469" s="62"/>
      <c r="X469" s="62"/>
      <c r="Y469" s="62"/>
      <c r="Z469" s="62"/>
    </row>
    <row r="470">
      <c r="A470" s="62"/>
      <c r="B470" s="62" t="str">
        <f>IFERROR(__xludf.DUMMYFUNCTION("""COMPUTED_VALUE"""),"武田")</f>
        <v>武田</v>
      </c>
      <c r="C470" s="62"/>
      <c r="D470" s="62"/>
      <c r="E470" s="62"/>
      <c r="F470" s="62"/>
      <c r="G470" s="504">
        <f>IFERROR(__xludf.DUMMYFUNCTION("""COMPUTED_VALUE"""),0.0)</f>
        <v>0</v>
      </c>
      <c r="H470" s="62"/>
      <c r="I470" s="62"/>
      <c r="J470" s="62"/>
      <c r="K470" s="62"/>
      <c r="L470" s="504">
        <f>IFERROR(__xludf.DUMMYFUNCTION("""COMPUTED_VALUE"""),0.0)</f>
        <v>0</v>
      </c>
      <c r="M470" s="504">
        <f>IFERROR(__xludf.DUMMYFUNCTION("""COMPUTED_VALUE"""),0.0)</f>
        <v>0</v>
      </c>
      <c r="N470" s="504">
        <f>IFERROR(__xludf.DUMMYFUNCTION("""COMPUTED_VALUE"""),0.0)</f>
        <v>0</v>
      </c>
      <c r="O470" s="62"/>
      <c r="P470" s="62"/>
      <c r="Q470" s="62"/>
      <c r="R470" s="62"/>
      <c r="S470" s="62"/>
      <c r="T470" s="62"/>
      <c r="U470" s="62"/>
      <c r="V470" s="62"/>
      <c r="W470" s="62"/>
      <c r="X470" s="62"/>
      <c r="Y470" s="62"/>
      <c r="Z470" s="62"/>
    </row>
    <row r="471">
      <c r="A471" s="62"/>
      <c r="B471" s="62" t="str">
        <f>IFERROR(__xludf.DUMMYFUNCTION("""COMPUTED_VALUE"""),"高木")</f>
        <v>高木</v>
      </c>
      <c r="C471" s="62">
        <f>IFERROR(__xludf.DUMMYFUNCTION("""COMPUTED_VALUE"""),193.0)</f>
        <v>193</v>
      </c>
      <c r="D471" s="62">
        <f>IFERROR(__xludf.DUMMYFUNCTION("""COMPUTED_VALUE"""),31.0)</f>
        <v>31</v>
      </c>
      <c r="E471" s="62">
        <f>IFERROR(__xludf.DUMMYFUNCTION("""COMPUTED_VALUE"""),2.0)</f>
        <v>2</v>
      </c>
      <c r="F471" s="62">
        <f>IFERROR(__xludf.DUMMYFUNCTION("""COMPUTED_VALUE"""),20.0)</f>
        <v>20</v>
      </c>
      <c r="G471" s="504">
        <f>IFERROR(__xludf.DUMMYFUNCTION("""COMPUTED_VALUE"""),0.16062176165803108)</f>
        <v>0.1606217617</v>
      </c>
      <c r="H471" s="62">
        <f>IFERROR(__xludf.DUMMYFUNCTION("""COMPUTED_VALUE"""),1.0)</f>
        <v>1</v>
      </c>
      <c r="I471" s="62">
        <f>IFERROR(__xludf.DUMMYFUNCTION("""COMPUTED_VALUE"""),1.0)</f>
        <v>1</v>
      </c>
      <c r="J471" s="552">
        <f>IFERROR(__xludf.DUMMYFUNCTION("""COMPUTED_VALUE"""),30000.0)</f>
        <v>30000</v>
      </c>
      <c r="K471" s="62">
        <f>IFERROR(__xludf.DUMMYFUNCTION("""COMPUTED_VALUE"""),13.0)</f>
        <v>13</v>
      </c>
      <c r="L471" s="504">
        <f>IFERROR(__xludf.DUMMYFUNCTION("""COMPUTED_VALUE"""),0.0051813471502590676)</f>
        <v>0.00518134715</v>
      </c>
      <c r="M471" s="504">
        <f>IFERROR(__xludf.DUMMYFUNCTION("""COMPUTED_VALUE"""),0.0051813471502590676)</f>
        <v>0.00518134715</v>
      </c>
      <c r="N471" s="504">
        <f>IFERROR(__xludf.DUMMYFUNCTION("""COMPUTED_VALUE"""),1.0)</f>
        <v>1</v>
      </c>
      <c r="O471" s="62"/>
      <c r="P471" s="62"/>
      <c r="Q471" s="62"/>
      <c r="R471" s="62"/>
      <c r="S471" s="62"/>
      <c r="T471" s="62"/>
      <c r="U471" s="62"/>
      <c r="V471" s="62"/>
      <c r="W471" s="62"/>
      <c r="X471" s="62"/>
      <c r="Y471" s="62"/>
      <c r="Z471" s="62"/>
    </row>
    <row r="472">
      <c r="A472" s="62"/>
      <c r="B472" s="62"/>
      <c r="C472" s="62"/>
      <c r="D472" s="62"/>
      <c r="E472" s="62"/>
      <c r="F472" s="62"/>
      <c r="G472" s="504">
        <f>IFERROR(__xludf.DUMMYFUNCTION("""COMPUTED_VALUE"""),0.0)</f>
        <v>0</v>
      </c>
      <c r="H472" s="62"/>
      <c r="I472" s="62"/>
      <c r="J472" s="62"/>
      <c r="K472" s="62"/>
      <c r="L472" s="504">
        <f>IFERROR(__xludf.DUMMYFUNCTION("""COMPUTED_VALUE"""),0.0)</f>
        <v>0</v>
      </c>
      <c r="M472" s="504">
        <f>IFERROR(__xludf.DUMMYFUNCTION("""COMPUTED_VALUE"""),0.0)</f>
        <v>0</v>
      </c>
      <c r="N472" s="504">
        <f>IFERROR(__xludf.DUMMYFUNCTION("""COMPUTED_VALUE"""),0.0)</f>
        <v>0</v>
      </c>
      <c r="O472" s="62"/>
      <c r="P472" s="62"/>
      <c r="Q472" s="62"/>
      <c r="R472" s="62"/>
      <c r="S472" s="62"/>
      <c r="T472" s="62"/>
      <c r="U472" s="62"/>
      <c r="V472" s="62"/>
      <c r="W472" s="62"/>
      <c r="X472" s="62"/>
      <c r="Y472" s="62"/>
      <c r="Z472" s="62"/>
    </row>
    <row r="473">
      <c r="A473" s="62"/>
      <c r="B473" s="62" t="str">
        <f>IFERROR(__xludf.DUMMYFUNCTION("""COMPUTED_VALUE"""),"大谷")</f>
        <v>大谷</v>
      </c>
      <c r="C473" s="62"/>
      <c r="D473" s="62"/>
      <c r="E473" s="62"/>
      <c r="F473" s="62"/>
      <c r="G473" s="504">
        <f>IFERROR(__xludf.DUMMYFUNCTION("""COMPUTED_VALUE"""),0.0)</f>
        <v>0</v>
      </c>
      <c r="H473" s="62"/>
      <c r="I473" s="62"/>
      <c r="J473" s="62"/>
      <c r="K473" s="62"/>
      <c r="L473" s="504">
        <f>IFERROR(__xludf.DUMMYFUNCTION("""COMPUTED_VALUE"""),0.0)</f>
        <v>0</v>
      </c>
      <c r="M473" s="504">
        <f>IFERROR(__xludf.DUMMYFUNCTION("""COMPUTED_VALUE"""),0.0)</f>
        <v>0</v>
      </c>
      <c r="N473" s="504">
        <f>IFERROR(__xludf.DUMMYFUNCTION("""COMPUTED_VALUE"""),0.0)</f>
        <v>0</v>
      </c>
      <c r="O473" s="62"/>
      <c r="P473" s="62"/>
      <c r="Q473" s="62"/>
      <c r="R473" s="62"/>
      <c r="S473" s="62"/>
      <c r="T473" s="62"/>
      <c r="U473" s="62"/>
      <c r="V473" s="62"/>
      <c r="W473" s="62"/>
      <c r="X473" s="62"/>
      <c r="Y473" s="62"/>
      <c r="Z473" s="62"/>
    </row>
    <row r="474">
      <c r="A474" s="62"/>
      <c r="B474" s="62"/>
      <c r="C474" s="62"/>
      <c r="D474" s="62"/>
      <c r="E474" s="62"/>
      <c r="F474" s="62"/>
      <c r="G474" s="504">
        <f>IFERROR(__xludf.DUMMYFUNCTION("""COMPUTED_VALUE"""),0.0)</f>
        <v>0</v>
      </c>
      <c r="H474" s="62"/>
      <c r="I474" s="62"/>
      <c r="J474" s="62"/>
      <c r="K474" s="62"/>
      <c r="L474" s="504">
        <f>IFERROR(__xludf.DUMMYFUNCTION("""COMPUTED_VALUE"""),0.0)</f>
        <v>0</v>
      </c>
      <c r="M474" s="504">
        <f>IFERROR(__xludf.DUMMYFUNCTION("""COMPUTED_VALUE"""),0.0)</f>
        <v>0</v>
      </c>
      <c r="N474" s="504">
        <f>IFERROR(__xludf.DUMMYFUNCTION("""COMPUTED_VALUE"""),0.0)</f>
        <v>0</v>
      </c>
      <c r="O474" s="62"/>
      <c r="P474" s="62"/>
      <c r="Q474" s="62"/>
      <c r="R474" s="62"/>
      <c r="S474" s="62"/>
      <c r="T474" s="62"/>
      <c r="U474" s="62"/>
      <c r="V474" s="62"/>
      <c r="W474" s="62"/>
      <c r="X474" s="62"/>
      <c r="Y474" s="62"/>
      <c r="Z474" s="62"/>
    </row>
    <row r="475">
      <c r="A475" s="62"/>
      <c r="B475" s="62" t="str">
        <f>IFERROR(__xludf.DUMMYFUNCTION("""COMPUTED_VALUE"""),"森")</f>
        <v>森</v>
      </c>
      <c r="C475" s="62"/>
      <c r="D475" s="62"/>
      <c r="E475" s="62"/>
      <c r="F475" s="62"/>
      <c r="G475" s="504">
        <f>IFERROR(__xludf.DUMMYFUNCTION("""COMPUTED_VALUE"""),0.0)</f>
        <v>0</v>
      </c>
      <c r="H475" s="62"/>
      <c r="I475" s="62"/>
      <c r="J475" s="62"/>
      <c r="K475" s="62"/>
      <c r="L475" s="504">
        <f>IFERROR(__xludf.DUMMYFUNCTION("""COMPUTED_VALUE"""),0.0)</f>
        <v>0</v>
      </c>
      <c r="M475" s="504">
        <f>IFERROR(__xludf.DUMMYFUNCTION("""COMPUTED_VALUE"""),0.0)</f>
        <v>0</v>
      </c>
      <c r="N475" s="504">
        <f>IFERROR(__xludf.DUMMYFUNCTION("""COMPUTED_VALUE"""),0.0)</f>
        <v>0</v>
      </c>
      <c r="O475" s="62"/>
      <c r="P475" s="62"/>
      <c r="Q475" s="62"/>
      <c r="R475" s="62"/>
      <c r="S475" s="62"/>
      <c r="T475" s="62"/>
      <c r="U475" s="62"/>
      <c r="V475" s="62"/>
      <c r="W475" s="62"/>
      <c r="X475" s="62"/>
      <c r="Y475" s="62"/>
      <c r="Z475" s="62"/>
    </row>
    <row r="476">
      <c r="A476" s="62"/>
      <c r="B476" s="62"/>
      <c r="C476" s="62"/>
      <c r="D476" s="62"/>
      <c r="E476" s="62"/>
      <c r="F476" s="62"/>
      <c r="G476" s="504">
        <f>IFERROR(__xludf.DUMMYFUNCTION("""COMPUTED_VALUE"""),0.0)</f>
        <v>0</v>
      </c>
      <c r="H476" s="62"/>
      <c r="I476" s="62"/>
      <c r="J476" s="62"/>
      <c r="K476" s="62"/>
      <c r="L476" s="504">
        <f>IFERROR(__xludf.DUMMYFUNCTION("""COMPUTED_VALUE"""),0.0)</f>
        <v>0</v>
      </c>
      <c r="M476" s="504">
        <f>IFERROR(__xludf.DUMMYFUNCTION("""COMPUTED_VALUE"""),0.0)</f>
        <v>0</v>
      </c>
      <c r="N476" s="504">
        <f>IFERROR(__xludf.DUMMYFUNCTION("""COMPUTED_VALUE"""),0.0)</f>
        <v>0</v>
      </c>
      <c r="O476" s="62"/>
      <c r="P476" s="62"/>
      <c r="Q476" s="62"/>
      <c r="R476" s="62"/>
      <c r="S476" s="62"/>
      <c r="T476" s="62"/>
      <c r="U476" s="62"/>
      <c r="V476" s="62"/>
      <c r="W476" s="62"/>
      <c r="X476" s="62"/>
      <c r="Y476" s="62"/>
      <c r="Z476" s="62"/>
    </row>
    <row r="477">
      <c r="A477" s="62"/>
      <c r="B477" s="62" t="str">
        <f>IFERROR(__xludf.DUMMYFUNCTION("""COMPUTED_VALUE"""),"金子")</f>
        <v>金子</v>
      </c>
      <c r="C477" s="62"/>
      <c r="D477" s="62"/>
      <c r="E477" s="62"/>
      <c r="F477" s="62"/>
      <c r="G477" s="504">
        <f>IFERROR(__xludf.DUMMYFUNCTION("""COMPUTED_VALUE"""),0.0)</f>
        <v>0</v>
      </c>
      <c r="H477" s="62"/>
      <c r="I477" s="62"/>
      <c r="J477" s="62"/>
      <c r="K477" s="62"/>
      <c r="L477" s="504">
        <f>IFERROR(__xludf.DUMMYFUNCTION("""COMPUTED_VALUE"""),0.0)</f>
        <v>0</v>
      </c>
      <c r="M477" s="504">
        <f>IFERROR(__xludf.DUMMYFUNCTION("""COMPUTED_VALUE"""),0.0)</f>
        <v>0</v>
      </c>
      <c r="N477" s="504">
        <f>IFERROR(__xludf.DUMMYFUNCTION("""COMPUTED_VALUE"""),0.0)</f>
        <v>0</v>
      </c>
      <c r="O477" s="62"/>
      <c r="P477" s="62"/>
      <c r="Q477" s="62"/>
      <c r="R477" s="62"/>
      <c r="S477" s="62"/>
      <c r="T477" s="62"/>
      <c r="U477" s="62"/>
      <c r="V477" s="62"/>
      <c r="W477" s="62"/>
      <c r="X477" s="62"/>
      <c r="Y477" s="62"/>
      <c r="Z477" s="62"/>
    </row>
    <row r="478">
      <c r="A478" s="62"/>
      <c r="B478" s="62"/>
      <c r="C478" s="62"/>
      <c r="D478" s="62"/>
      <c r="E478" s="62"/>
      <c r="F478" s="62"/>
      <c r="G478" s="504">
        <f>IFERROR(__xludf.DUMMYFUNCTION("""COMPUTED_VALUE"""),0.0)</f>
        <v>0</v>
      </c>
      <c r="H478" s="62"/>
      <c r="I478" s="62"/>
      <c r="J478" s="62"/>
      <c r="K478" s="62"/>
      <c r="L478" s="504">
        <f>IFERROR(__xludf.DUMMYFUNCTION("""COMPUTED_VALUE"""),0.0)</f>
        <v>0</v>
      </c>
      <c r="M478" s="504">
        <f>IFERROR(__xludf.DUMMYFUNCTION("""COMPUTED_VALUE"""),0.0)</f>
        <v>0</v>
      </c>
      <c r="N478" s="504">
        <f>IFERROR(__xludf.DUMMYFUNCTION("""COMPUTED_VALUE"""),0.0)</f>
        <v>0</v>
      </c>
      <c r="O478" s="62"/>
      <c r="P478" s="62"/>
      <c r="Q478" s="62"/>
      <c r="R478" s="62"/>
      <c r="S478" s="62"/>
      <c r="T478" s="62"/>
      <c r="U478" s="62"/>
      <c r="V478" s="62"/>
      <c r="W478" s="62"/>
      <c r="X478" s="62"/>
      <c r="Y478" s="62"/>
      <c r="Z478" s="62"/>
    </row>
    <row r="479">
      <c r="A479" s="62"/>
      <c r="B479" s="552" t="str">
        <f>IFERROR(__xludf.DUMMYFUNCTION("""COMPUTED_VALUE"""),"SMS")</f>
        <v>SMS</v>
      </c>
      <c r="C479" s="62"/>
      <c r="D479" s="62"/>
      <c r="E479" s="62"/>
      <c r="F479" s="62"/>
      <c r="G479" s="504">
        <f>IFERROR(__xludf.DUMMYFUNCTION("""COMPUTED_VALUE"""),0.0)</f>
        <v>0</v>
      </c>
      <c r="H479" s="62"/>
      <c r="I479" s="62">
        <f>IFERROR(__xludf.DUMMYFUNCTION("""COMPUTED_VALUE"""),1.0)</f>
        <v>1</v>
      </c>
      <c r="J479" s="552">
        <f>IFERROR(__xludf.DUMMYFUNCTION("""COMPUTED_VALUE"""),30000.0)</f>
        <v>30000</v>
      </c>
      <c r="K479" s="62"/>
      <c r="L479" s="504">
        <f>IFERROR(__xludf.DUMMYFUNCTION("""COMPUTED_VALUE"""),0.0)</f>
        <v>0</v>
      </c>
      <c r="M479" s="504">
        <f>IFERROR(__xludf.DUMMYFUNCTION("""COMPUTED_VALUE"""),0.0)</f>
        <v>0</v>
      </c>
      <c r="N479" s="504">
        <f>IFERROR(__xludf.DUMMYFUNCTION("""COMPUTED_VALUE"""),0.0)</f>
        <v>0</v>
      </c>
      <c r="O479" s="62"/>
      <c r="P479" s="62"/>
      <c r="Q479" s="62"/>
      <c r="R479" s="62"/>
      <c r="S479" s="62"/>
      <c r="T479" s="62"/>
      <c r="U479" s="62"/>
      <c r="V479" s="62"/>
      <c r="W479" s="62"/>
      <c r="X479" s="62"/>
      <c r="Y479" s="62"/>
      <c r="Z479" s="62"/>
    </row>
    <row r="480">
      <c r="A480" s="62"/>
      <c r="B480" s="62" t="str">
        <f>IFERROR(__xludf.DUMMYFUNCTION("""COMPUTED_VALUE"""),"紹介")</f>
        <v>紹介</v>
      </c>
      <c r="C480" s="62"/>
      <c r="D480" s="62"/>
      <c r="E480" s="62"/>
      <c r="F480" s="62"/>
      <c r="G480" s="504">
        <f>IFERROR(__xludf.DUMMYFUNCTION("""COMPUTED_VALUE"""),0.0)</f>
        <v>0</v>
      </c>
      <c r="H480" s="62"/>
      <c r="I480" s="62"/>
      <c r="J480" s="62"/>
      <c r="K480" s="62"/>
      <c r="L480" s="504">
        <f>IFERROR(__xludf.DUMMYFUNCTION("""COMPUTED_VALUE"""),0.0)</f>
        <v>0</v>
      </c>
      <c r="M480" s="504">
        <f>IFERROR(__xludf.DUMMYFUNCTION("""COMPUTED_VALUE"""),0.0)</f>
        <v>0</v>
      </c>
      <c r="N480" s="504">
        <f>IFERROR(__xludf.DUMMYFUNCTION("""COMPUTED_VALUE"""),0.0)</f>
        <v>0</v>
      </c>
      <c r="O480" s="62"/>
      <c r="P480" s="62"/>
      <c r="Q480" s="62"/>
      <c r="R480" s="62"/>
      <c r="S480" s="62"/>
      <c r="T480" s="62"/>
      <c r="U480" s="62"/>
      <c r="V480" s="62"/>
      <c r="W480" s="62"/>
      <c r="X480" s="62"/>
      <c r="Y480" s="62"/>
      <c r="Z480" s="62"/>
    </row>
    <row r="481">
      <c r="A481" s="62"/>
      <c r="B481" s="62" t="str">
        <f>IFERROR(__xludf.DUMMYFUNCTION("""COMPUTED_VALUE"""),"仁子")</f>
        <v>仁子</v>
      </c>
      <c r="C481" s="62"/>
      <c r="D481" s="62"/>
      <c r="E481" s="62"/>
      <c r="F481" s="62"/>
      <c r="G481" s="504">
        <f>IFERROR(__xludf.DUMMYFUNCTION("""COMPUTED_VALUE"""),0.0)</f>
        <v>0</v>
      </c>
      <c r="H481" s="62"/>
      <c r="I481" s="62">
        <f>IFERROR(__xludf.DUMMYFUNCTION("""COMPUTED_VALUE"""),3.0)</f>
        <v>3</v>
      </c>
      <c r="J481" s="552">
        <f>IFERROR(__xludf.DUMMYFUNCTION("""COMPUTED_VALUE"""),160000.0)</f>
        <v>160000</v>
      </c>
      <c r="K481" s="62"/>
      <c r="L481" s="504">
        <f>IFERROR(__xludf.DUMMYFUNCTION("""COMPUTED_VALUE"""),0.0)</f>
        <v>0</v>
      </c>
      <c r="M481" s="504">
        <f>IFERROR(__xludf.DUMMYFUNCTION("""COMPUTED_VALUE"""),0.0)</f>
        <v>0</v>
      </c>
      <c r="N481" s="504">
        <f>IFERROR(__xludf.DUMMYFUNCTION("""COMPUTED_VALUE"""),0.0)</f>
        <v>0</v>
      </c>
      <c r="O481" s="62"/>
      <c r="P481" s="62"/>
      <c r="Q481" s="62"/>
      <c r="R481" s="62"/>
      <c r="S481" s="62"/>
      <c r="T481" s="62"/>
      <c r="U481" s="62"/>
      <c r="V481" s="62"/>
      <c r="W481" s="62"/>
      <c r="X481" s="62"/>
      <c r="Y481" s="62"/>
      <c r="Z481" s="62"/>
    </row>
    <row r="482">
      <c r="A482" s="62"/>
      <c r="B482" s="62" t="str">
        <f>IFERROR(__xludf.DUMMYFUNCTION("""COMPUTED_VALUE"""),"鈴木")</f>
        <v>鈴木</v>
      </c>
      <c r="C482" s="62">
        <f>IFERROR(__xludf.DUMMYFUNCTION("""COMPUTED_VALUE"""),182.0)</f>
        <v>182</v>
      </c>
      <c r="D482" s="62">
        <f>IFERROR(__xludf.DUMMYFUNCTION("""COMPUTED_VALUE"""),50.0)</f>
        <v>50</v>
      </c>
      <c r="E482" s="62"/>
      <c r="F482" s="62">
        <f>IFERROR(__xludf.DUMMYFUNCTION("""COMPUTED_VALUE"""),50.0)</f>
        <v>50</v>
      </c>
      <c r="G482" s="504">
        <f>IFERROR(__xludf.DUMMYFUNCTION("""COMPUTED_VALUE"""),0.27472527472527475)</f>
        <v>0.2747252747</v>
      </c>
      <c r="H482" s="62"/>
      <c r="I482" s="62"/>
      <c r="J482" s="62"/>
      <c r="K482" s="62"/>
      <c r="L482" s="504">
        <f>IFERROR(__xludf.DUMMYFUNCTION("""COMPUTED_VALUE"""),0.0)</f>
        <v>0</v>
      </c>
      <c r="M482" s="504">
        <f>IFERROR(__xludf.DUMMYFUNCTION("""COMPUTED_VALUE"""),0.0)</f>
        <v>0</v>
      </c>
      <c r="N482" s="504">
        <f>IFERROR(__xludf.DUMMYFUNCTION("""COMPUTED_VALUE"""),0.0)</f>
        <v>0</v>
      </c>
      <c r="O482" s="62" t="str">
        <f>IFERROR(__xludf.DUMMYFUNCTION("""COMPUTED_VALUE"""),"リストS")</f>
        <v>リストS</v>
      </c>
      <c r="P482" s="62"/>
      <c r="Q482" s="62"/>
      <c r="R482" s="62"/>
      <c r="S482" s="62"/>
      <c r="T482" s="62"/>
      <c r="U482" s="62"/>
      <c r="V482" s="62"/>
      <c r="W482" s="62"/>
      <c r="X482" s="62"/>
      <c r="Y482" s="62"/>
      <c r="Z482" s="62"/>
    </row>
    <row r="483">
      <c r="A483" s="62"/>
      <c r="B483" s="62" t="str">
        <f>IFERROR(__xludf.DUMMYFUNCTION("""COMPUTED_VALUE"""),"仲間")</f>
        <v>仲間</v>
      </c>
      <c r="C483" s="62">
        <f>IFERROR(__xludf.DUMMYFUNCTION("""COMPUTED_VALUE"""),128.0)</f>
        <v>128</v>
      </c>
      <c r="D483" s="62">
        <f>IFERROR(__xludf.DUMMYFUNCTION("""COMPUTED_VALUE"""),23.0)</f>
        <v>23</v>
      </c>
      <c r="E483" s="62"/>
      <c r="F483" s="62">
        <f>IFERROR(__xludf.DUMMYFUNCTION("""COMPUTED_VALUE"""),23.0)</f>
        <v>23</v>
      </c>
      <c r="G483" s="504">
        <f>IFERROR(__xludf.DUMMYFUNCTION("""COMPUTED_VALUE"""),0.1796875)</f>
        <v>0.1796875</v>
      </c>
      <c r="H483" s="62">
        <f>IFERROR(__xludf.DUMMYFUNCTION("""COMPUTED_VALUE"""),1.0)</f>
        <v>1</v>
      </c>
      <c r="I483" s="62"/>
      <c r="J483" s="62"/>
      <c r="K483" s="62"/>
      <c r="L483" s="504">
        <f>IFERROR(__xludf.DUMMYFUNCTION("""COMPUTED_VALUE"""),0.0078125)</f>
        <v>0.0078125</v>
      </c>
      <c r="M483" s="504">
        <f>IFERROR(__xludf.DUMMYFUNCTION("""COMPUTED_VALUE"""),0.0)</f>
        <v>0</v>
      </c>
      <c r="N483" s="504">
        <f>IFERROR(__xludf.DUMMYFUNCTION("""COMPUTED_VALUE"""),0.0)</f>
        <v>0</v>
      </c>
      <c r="O483" s="62" t="str">
        <f>IFERROR(__xludf.DUMMYFUNCTION("""COMPUTED_VALUE"""),"リストS")</f>
        <v>リストS</v>
      </c>
      <c r="P483" s="553" t="str">
        <f>IFERROR(__xludf.DUMMYFUNCTION("""COMPUTED_VALUE"""),"祝日")</f>
        <v>祝日</v>
      </c>
      <c r="Q483" s="62"/>
      <c r="R483" s="62"/>
      <c r="S483" s="62"/>
      <c r="T483" s="62"/>
      <c r="U483" s="62"/>
      <c r="V483" s="62"/>
      <c r="W483" s="62"/>
      <c r="X483" s="62"/>
      <c r="Y483" s="62"/>
      <c r="Z483" s="62"/>
    </row>
    <row r="484">
      <c r="A484" s="62"/>
      <c r="B484" s="62"/>
      <c r="C484" s="62"/>
      <c r="D484" s="62"/>
      <c r="E484" s="62"/>
      <c r="F484" s="62"/>
      <c r="G484" s="504">
        <f>IFERROR(__xludf.DUMMYFUNCTION("""COMPUTED_VALUE"""),0.0)</f>
        <v>0</v>
      </c>
      <c r="H484" s="62"/>
      <c r="I484" s="62"/>
      <c r="J484" s="62"/>
      <c r="K484" s="62"/>
      <c r="L484" s="504">
        <f>IFERROR(__xludf.DUMMYFUNCTION("""COMPUTED_VALUE"""),0.0)</f>
        <v>0</v>
      </c>
      <c r="M484" s="504">
        <f>IFERROR(__xludf.DUMMYFUNCTION("""COMPUTED_VALUE"""),0.0)</f>
        <v>0</v>
      </c>
      <c r="N484" s="504">
        <f>IFERROR(__xludf.DUMMYFUNCTION("""COMPUTED_VALUE"""),0.0)</f>
        <v>0</v>
      </c>
      <c r="O484" s="62"/>
      <c r="P484" s="62"/>
      <c r="Q484" s="62"/>
      <c r="R484" s="62"/>
      <c r="S484" s="62"/>
      <c r="T484" s="62"/>
      <c r="U484" s="62"/>
      <c r="V484" s="62"/>
      <c r="W484" s="62"/>
      <c r="X484" s="62"/>
      <c r="Y484" s="62"/>
      <c r="Z484" s="62"/>
    </row>
    <row r="485">
      <c r="A485" s="62"/>
      <c r="B485" s="62" t="str">
        <f>IFERROR(__xludf.DUMMYFUNCTION("""COMPUTED_VALUE"""),"合計")</f>
        <v>合計</v>
      </c>
      <c r="C485" s="62">
        <f>IFERROR(__xludf.DUMMYFUNCTION("""COMPUTED_VALUE"""),676.0)</f>
        <v>676</v>
      </c>
      <c r="D485" s="62">
        <f>IFERROR(__xludf.DUMMYFUNCTION("""COMPUTED_VALUE"""),121.0)</f>
        <v>121</v>
      </c>
      <c r="E485" s="62">
        <f>IFERROR(__xludf.DUMMYFUNCTION("""COMPUTED_VALUE"""),5.0)</f>
        <v>5</v>
      </c>
      <c r="F485" s="62">
        <f>IFERROR(__xludf.DUMMYFUNCTION("""COMPUTED_VALUE"""),107.0)</f>
        <v>107</v>
      </c>
      <c r="G485" s="504">
        <f>IFERROR(__xludf.DUMMYFUNCTION("""COMPUTED_VALUE"""),0.17899408284023668)</f>
        <v>0.1789940828</v>
      </c>
      <c r="H485" s="62">
        <f>IFERROR(__xludf.DUMMYFUNCTION("""COMPUTED_VALUE"""),9.0)</f>
        <v>9</v>
      </c>
      <c r="I485" s="62">
        <f>IFERROR(__xludf.DUMMYFUNCTION("""COMPUTED_VALUE"""),10.0)</f>
        <v>10</v>
      </c>
      <c r="J485" s="552">
        <f>IFERROR(__xludf.DUMMYFUNCTION("""COMPUTED_VALUE"""),420000.0)</f>
        <v>420000</v>
      </c>
      <c r="K485" s="62">
        <f>IFERROR(__xludf.DUMMYFUNCTION("""COMPUTED_VALUE"""),13.0)</f>
        <v>13</v>
      </c>
      <c r="L485" s="504">
        <f>IFERROR(__xludf.DUMMYFUNCTION("""COMPUTED_VALUE"""),0.013313609467455622)</f>
        <v>0.01331360947</v>
      </c>
      <c r="M485" s="504">
        <f>IFERROR(__xludf.DUMMYFUNCTION("""COMPUTED_VALUE"""),0.014792899408284023)</f>
        <v>0.01479289941</v>
      </c>
      <c r="N485" s="504">
        <f>IFERROR(__xludf.DUMMYFUNCTION("""COMPUTED_VALUE"""),1.1111111111111112)</f>
        <v>1.111111111</v>
      </c>
      <c r="O485" s="62"/>
      <c r="P485" s="62"/>
      <c r="Q485" s="62"/>
      <c r="R485" s="62"/>
      <c r="S485" s="62"/>
      <c r="T485" s="62"/>
      <c r="U485" s="62"/>
      <c r="V485" s="62"/>
      <c r="W485" s="62"/>
      <c r="X485" s="62"/>
      <c r="Y485" s="62"/>
      <c r="Z485" s="62"/>
    </row>
    <row r="486">
      <c r="A486" s="62" t="str">
        <f>IFERROR(__xludf.DUMMYFUNCTION("""COMPUTED_VALUE"""),"日付")</f>
        <v>日付</v>
      </c>
      <c r="B486" s="62" t="str">
        <f>IFERROR(__xludf.DUMMYFUNCTION("""COMPUTED_VALUE"""),"名前")</f>
        <v>名前</v>
      </c>
      <c r="C486" s="62" t="str">
        <f>IFERROR(__xludf.DUMMYFUNCTION("""COMPUTED_VALUE"""),"打電件数")</f>
        <v>打電件数</v>
      </c>
      <c r="D486" s="62" t="str">
        <f>IFERROR(__xludf.DUMMYFUNCTION("""COMPUTED_VALUE"""),"着電件数")</f>
        <v>着電件数</v>
      </c>
      <c r="E486" s="62" t="str">
        <f>IFERROR(__xludf.DUMMYFUNCTION("""COMPUTED_VALUE"""),"折り返し件数")</f>
        <v>折り返し件数</v>
      </c>
      <c r="F486" s="62" t="str">
        <f>IFERROR(__xludf.DUMMYFUNCTION("""COMPUTED_VALUE"""),"拒否")</f>
        <v>拒否</v>
      </c>
      <c r="G486" s="62" t="str">
        <f>IFERROR(__xludf.DUMMYFUNCTION("""COMPUTED_VALUE"""),"着電率")</f>
        <v>着電率</v>
      </c>
      <c r="H486" s="62" t="str">
        <f>IFERROR(__xludf.DUMMYFUNCTION("""COMPUTED_VALUE"""),"LINE登録")</f>
        <v>LINE登録</v>
      </c>
      <c r="I486" s="62" t="str">
        <f>IFERROR(__xludf.DUMMYFUNCTION("""COMPUTED_VALUE"""),"アカウント作成")</f>
        <v>アカウント作成</v>
      </c>
      <c r="J486" s="552" t="str">
        <f>IFERROR(__xludf.DUMMYFUNCTION("""COMPUTED_VALUE"""),"新規信用枠額")</f>
        <v>新規信用枠額</v>
      </c>
      <c r="K486" s="62" t="str">
        <f>IFERROR(__xludf.DUMMYFUNCTION("""COMPUTED_VALUE"""),"リスト死回線数")</f>
        <v>リスト死回線数</v>
      </c>
      <c r="L486" s="62" t="str">
        <f>IFERROR(__xludf.DUMMYFUNCTION("""COMPUTED_VALUE"""),"LINE率(打電から)")</f>
        <v>LINE率(打電から)</v>
      </c>
      <c r="M486" s="62" t="str">
        <f>IFERROR(__xludf.DUMMYFUNCTION("""COMPUTED_VALUE"""),"アカウント作成率(打電から)")</f>
        <v>アカウント作成率(打電から)</v>
      </c>
      <c r="N486" s="62" t="str">
        <f>IFERROR(__xludf.DUMMYFUNCTION("""COMPUTED_VALUE"""),"アカウント作成率(LINEから)")</f>
        <v>アカウント作成率(LINEから)</v>
      </c>
      <c r="O486" s="62" t="str">
        <f>IFERROR(__xludf.DUMMYFUNCTION("""COMPUTED_VALUE"""),"リスト名")</f>
        <v>リスト名</v>
      </c>
      <c r="P486" s="553" t="str">
        <f>IFERROR(__xludf.DUMMYFUNCTION("""COMPUTED_VALUE"""),"日本基準")</f>
        <v>日本基準</v>
      </c>
      <c r="Q486" s="62"/>
      <c r="R486" s="62"/>
      <c r="S486" s="62"/>
      <c r="T486" s="62"/>
      <c r="U486" s="62"/>
      <c r="V486" s="62"/>
      <c r="W486" s="62"/>
      <c r="X486" s="62"/>
      <c r="Y486" s="62"/>
      <c r="Z486" s="62"/>
    </row>
    <row r="487">
      <c r="A487" s="556">
        <f>IFERROR(__xludf.DUMMYFUNCTION("""COMPUTED_VALUE"""),45924.0)</f>
        <v>45924</v>
      </c>
      <c r="B487" s="62" t="str">
        <f>IFERROR(__xludf.DUMMYFUNCTION("""COMPUTED_VALUE"""),"あり")</f>
        <v>あり</v>
      </c>
      <c r="C487" s="62">
        <f>IFERROR(__xludf.DUMMYFUNCTION("""COMPUTED_VALUE"""),45.0)</f>
        <v>45</v>
      </c>
      <c r="D487" s="62">
        <f>IFERROR(__xludf.DUMMYFUNCTION("""COMPUTED_VALUE"""),5.0)</f>
        <v>5</v>
      </c>
      <c r="E487" s="62"/>
      <c r="F487" s="62">
        <f>IFERROR(__xludf.DUMMYFUNCTION("""COMPUTED_VALUE"""),4.0)</f>
        <v>4</v>
      </c>
      <c r="G487" s="504">
        <f>IFERROR(__xludf.DUMMYFUNCTION("""COMPUTED_VALUE"""),0.1111111111111111)</f>
        <v>0.1111111111</v>
      </c>
      <c r="H487" s="62"/>
      <c r="I487" s="62"/>
      <c r="J487" s="62"/>
      <c r="K487" s="62"/>
      <c r="L487" s="504">
        <f>IFERROR(__xludf.DUMMYFUNCTION("""COMPUTED_VALUE"""),0.0)</f>
        <v>0</v>
      </c>
      <c r="M487" s="504">
        <f>IFERROR(__xludf.DUMMYFUNCTION("""COMPUTED_VALUE"""),0.0)</f>
        <v>0</v>
      </c>
      <c r="N487" s="504">
        <f>IFERROR(__xludf.DUMMYFUNCTION("""COMPUTED_VALUE"""),0.0)</f>
        <v>0</v>
      </c>
      <c r="O487" s="62" t="str">
        <f>IFERROR(__xludf.DUMMYFUNCTION("""COMPUTED_VALUE"""),"リストS")</f>
        <v>リストS</v>
      </c>
      <c r="P487" s="553" t="str">
        <f>IFERROR(__xludf.DUMMYFUNCTION("""COMPUTED_VALUE"""),"平日")</f>
        <v>平日</v>
      </c>
      <c r="Q487" s="62"/>
      <c r="R487" s="62"/>
      <c r="S487" s="62"/>
      <c r="T487" s="62"/>
      <c r="U487" s="62"/>
      <c r="V487" s="62"/>
      <c r="W487" s="62"/>
      <c r="X487" s="62"/>
      <c r="Y487" s="62"/>
      <c r="Z487" s="62"/>
    </row>
    <row r="488">
      <c r="A488" s="62"/>
      <c r="B488" s="62" t="str">
        <f>IFERROR(__xludf.DUMMYFUNCTION("""COMPUTED_VALUE"""),"しょうま")</f>
        <v>しょうま</v>
      </c>
      <c r="C488" s="62">
        <f>IFERROR(__xludf.DUMMYFUNCTION("""COMPUTED_VALUE"""),87.0)</f>
        <v>87</v>
      </c>
      <c r="D488" s="62">
        <f>IFERROR(__xludf.DUMMYFUNCTION("""COMPUTED_VALUE"""),8.0)</f>
        <v>8</v>
      </c>
      <c r="E488" s="62">
        <f>IFERROR(__xludf.DUMMYFUNCTION("""COMPUTED_VALUE"""),1.0)</f>
        <v>1</v>
      </c>
      <c r="F488" s="62">
        <f>IFERROR(__xludf.DUMMYFUNCTION("""COMPUTED_VALUE"""),3.0)</f>
        <v>3</v>
      </c>
      <c r="G488" s="504">
        <f>IFERROR(__xludf.DUMMYFUNCTION("""COMPUTED_VALUE"""),0.09195402298850575)</f>
        <v>0.09195402299</v>
      </c>
      <c r="H488" s="62">
        <f>IFERROR(__xludf.DUMMYFUNCTION("""COMPUTED_VALUE"""),4.0)</f>
        <v>4</v>
      </c>
      <c r="I488" s="62">
        <f>IFERROR(__xludf.DUMMYFUNCTION("""COMPUTED_VALUE"""),4.0)</f>
        <v>4</v>
      </c>
      <c r="J488" s="62">
        <f>IFERROR(__xludf.DUMMYFUNCTION("""COMPUTED_VALUE"""),160000.0)</f>
        <v>160000</v>
      </c>
      <c r="K488" s="62"/>
      <c r="L488" s="504">
        <f>IFERROR(__xludf.DUMMYFUNCTION("""COMPUTED_VALUE"""),0.04597701149425287)</f>
        <v>0.04597701149</v>
      </c>
      <c r="M488" s="504">
        <f>IFERROR(__xludf.DUMMYFUNCTION("""COMPUTED_VALUE"""),0.04597701149425287)</f>
        <v>0.04597701149</v>
      </c>
      <c r="N488" s="504">
        <f>IFERROR(__xludf.DUMMYFUNCTION("""COMPUTED_VALUE"""),1.0)</f>
        <v>1</v>
      </c>
      <c r="O488" s="62"/>
      <c r="P488" s="62"/>
      <c r="Q488" s="62"/>
      <c r="R488" s="62"/>
      <c r="S488" s="62"/>
      <c r="T488" s="62"/>
      <c r="U488" s="62"/>
      <c r="V488" s="62"/>
      <c r="W488" s="62"/>
      <c r="X488" s="62"/>
      <c r="Y488" s="62"/>
      <c r="Z488" s="62"/>
    </row>
    <row r="489">
      <c r="A489" s="62"/>
      <c r="B489" s="62"/>
      <c r="C489" s="62"/>
      <c r="D489" s="62"/>
      <c r="E489" s="62"/>
      <c r="F489" s="62"/>
      <c r="G489" s="504">
        <f>IFERROR(__xludf.DUMMYFUNCTION("""COMPUTED_VALUE"""),0.0)</f>
        <v>0</v>
      </c>
      <c r="H489" s="62"/>
      <c r="I489" s="62"/>
      <c r="J489" s="62"/>
      <c r="K489" s="62"/>
      <c r="L489" s="504">
        <f>IFERROR(__xludf.DUMMYFUNCTION("""COMPUTED_VALUE"""),0.0)</f>
        <v>0</v>
      </c>
      <c r="M489" s="504">
        <f>IFERROR(__xludf.DUMMYFUNCTION("""COMPUTED_VALUE"""),0.0)</f>
        <v>0</v>
      </c>
      <c r="N489" s="504">
        <f>IFERROR(__xludf.DUMMYFUNCTION("""COMPUTED_VALUE"""),0.0)</f>
        <v>0</v>
      </c>
      <c r="O489" s="62"/>
      <c r="P489" s="62"/>
      <c r="Q489" s="62"/>
      <c r="R489" s="62"/>
      <c r="S489" s="62"/>
      <c r="T489" s="62"/>
      <c r="U489" s="62"/>
      <c r="V489" s="62"/>
      <c r="W489" s="62"/>
      <c r="X489" s="62"/>
      <c r="Y489" s="62"/>
      <c r="Z489" s="62"/>
    </row>
    <row r="490">
      <c r="A490" s="62"/>
      <c r="B490" s="62" t="str">
        <f>IFERROR(__xludf.DUMMYFUNCTION("""COMPUTED_VALUE"""),"ジョーナ")</f>
        <v>ジョーナ</v>
      </c>
      <c r="C490" s="62"/>
      <c r="D490" s="62"/>
      <c r="E490" s="62"/>
      <c r="F490" s="62"/>
      <c r="G490" s="504">
        <f>IFERROR(__xludf.DUMMYFUNCTION("""COMPUTED_VALUE"""),0.0)</f>
        <v>0</v>
      </c>
      <c r="H490" s="62"/>
      <c r="I490" s="62"/>
      <c r="J490" s="62"/>
      <c r="K490" s="62"/>
      <c r="L490" s="504">
        <f>IFERROR(__xludf.DUMMYFUNCTION("""COMPUTED_VALUE"""),0.0)</f>
        <v>0</v>
      </c>
      <c r="M490" s="504">
        <f>IFERROR(__xludf.DUMMYFUNCTION("""COMPUTED_VALUE"""),0.0)</f>
        <v>0</v>
      </c>
      <c r="N490" s="504">
        <f>IFERROR(__xludf.DUMMYFUNCTION("""COMPUTED_VALUE"""),0.0)</f>
        <v>0</v>
      </c>
      <c r="O490" s="62"/>
      <c r="P490" s="62"/>
      <c r="Q490" s="62"/>
      <c r="R490" s="62"/>
      <c r="S490" s="62"/>
      <c r="T490" s="62"/>
      <c r="U490" s="62"/>
      <c r="V490" s="62"/>
      <c r="W490" s="62"/>
      <c r="X490" s="62"/>
      <c r="Y490" s="62"/>
      <c r="Z490" s="62"/>
    </row>
    <row r="491">
      <c r="A491" s="62"/>
      <c r="B491" s="62" t="str">
        <f>IFERROR(__xludf.DUMMYFUNCTION("""COMPUTED_VALUE"""),"武田")</f>
        <v>武田</v>
      </c>
      <c r="C491" s="62"/>
      <c r="D491" s="62"/>
      <c r="E491" s="62"/>
      <c r="F491" s="62"/>
      <c r="G491" s="504">
        <f>IFERROR(__xludf.DUMMYFUNCTION("""COMPUTED_VALUE"""),0.0)</f>
        <v>0</v>
      </c>
      <c r="H491" s="62"/>
      <c r="I491" s="62"/>
      <c r="J491" s="62"/>
      <c r="K491" s="62"/>
      <c r="L491" s="504">
        <f>IFERROR(__xludf.DUMMYFUNCTION("""COMPUTED_VALUE"""),0.0)</f>
        <v>0</v>
      </c>
      <c r="M491" s="504">
        <f>IFERROR(__xludf.DUMMYFUNCTION("""COMPUTED_VALUE"""),0.0)</f>
        <v>0</v>
      </c>
      <c r="N491" s="504">
        <f>IFERROR(__xludf.DUMMYFUNCTION("""COMPUTED_VALUE"""),0.0)</f>
        <v>0</v>
      </c>
      <c r="O491" s="62"/>
      <c r="P491" s="62"/>
      <c r="Q491" s="62"/>
      <c r="R491" s="62"/>
      <c r="S491" s="62"/>
      <c r="T491" s="62"/>
      <c r="U491" s="62"/>
      <c r="V491" s="62"/>
      <c r="W491" s="62"/>
      <c r="X491" s="62"/>
      <c r="Y491" s="62"/>
      <c r="Z491" s="62"/>
    </row>
    <row r="492">
      <c r="A492" s="62"/>
      <c r="B492" s="62" t="str">
        <f>IFERROR(__xludf.DUMMYFUNCTION("""COMPUTED_VALUE"""),"高木")</f>
        <v>高木</v>
      </c>
      <c r="C492" s="62">
        <f>IFERROR(__xludf.DUMMYFUNCTION("""COMPUTED_VALUE"""),157.0)</f>
        <v>157</v>
      </c>
      <c r="D492" s="62">
        <f>IFERROR(__xludf.DUMMYFUNCTION("""COMPUTED_VALUE"""),24.0)</f>
        <v>24</v>
      </c>
      <c r="E492" s="62">
        <f>IFERROR(__xludf.DUMMYFUNCTION("""COMPUTED_VALUE"""),1.0)</f>
        <v>1</v>
      </c>
      <c r="F492" s="62">
        <f>IFERROR(__xludf.DUMMYFUNCTION("""COMPUTED_VALUE"""),17.0)</f>
        <v>17</v>
      </c>
      <c r="G492" s="504">
        <f>IFERROR(__xludf.DUMMYFUNCTION("""COMPUTED_VALUE"""),0.15286624203821655)</f>
        <v>0.152866242</v>
      </c>
      <c r="H492" s="62"/>
      <c r="I492" s="62"/>
      <c r="J492" s="62"/>
      <c r="K492" s="62"/>
      <c r="L492" s="504">
        <f>IFERROR(__xludf.DUMMYFUNCTION("""COMPUTED_VALUE"""),0.0)</f>
        <v>0</v>
      </c>
      <c r="M492" s="504">
        <f>IFERROR(__xludf.DUMMYFUNCTION("""COMPUTED_VALUE"""),0.0)</f>
        <v>0</v>
      </c>
      <c r="N492" s="504">
        <f>IFERROR(__xludf.DUMMYFUNCTION("""COMPUTED_VALUE"""),0.0)</f>
        <v>0</v>
      </c>
      <c r="O492" s="62"/>
      <c r="P492" s="62"/>
      <c r="Q492" s="62"/>
      <c r="R492" s="62"/>
      <c r="S492" s="62"/>
      <c r="T492" s="62"/>
      <c r="U492" s="62"/>
      <c r="V492" s="62"/>
      <c r="W492" s="62"/>
      <c r="X492" s="62"/>
      <c r="Y492" s="62"/>
      <c r="Z492" s="62"/>
    </row>
    <row r="493">
      <c r="A493" s="62"/>
      <c r="B493" s="62"/>
      <c r="C493" s="62"/>
      <c r="D493" s="62"/>
      <c r="E493" s="62"/>
      <c r="F493" s="62"/>
      <c r="G493" s="504">
        <f>IFERROR(__xludf.DUMMYFUNCTION("""COMPUTED_VALUE"""),0.0)</f>
        <v>0</v>
      </c>
      <c r="H493" s="62"/>
      <c r="I493" s="62"/>
      <c r="J493" s="62"/>
      <c r="K493" s="62"/>
      <c r="L493" s="504">
        <f>IFERROR(__xludf.DUMMYFUNCTION("""COMPUTED_VALUE"""),0.0)</f>
        <v>0</v>
      </c>
      <c r="M493" s="504">
        <f>IFERROR(__xludf.DUMMYFUNCTION("""COMPUTED_VALUE"""),0.0)</f>
        <v>0</v>
      </c>
      <c r="N493" s="504">
        <f>IFERROR(__xludf.DUMMYFUNCTION("""COMPUTED_VALUE"""),0.0)</f>
        <v>0</v>
      </c>
      <c r="O493" s="62"/>
      <c r="P493" s="62"/>
      <c r="Q493" s="62"/>
      <c r="R493" s="62"/>
      <c r="S493" s="62"/>
      <c r="T493" s="62"/>
      <c r="U493" s="62"/>
      <c r="V493" s="62"/>
      <c r="W493" s="62"/>
      <c r="X493" s="62"/>
      <c r="Y493" s="62"/>
      <c r="Z493" s="62"/>
    </row>
    <row r="494">
      <c r="A494" s="62"/>
      <c r="B494" s="62" t="str">
        <f>IFERROR(__xludf.DUMMYFUNCTION("""COMPUTED_VALUE"""),"大谷")</f>
        <v>大谷</v>
      </c>
      <c r="C494" s="62"/>
      <c r="D494" s="62"/>
      <c r="E494" s="62"/>
      <c r="F494" s="62"/>
      <c r="G494" s="504">
        <f>IFERROR(__xludf.DUMMYFUNCTION("""COMPUTED_VALUE"""),0.0)</f>
        <v>0</v>
      </c>
      <c r="H494" s="62"/>
      <c r="I494" s="62"/>
      <c r="J494" s="62"/>
      <c r="K494" s="62"/>
      <c r="L494" s="504">
        <f>IFERROR(__xludf.DUMMYFUNCTION("""COMPUTED_VALUE"""),0.0)</f>
        <v>0</v>
      </c>
      <c r="M494" s="504">
        <f>IFERROR(__xludf.DUMMYFUNCTION("""COMPUTED_VALUE"""),0.0)</f>
        <v>0</v>
      </c>
      <c r="N494" s="504">
        <f>IFERROR(__xludf.DUMMYFUNCTION("""COMPUTED_VALUE"""),0.0)</f>
        <v>0</v>
      </c>
      <c r="O494" s="62"/>
      <c r="P494" s="62"/>
      <c r="Q494" s="62"/>
      <c r="R494" s="62"/>
      <c r="S494" s="62"/>
      <c r="T494" s="62"/>
      <c r="U494" s="62"/>
      <c r="V494" s="62"/>
      <c r="W494" s="62"/>
      <c r="X494" s="62"/>
      <c r="Y494" s="62"/>
      <c r="Z494" s="62"/>
    </row>
    <row r="495">
      <c r="A495" s="62"/>
      <c r="B495" s="62"/>
      <c r="C495" s="62"/>
      <c r="D495" s="62"/>
      <c r="E495" s="62"/>
      <c r="F495" s="62"/>
      <c r="G495" s="504">
        <f>IFERROR(__xludf.DUMMYFUNCTION("""COMPUTED_VALUE"""),0.0)</f>
        <v>0</v>
      </c>
      <c r="H495" s="62"/>
      <c r="I495" s="62"/>
      <c r="J495" s="62"/>
      <c r="K495" s="62"/>
      <c r="L495" s="504">
        <f>IFERROR(__xludf.DUMMYFUNCTION("""COMPUTED_VALUE"""),0.0)</f>
        <v>0</v>
      </c>
      <c r="M495" s="504">
        <f>IFERROR(__xludf.DUMMYFUNCTION("""COMPUTED_VALUE"""),0.0)</f>
        <v>0</v>
      </c>
      <c r="N495" s="504">
        <f>IFERROR(__xludf.DUMMYFUNCTION("""COMPUTED_VALUE"""),0.0)</f>
        <v>0</v>
      </c>
      <c r="O495" s="62"/>
      <c r="P495" s="62"/>
      <c r="Q495" s="62"/>
      <c r="R495" s="62"/>
      <c r="S495" s="62"/>
      <c r="T495" s="62"/>
      <c r="U495" s="62"/>
      <c r="V495" s="62"/>
      <c r="W495" s="62"/>
      <c r="X495" s="62"/>
      <c r="Y495" s="62"/>
      <c r="Z495" s="62"/>
    </row>
    <row r="496">
      <c r="A496" s="62"/>
      <c r="B496" s="62" t="str">
        <f>IFERROR(__xludf.DUMMYFUNCTION("""COMPUTED_VALUE"""),"森")</f>
        <v>森</v>
      </c>
      <c r="C496" s="62"/>
      <c r="D496" s="62"/>
      <c r="E496" s="62"/>
      <c r="F496" s="62"/>
      <c r="G496" s="504">
        <f>IFERROR(__xludf.DUMMYFUNCTION("""COMPUTED_VALUE"""),0.0)</f>
        <v>0</v>
      </c>
      <c r="H496" s="62"/>
      <c r="I496" s="62"/>
      <c r="J496" s="62"/>
      <c r="K496" s="62"/>
      <c r="L496" s="504">
        <f>IFERROR(__xludf.DUMMYFUNCTION("""COMPUTED_VALUE"""),0.0)</f>
        <v>0</v>
      </c>
      <c r="M496" s="504">
        <f>IFERROR(__xludf.DUMMYFUNCTION("""COMPUTED_VALUE"""),0.0)</f>
        <v>0</v>
      </c>
      <c r="N496" s="504">
        <f>IFERROR(__xludf.DUMMYFUNCTION("""COMPUTED_VALUE"""),0.0)</f>
        <v>0</v>
      </c>
      <c r="O496" s="62"/>
      <c r="P496" s="62"/>
      <c r="Q496" s="62"/>
      <c r="R496" s="62"/>
      <c r="S496" s="62"/>
      <c r="T496" s="62"/>
      <c r="U496" s="62"/>
      <c r="V496" s="62"/>
      <c r="W496" s="62"/>
      <c r="X496" s="62"/>
      <c r="Y496" s="62"/>
      <c r="Z496" s="62"/>
    </row>
    <row r="497">
      <c r="A497" s="62"/>
      <c r="B497" s="62"/>
      <c r="C497" s="62"/>
      <c r="D497" s="62"/>
      <c r="E497" s="62"/>
      <c r="F497" s="62"/>
      <c r="G497" s="504">
        <f>IFERROR(__xludf.DUMMYFUNCTION("""COMPUTED_VALUE"""),0.0)</f>
        <v>0</v>
      </c>
      <c r="H497" s="62"/>
      <c r="I497" s="62"/>
      <c r="J497" s="62"/>
      <c r="K497" s="62"/>
      <c r="L497" s="504">
        <f>IFERROR(__xludf.DUMMYFUNCTION("""COMPUTED_VALUE"""),0.0)</f>
        <v>0</v>
      </c>
      <c r="M497" s="504">
        <f>IFERROR(__xludf.DUMMYFUNCTION("""COMPUTED_VALUE"""),0.0)</f>
        <v>0</v>
      </c>
      <c r="N497" s="504">
        <f>IFERROR(__xludf.DUMMYFUNCTION("""COMPUTED_VALUE"""),0.0)</f>
        <v>0</v>
      </c>
      <c r="O497" s="62"/>
      <c r="P497" s="62"/>
      <c r="Q497" s="62"/>
      <c r="R497" s="62"/>
      <c r="S497" s="62"/>
      <c r="T497" s="62"/>
      <c r="U497" s="62"/>
      <c r="V497" s="62"/>
      <c r="W497" s="62"/>
      <c r="X497" s="62"/>
      <c r="Y497" s="62"/>
      <c r="Z497" s="62"/>
    </row>
    <row r="498">
      <c r="A498" s="62"/>
      <c r="B498" s="62" t="str">
        <f>IFERROR(__xludf.DUMMYFUNCTION("""COMPUTED_VALUE"""),"金子")</f>
        <v>金子</v>
      </c>
      <c r="C498" s="62"/>
      <c r="D498" s="62"/>
      <c r="E498" s="62"/>
      <c r="F498" s="62"/>
      <c r="G498" s="504">
        <f>IFERROR(__xludf.DUMMYFUNCTION("""COMPUTED_VALUE"""),0.0)</f>
        <v>0</v>
      </c>
      <c r="H498" s="62"/>
      <c r="I498" s="62"/>
      <c r="J498" s="62"/>
      <c r="K498" s="62"/>
      <c r="L498" s="504">
        <f>IFERROR(__xludf.DUMMYFUNCTION("""COMPUTED_VALUE"""),0.0)</f>
        <v>0</v>
      </c>
      <c r="M498" s="504">
        <f>IFERROR(__xludf.DUMMYFUNCTION("""COMPUTED_VALUE"""),0.0)</f>
        <v>0</v>
      </c>
      <c r="N498" s="504">
        <f>IFERROR(__xludf.DUMMYFUNCTION("""COMPUTED_VALUE"""),0.0)</f>
        <v>0</v>
      </c>
      <c r="O498" s="62"/>
      <c r="P498" s="62"/>
      <c r="Q498" s="62"/>
      <c r="R498" s="62"/>
      <c r="S498" s="62"/>
      <c r="T498" s="62"/>
      <c r="U498" s="62"/>
      <c r="V498" s="62"/>
      <c r="W498" s="62"/>
      <c r="X498" s="62"/>
      <c r="Y498" s="62"/>
      <c r="Z498" s="62"/>
    </row>
    <row r="499">
      <c r="A499" s="62"/>
      <c r="B499" s="62"/>
      <c r="C499" s="62"/>
      <c r="D499" s="62"/>
      <c r="E499" s="62"/>
      <c r="F499" s="62"/>
      <c r="G499" s="504">
        <f>IFERROR(__xludf.DUMMYFUNCTION("""COMPUTED_VALUE"""),0.0)</f>
        <v>0</v>
      </c>
      <c r="H499" s="62"/>
      <c r="I499" s="62"/>
      <c r="J499" s="62"/>
      <c r="K499" s="62"/>
      <c r="L499" s="504">
        <f>IFERROR(__xludf.DUMMYFUNCTION("""COMPUTED_VALUE"""),0.0)</f>
        <v>0</v>
      </c>
      <c r="M499" s="504">
        <f>IFERROR(__xludf.DUMMYFUNCTION("""COMPUTED_VALUE"""),0.0)</f>
        <v>0</v>
      </c>
      <c r="N499" s="504">
        <f>IFERROR(__xludf.DUMMYFUNCTION("""COMPUTED_VALUE"""),0.0)</f>
        <v>0</v>
      </c>
      <c r="O499" s="62"/>
      <c r="P499" s="62"/>
      <c r="Q499" s="62"/>
      <c r="R499" s="62"/>
      <c r="S499" s="62"/>
      <c r="T499" s="62"/>
      <c r="U499" s="62"/>
      <c r="V499" s="62"/>
      <c r="W499" s="62"/>
      <c r="X499" s="62"/>
      <c r="Y499" s="62"/>
      <c r="Z499" s="62"/>
    </row>
    <row r="500">
      <c r="A500" s="62"/>
      <c r="B500" s="552" t="str">
        <f>IFERROR(__xludf.DUMMYFUNCTION("""COMPUTED_VALUE"""),"SMS")</f>
        <v>SMS</v>
      </c>
      <c r="C500" s="62"/>
      <c r="D500" s="62"/>
      <c r="E500" s="62"/>
      <c r="F500" s="62"/>
      <c r="G500" s="504">
        <f>IFERROR(__xludf.DUMMYFUNCTION("""COMPUTED_VALUE"""),0.0)</f>
        <v>0</v>
      </c>
      <c r="H500" s="62"/>
      <c r="I500" s="62"/>
      <c r="J500" s="62"/>
      <c r="K500" s="62"/>
      <c r="L500" s="504">
        <f>IFERROR(__xludf.DUMMYFUNCTION("""COMPUTED_VALUE"""),0.0)</f>
        <v>0</v>
      </c>
      <c r="M500" s="504">
        <f>IFERROR(__xludf.DUMMYFUNCTION("""COMPUTED_VALUE"""),0.0)</f>
        <v>0</v>
      </c>
      <c r="N500" s="504">
        <f>IFERROR(__xludf.DUMMYFUNCTION("""COMPUTED_VALUE"""),0.0)</f>
        <v>0</v>
      </c>
      <c r="O500" s="62"/>
      <c r="P500" s="62"/>
      <c r="Q500" s="62"/>
      <c r="R500" s="62"/>
      <c r="S500" s="62"/>
      <c r="T500" s="62"/>
      <c r="U500" s="62"/>
      <c r="V500" s="62"/>
      <c r="W500" s="62"/>
      <c r="X500" s="62"/>
      <c r="Y500" s="62"/>
      <c r="Z500" s="62"/>
    </row>
    <row r="501">
      <c r="A501" s="62"/>
      <c r="B501" s="62" t="str">
        <f>IFERROR(__xludf.DUMMYFUNCTION("""COMPUTED_VALUE"""),"紹介")</f>
        <v>紹介</v>
      </c>
      <c r="C501" s="62"/>
      <c r="D501" s="62"/>
      <c r="E501" s="62"/>
      <c r="F501" s="62"/>
      <c r="G501" s="504">
        <f>IFERROR(__xludf.DUMMYFUNCTION("""COMPUTED_VALUE"""),0.0)</f>
        <v>0</v>
      </c>
      <c r="H501" s="62"/>
      <c r="I501" s="62"/>
      <c r="J501" s="62"/>
      <c r="K501" s="62"/>
      <c r="L501" s="504">
        <f>IFERROR(__xludf.DUMMYFUNCTION("""COMPUTED_VALUE"""),0.0)</f>
        <v>0</v>
      </c>
      <c r="M501" s="504">
        <f>IFERROR(__xludf.DUMMYFUNCTION("""COMPUTED_VALUE"""),0.0)</f>
        <v>0</v>
      </c>
      <c r="N501" s="504">
        <f>IFERROR(__xludf.DUMMYFUNCTION("""COMPUTED_VALUE"""),0.0)</f>
        <v>0</v>
      </c>
      <c r="O501" s="62"/>
      <c r="P501" s="62"/>
      <c r="Q501" s="62"/>
      <c r="R501" s="62"/>
      <c r="S501" s="62"/>
      <c r="T501" s="62"/>
      <c r="U501" s="62"/>
      <c r="V501" s="62"/>
      <c r="W501" s="62"/>
      <c r="X501" s="62"/>
      <c r="Y501" s="62"/>
      <c r="Z501" s="62"/>
    </row>
    <row r="502">
      <c r="A502" s="62"/>
      <c r="B502" s="62" t="str">
        <f>IFERROR(__xludf.DUMMYFUNCTION("""COMPUTED_VALUE"""),"仁子")</f>
        <v>仁子</v>
      </c>
      <c r="C502" s="62"/>
      <c r="D502" s="62"/>
      <c r="E502" s="62"/>
      <c r="F502" s="62"/>
      <c r="G502" s="504">
        <f>IFERROR(__xludf.DUMMYFUNCTION("""COMPUTED_VALUE"""),0.0)</f>
        <v>0</v>
      </c>
      <c r="H502" s="62"/>
      <c r="I502" s="62"/>
      <c r="J502" s="62"/>
      <c r="K502" s="62"/>
      <c r="L502" s="504">
        <f>IFERROR(__xludf.DUMMYFUNCTION("""COMPUTED_VALUE"""),0.0)</f>
        <v>0</v>
      </c>
      <c r="M502" s="504">
        <f>IFERROR(__xludf.DUMMYFUNCTION("""COMPUTED_VALUE"""),0.0)</f>
        <v>0</v>
      </c>
      <c r="N502" s="504">
        <f>IFERROR(__xludf.DUMMYFUNCTION("""COMPUTED_VALUE"""),0.0)</f>
        <v>0</v>
      </c>
      <c r="O502" s="62"/>
      <c r="P502" s="62"/>
      <c r="Q502" s="62"/>
      <c r="R502" s="62"/>
      <c r="S502" s="62"/>
      <c r="T502" s="62"/>
      <c r="U502" s="62"/>
      <c r="V502" s="62"/>
      <c r="W502" s="62"/>
      <c r="X502" s="62"/>
      <c r="Y502" s="62"/>
      <c r="Z502" s="62"/>
    </row>
    <row r="503">
      <c r="A503" s="62"/>
      <c r="B503" s="62" t="str">
        <f>IFERROR(__xludf.DUMMYFUNCTION("""COMPUTED_VALUE"""),"鈴木")</f>
        <v>鈴木</v>
      </c>
      <c r="C503" s="62">
        <f>IFERROR(__xludf.DUMMYFUNCTION("""COMPUTED_VALUE"""),202.0)</f>
        <v>202</v>
      </c>
      <c r="D503" s="62">
        <f>IFERROR(__xludf.DUMMYFUNCTION("""COMPUTED_VALUE"""),36.0)</f>
        <v>36</v>
      </c>
      <c r="E503" s="62"/>
      <c r="F503" s="62">
        <f>IFERROR(__xludf.DUMMYFUNCTION("""COMPUTED_VALUE"""),35.0)</f>
        <v>35</v>
      </c>
      <c r="G503" s="504">
        <f>IFERROR(__xludf.DUMMYFUNCTION("""COMPUTED_VALUE"""),0.1782178217821782)</f>
        <v>0.1782178218</v>
      </c>
      <c r="H503" s="62"/>
      <c r="I503" s="62">
        <f>IFERROR(__xludf.DUMMYFUNCTION("""COMPUTED_VALUE"""),1.0)</f>
        <v>1</v>
      </c>
      <c r="J503" s="552">
        <f>IFERROR(__xludf.DUMMYFUNCTION("""COMPUTED_VALUE"""),100000.0)</f>
        <v>100000</v>
      </c>
      <c r="K503" s="62"/>
      <c r="L503" s="504">
        <f>IFERROR(__xludf.DUMMYFUNCTION("""COMPUTED_VALUE"""),0.0)</f>
        <v>0</v>
      </c>
      <c r="M503" s="504">
        <f>IFERROR(__xludf.DUMMYFUNCTION("""COMPUTED_VALUE"""),0.0049504950495049506)</f>
        <v>0.00495049505</v>
      </c>
      <c r="N503" s="504">
        <f>IFERROR(__xludf.DUMMYFUNCTION("""COMPUTED_VALUE"""),0.0)</f>
        <v>0</v>
      </c>
      <c r="O503" s="62" t="str">
        <f>IFERROR(__xludf.DUMMYFUNCTION("""COMPUTED_VALUE"""),"リストS")</f>
        <v>リストS</v>
      </c>
      <c r="P503" s="62"/>
      <c r="Q503" s="62"/>
      <c r="R503" s="62"/>
      <c r="S503" s="62"/>
      <c r="T503" s="62"/>
      <c r="U503" s="62"/>
      <c r="V503" s="62"/>
      <c r="W503" s="62"/>
      <c r="X503" s="62"/>
      <c r="Y503" s="62"/>
      <c r="Z503" s="62"/>
    </row>
    <row r="504">
      <c r="A504" s="62"/>
      <c r="B504" s="62" t="str">
        <f>IFERROR(__xludf.DUMMYFUNCTION("""COMPUTED_VALUE"""),"仲間")</f>
        <v>仲間</v>
      </c>
      <c r="C504" s="62">
        <f>IFERROR(__xludf.DUMMYFUNCTION("""COMPUTED_VALUE"""),65.0)</f>
        <v>65</v>
      </c>
      <c r="D504" s="62">
        <f>IFERROR(__xludf.DUMMYFUNCTION("""COMPUTED_VALUE"""),10.0)</f>
        <v>10</v>
      </c>
      <c r="E504" s="62"/>
      <c r="F504" s="62">
        <f>IFERROR(__xludf.DUMMYFUNCTION("""COMPUTED_VALUE"""),9.0)</f>
        <v>9</v>
      </c>
      <c r="G504" s="504">
        <f>IFERROR(__xludf.DUMMYFUNCTION("""COMPUTED_VALUE"""),0.15384615384615385)</f>
        <v>0.1538461538</v>
      </c>
      <c r="H504" s="62">
        <f>IFERROR(__xludf.DUMMYFUNCTION("""COMPUTED_VALUE"""),2.0)</f>
        <v>2</v>
      </c>
      <c r="I504" s="62">
        <f>IFERROR(__xludf.DUMMYFUNCTION("""COMPUTED_VALUE"""),2.0)</f>
        <v>2</v>
      </c>
      <c r="J504" s="552">
        <f>IFERROR(__xludf.DUMMYFUNCTION("""COMPUTED_VALUE"""),600000.0)</f>
        <v>600000</v>
      </c>
      <c r="K504" s="62"/>
      <c r="L504" s="504">
        <f>IFERROR(__xludf.DUMMYFUNCTION("""COMPUTED_VALUE"""),0.03076923076923077)</f>
        <v>0.03076923077</v>
      </c>
      <c r="M504" s="504">
        <f>IFERROR(__xludf.DUMMYFUNCTION("""COMPUTED_VALUE"""),0.03076923076923077)</f>
        <v>0.03076923077</v>
      </c>
      <c r="N504" s="504">
        <f>IFERROR(__xludf.DUMMYFUNCTION("""COMPUTED_VALUE"""),1.0)</f>
        <v>1</v>
      </c>
      <c r="O504" s="62" t="str">
        <f>IFERROR(__xludf.DUMMYFUNCTION("""COMPUTED_VALUE"""),"リストS")</f>
        <v>リストS</v>
      </c>
      <c r="P504" s="553" t="str">
        <f>IFERROR(__xludf.DUMMYFUNCTION("""COMPUTED_VALUE"""),"祝日")</f>
        <v>祝日</v>
      </c>
      <c r="Q504" s="62"/>
      <c r="R504" s="62"/>
      <c r="S504" s="62"/>
      <c r="T504" s="62"/>
      <c r="U504" s="62"/>
      <c r="V504" s="62"/>
      <c r="W504" s="62"/>
      <c r="X504" s="62"/>
      <c r="Y504" s="62"/>
      <c r="Z504" s="62"/>
    </row>
    <row r="505">
      <c r="A505" s="62"/>
      <c r="B505" s="62"/>
      <c r="C505" s="62"/>
      <c r="D505" s="62"/>
      <c r="E505" s="62"/>
      <c r="F505" s="62"/>
      <c r="G505" s="504">
        <f>IFERROR(__xludf.DUMMYFUNCTION("""COMPUTED_VALUE"""),0.0)</f>
        <v>0</v>
      </c>
      <c r="H505" s="62"/>
      <c r="I505" s="62"/>
      <c r="J505" s="62"/>
      <c r="K505" s="62"/>
      <c r="L505" s="504">
        <f>IFERROR(__xludf.DUMMYFUNCTION("""COMPUTED_VALUE"""),0.0)</f>
        <v>0</v>
      </c>
      <c r="M505" s="504">
        <f>IFERROR(__xludf.DUMMYFUNCTION("""COMPUTED_VALUE"""),0.0)</f>
        <v>0</v>
      </c>
      <c r="N505" s="504">
        <f>IFERROR(__xludf.DUMMYFUNCTION("""COMPUTED_VALUE"""),0.0)</f>
        <v>0</v>
      </c>
      <c r="O505" s="62"/>
      <c r="P505" s="62"/>
      <c r="Q505" s="62"/>
      <c r="R505" s="62"/>
      <c r="S505" s="62"/>
      <c r="T505" s="62"/>
      <c r="U505" s="62"/>
      <c r="V505" s="62"/>
      <c r="W505" s="62"/>
      <c r="X505" s="62"/>
      <c r="Y505" s="62"/>
      <c r="Z505" s="62"/>
    </row>
    <row r="506">
      <c r="A506" s="62"/>
      <c r="B506" s="62" t="str">
        <f>IFERROR(__xludf.DUMMYFUNCTION("""COMPUTED_VALUE"""),"合計")</f>
        <v>合計</v>
      </c>
      <c r="C506" s="62">
        <f>IFERROR(__xludf.DUMMYFUNCTION("""COMPUTED_VALUE"""),556.0)</f>
        <v>556</v>
      </c>
      <c r="D506" s="62">
        <f>IFERROR(__xludf.DUMMYFUNCTION("""COMPUTED_VALUE"""),83.0)</f>
        <v>83</v>
      </c>
      <c r="E506" s="62">
        <f>IFERROR(__xludf.DUMMYFUNCTION("""COMPUTED_VALUE"""),2.0)</f>
        <v>2</v>
      </c>
      <c r="F506" s="62">
        <f>IFERROR(__xludf.DUMMYFUNCTION("""COMPUTED_VALUE"""),68.0)</f>
        <v>68</v>
      </c>
      <c r="G506" s="504">
        <f>IFERROR(__xludf.DUMMYFUNCTION("""COMPUTED_VALUE"""),0.14928057553956833)</f>
        <v>0.1492805755</v>
      </c>
      <c r="H506" s="62">
        <f>IFERROR(__xludf.DUMMYFUNCTION("""COMPUTED_VALUE"""),6.0)</f>
        <v>6</v>
      </c>
      <c r="I506" s="62">
        <f>IFERROR(__xludf.DUMMYFUNCTION("""COMPUTED_VALUE"""),7.0)</f>
        <v>7</v>
      </c>
      <c r="J506" s="552">
        <f>IFERROR(__xludf.DUMMYFUNCTION("""COMPUTED_VALUE"""),860000.0)</f>
        <v>860000</v>
      </c>
      <c r="K506" s="62">
        <f>IFERROR(__xludf.DUMMYFUNCTION("""COMPUTED_VALUE"""),0.0)</f>
        <v>0</v>
      </c>
      <c r="L506" s="504">
        <f>IFERROR(__xludf.DUMMYFUNCTION("""COMPUTED_VALUE"""),0.01079136690647482)</f>
        <v>0.01079136691</v>
      </c>
      <c r="M506" s="504">
        <f>IFERROR(__xludf.DUMMYFUNCTION("""COMPUTED_VALUE"""),0.012589928057553957)</f>
        <v>0.01258992806</v>
      </c>
      <c r="N506" s="504">
        <f>IFERROR(__xludf.DUMMYFUNCTION("""COMPUTED_VALUE"""),1.1666666666666667)</f>
        <v>1.166666667</v>
      </c>
      <c r="O506" s="62"/>
      <c r="P506" s="62"/>
      <c r="Q506" s="62"/>
      <c r="R506" s="62"/>
      <c r="S506" s="62"/>
      <c r="T506" s="62"/>
      <c r="U506" s="62"/>
      <c r="V506" s="62"/>
      <c r="W506" s="62"/>
      <c r="X506" s="62"/>
      <c r="Y506" s="62"/>
      <c r="Z506" s="62"/>
    </row>
    <row r="507">
      <c r="A507" s="62" t="str">
        <f>IFERROR(__xludf.DUMMYFUNCTION("""COMPUTED_VALUE"""),"日付")</f>
        <v>日付</v>
      </c>
      <c r="B507" s="62" t="str">
        <f>IFERROR(__xludf.DUMMYFUNCTION("""COMPUTED_VALUE"""),"名前")</f>
        <v>名前</v>
      </c>
      <c r="C507" s="62" t="str">
        <f>IFERROR(__xludf.DUMMYFUNCTION("""COMPUTED_VALUE"""),"打電件数")</f>
        <v>打電件数</v>
      </c>
      <c r="D507" s="62" t="str">
        <f>IFERROR(__xludf.DUMMYFUNCTION("""COMPUTED_VALUE"""),"着電件数")</f>
        <v>着電件数</v>
      </c>
      <c r="E507" s="62" t="str">
        <f>IFERROR(__xludf.DUMMYFUNCTION("""COMPUTED_VALUE"""),"折り返し件数")</f>
        <v>折り返し件数</v>
      </c>
      <c r="F507" s="62" t="str">
        <f>IFERROR(__xludf.DUMMYFUNCTION("""COMPUTED_VALUE"""),"拒否")</f>
        <v>拒否</v>
      </c>
      <c r="G507" s="62" t="str">
        <f>IFERROR(__xludf.DUMMYFUNCTION("""COMPUTED_VALUE"""),"着電率")</f>
        <v>着電率</v>
      </c>
      <c r="H507" s="62" t="str">
        <f>IFERROR(__xludf.DUMMYFUNCTION("""COMPUTED_VALUE"""),"LINE登録")</f>
        <v>LINE登録</v>
      </c>
      <c r="I507" s="62" t="str">
        <f>IFERROR(__xludf.DUMMYFUNCTION("""COMPUTED_VALUE"""),"アカウント作成")</f>
        <v>アカウント作成</v>
      </c>
      <c r="J507" s="552" t="str">
        <f>IFERROR(__xludf.DUMMYFUNCTION("""COMPUTED_VALUE"""),"新規信用枠額")</f>
        <v>新規信用枠額</v>
      </c>
      <c r="K507" s="62" t="str">
        <f>IFERROR(__xludf.DUMMYFUNCTION("""COMPUTED_VALUE"""),"リスト死回線数")</f>
        <v>リスト死回線数</v>
      </c>
      <c r="L507" s="62" t="str">
        <f>IFERROR(__xludf.DUMMYFUNCTION("""COMPUTED_VALUE"""),"LINE率(打電から)")</f>
        <v>LINE率(打電から)</v>
      </c>
      <c r="M507" s="62" t="str">
        <f>IFERROR(__xludf.DUMMYFUNCTION("""COMPUTED_VALUE"""),"アカウント作成率(打電から)")</f>
        <v>アカウント作成率(打電から)</v>
      </c>
      <c r="N507" s="62" t="str">
        <f>IFERROR(__xludf.DUMMYFUNCTION("""COMPUTED_VALUE"""),"アカウント作成率(LINEから)")</f>
        <v>アカウント作成率(LINEから)</v>
      </c>
      <c r="O507" s="62" t="str">
        <f>IFERROR(__xludf.DUMMYFUNCTION("""COMPUTED_VALUE"""),"リスト名")</f>
        <v>リスト名</v>
      </c>
      <c r="P507" s="553" t="str">
        <f>IFERROR(__xludf.DUMMYFUNCTION("""COMPUTED_VALUE"""),"日本基準")</f>
        <v>日本基準</v>
      </c>
      <c r="Q507" s="62"/>
      <c r="R507" s="62"/>
      <c r="S507" s="62"/>
      <c r="T507" s="62"/>
      <c r="U507" s="62"/>
      <c r="V507" s="62"/>
      <c r="W507" s="62"/>
      <c r="X507" s="62"/>
      <c r="Y507" s="62"/>
      <c r="Z507" s="62"/>
    </row>
    <row r="508">
      <c r="A508" s="556">
        <f>IFERROR(__xludf.DUMMYFUNCTION("""COMPUTED_VALUE"""),45925.0)</f>
        <v>45925</v>
      </c>
      <c r="B508" s="62" t="str">
        <f>IFERROR(__xludf.DUMMYFUNCTION("""COMPUTED_VALUE"""),"あり")</f>
        <v>あり</v>
      </c>
      <c r="C508" s="62">
        <f>IFERROR(__xludf.DUMMYFUNCTION("""COMPUTED_VALUE"""),94.0)</f>
        <v>94</v>
      </c>
      <c r="D508" s="62">
        <f>IFERROR(__xludf.DUMMYFUNCTION("""COMPUTED_VALUE"""),10.0)</f>
        <v>10</v>
      </c>
      <c r="E508" s="62">
        <f>IFERROR(__xludf.DUMMYFUNCTION("""COMPUTED_VALUE"""),2.0)</f>
        <v>2</v>
      </c>
      <c r="F508" s="62">
        <f>IFERROR(__xludf.DUMMYFUNCTION("""COMPUTED_VALUE"""),8.0)</f>
        <v>8</v>
      </c>
      <c r="G508" s="504">
        <f>IFERROR(__xludf.DUMMYFUNCTION("""COMPUTED_VALUE"""),0.10638297872340426)</f>
        <v>0.1063829787</v>
      </c>
      <c r="H508" s="62">
        <f>IFERROR(__xludf.DUMMYFUNCTION("""COMPUTED_VALUE"""),1.0)</f>
        <v>1</v>
      </c>
      <c r="I508" s="62">
        <f>IFERROR(__xludf.DUMMYFUNCTION("""COMPUTED_VALUE"""),3.0)</f>
        <v>3</v>
      </c>
      <c r="J508" s="552">
        <f>IFERROR(__xludf.DUMMYFUNCTION("""COMPUTED_VALUE"""),160000.0)</f>
        <v>160000</v>
      </c>
      <c r="K508" s="62">
        <f>IFERROR(__xludf.DUMMYFUNCTION("""COMPUTED_VALUE"""),1.0)</f>
        <v>1</v>
      </c>
      <c r="L508" s="504">
        <f>IFERROR(__xludf.DUMMYFUNCTION("""COMPUTED_VALUE"""),0.010638297872340425)</f>
        <v>0.01063829787</v>
      </c>
      <c r="M508" s="504">
        <f>IFERROR(__xludf.DUMMYFUNCTION("""COMPUTED_VALUE"""),0.031914893617021274)</f>
        <v>0.03191489362</v>
      </c>
      <c r="N508" s="504">
        <f>IFERROR(__xludf.DUMMYFUNCTION("""COMPUTED_VALUE"""),3.0)</f>
        <v>3</v>
      </c>
      <c r="O508" s="62" t="str">
        <f>IFERROR(__xludf.DUMMYFUNCTION("""COMPUTED_VALUE"""),"リストC")</f>
        <v>リストC</v>
      </c>
      <c r="P508" s="553" t="str">
        <f>IFERROR(__xludf.DUMMYFUNCTION("""COMPUTED_VALUE"""),"平日")</f>
        <v>平日</v>
      </c>
      <c r="Q508" s="62"/>
      <c r="R508" s="62"/>
      <c r="S508" s="62"/>
      <c r="T508" s="62"/>
      <c r="U508" s="62"/>
      <c r="V508" s="62"/>
      <c r="W508" s="62"/>
      <c r="X508" s="62"/>
      <c r="Y508" s="62"/>
      <c r="Z508" s="62"/>
    </row>
    <row r="509">
      <c r="A509" s="62"/>
      <c r="B509" s="62" t="str">
        <f>IFERROR(__xludf.DUMMYFUNCTION("""COMPUTED_VALUE"""),"しょうま")</f>
        <v>しょうま</v>
      </c>
      <c r="C509" s="62">
        <f>IFERROR(__xludf.DUMMYFUNCTION("""COMPUTED_VALUE"""),107.0)</f>
        <v>107</v>
      </c>
      <c r="D509" s="62">
        <f>IFERROR(__xludf.DUMMYFUNCTION("""COMPUTED_VALUE"""),11.0)</f>
        <v>11</v>
      </c>
      <c r="E509" s="62">
        <f>IFERROR(__xludf.DUMMYFUNCTION("""COMPUTED_VALUE"""),2.0)</f>
        <v>2</v>
      </c>
      <c r="F509" s="62">
        <f>IFERROR(__xludf.DUMMYFUNCTION("""COMPUTED_VALUE"""),9.0)</f>
        <v>9</v>
      </c>
      <c r="G509" s="504">
        <f>IFERROR(__xludf.DUMMYFUNCTION("""COMPUTED_VALUE"""),0.102803738317757)</f>
        <v>0.1028037383</v>
      </c>
      <c r="H509" s="62">
        <f>IFERROR(__xludf.DUMMYFUNCTION("""COMPUTED_VALUE"""),2.0)</f>
        <v>2</v>
      </c>
      <c r="I509" s="62">
        <f>IFERROR(__xludf.DUMMYFUNCTION("""COMPUTED_VALUE"""),2.0)</f>
        <v>2</v>
      </c>
      <c r="J509" s="552">
        <f>IFERROR(__xludf.DUMMYFUNCTION("""COMPUTED_VALUE"""),60000.0)</f>
        <v>60000</v>
      </c>
      <c r="K509" s="62">
        <f>IFERROR(__xludf.DUMMYFUNCTION("""COMPUTED_VALUE"""),5.0)</f>
        <v>5</v>
      </c>
      <c r="L509" s="504">
        <f>IFERROR(__xludf.DUMMYFUNCTION("""COMPUTED_VALUE"""),0.018691588785046728)</f>
        <v>0.01869158879</v>
      </c>
      <c r="M509" s="504">
        <f>IFERROR(__xludf.DUMMYFUNCTION("""COMPUTED_VALUE"""),0.018691588785046728)</f>
        <v>0.01869158879</v>
      </c>
      <c r="N509" s="504">
        <f>IFERROR(__xludf.DUMMYFUNCTION("""COMPUTED_VALUE"""),1.0)</f>
        <v>1</v>
      </c>
      <c r="O509" s="62" t="str">
        <f>IFERROR(__xludf.DUMMYFUNCTION("""COMPUTED_VALUE"""),"リストC")</f>
        <v>リストC</v>
      </c>
      <c r="P509" s="553" t="str">
        <f>IFERROR(__xludf.DUMMYFUNCTION("""COMPUTED_VALUE"""),"平日")</f>
        <v>平日</v>
      </c>
      <c r="Q509" s="62"/>
      <c r="R509" s="62"/>
      <c r="S509" s="62"/>
      <c r="T509" s="62"/>
      <c r="U509" s="62"/>
      <c r="V509" s="62"/>
      <c r="W509" s="62"/>
      <c r="X509" s="62"/>
      <c r="Y509" s="62"/>
      <c r="Z509" s="62"/>
    </row>
    <row r="510">
      <c r="A510" s="62"/>
      <c r="B510" s="62"/>
      <c r="C510" s="62"/>
      <c r="D510" s="62"/>
      <c r="E510" s="62"/>
      <c r="F510" s="62"/>
      <c r="G510" s="504">
        <f>IFERROR(__xludf.DUMMYFUNCTION("""COMPUTED_VALUE"""),0.0)</f>
        <v>0</v>
      </c>
      <c r="H510" s="62"/>
      <c r="I510" s="62"/>
      <c r="J510" s="62"/>
      <c r="K510" s="62"/>
      <c r="L510" s="504">
        <f>IFERROR(__xludf.DUMMYFUNCTION("""COMPUTED_VALUE"""),0.0)</f>
        <v>0</v>
      </c>
      <c r="M510" s="504">
        <f>IFERROR(__xludf.DUMMYFUNCTION("""COMPUTED_VALUE"""),0.0)</f>
        <v>0</v>
      </c>
      <c r="N510" s="504">
        <f>IFERROR(__xludf.DUMMYFUNCTION("""COMPUTED_VALUE"""),0.0)</f>
        <v>0</v>
      </c>
      <c r="O510" s="62"/>
      <c r="P510" s="62"/>
      <c r="Q510" s="62"/>
      <c r="R510" s="62"/>
      <c r="S510" s="62"/>
      <c r="T510" s="62"/>
      <c r="U510" s="62"/>
      <c r="V510" s="62"/>
      <c r="W510" s="62"/>
      <c r="X510" s="62"/>
      <c r="Y510" s="62"/>
      <c r="Z510" s="62"/>
    </row>
    <row r="511">
      <c r="A511" s="62"/>
      <c r="B511" s="62" t="str">
        <f>IFERROR(__xludf.DUMMYFUNCTION("""COMPUTED_VALUE"""),"ジョーナ")</f>
        <v>ジョーナ</v>
      </c>
      <c r="C511" s="62"/>
      <c r="D511" s="62"/>
      <c r="E511" s="62"/>
      <c r="F511" s="62"/>
      <c r="G511" s="504">
        <f>IFERROR(__xludf.DUMMYFUNCTION("""COMPUTED_VALUE"""),0.0)</f>
        <v>0</v>
      </c>
      <c r="H511" s="62"/>
      <c r="I511" s="62"/>
      <c r="J511" s="62"/>
      <c r="K511" s="62"/>
      <c r="L511" s="504">
        <f>IFERROR(__xludf.DUMMYFUNCTION("""COMPUTED_VALUE"""),0.0)</f>
        <v>0</v>
      </c>
      <c r="M511" s="504">
        <f>IFERROR(__xludf.DUMMYFUNCTION("""COMPUTED_VALUE"""),0.0)</f>
        <v>0</v>
      </c>
      <c r="N511" s="504">
        <f>IFERROR(__xludf.DUMMYFUNCTION("""COMPUTED_VALUE"""),0.0)</f>
        <v>0</v>
      </c>
      <c r="O511" s="62"/>
      <c r="P511" s="62"/>
      <c r="Q511" s="62"/>
      <c r="R511" s="62"/>
      <c r="S511" s="62"/>
      <c r="T511" s="62"/>
      <c r="U511" s="62"/>
      <c r="V511" s="62"/>
      <c r="W511" s="62"/>
      <c r="X511" s="62"/>
      <c r="Y511" s="62"/>
      <c r="Z511" s="62"/>
    </row>
    <row r="512">
      <c r="A512" s="62"/>
      <c r="B512" s="62" t="str">
        <f>IFERROR(__xludf.DUMMYFUNCTION("""COMPUTED_VALUE"""),"武田")</f>
        <v>武田</v>
      </c>
      <c r="C512" s="62"/>
      <c r="D512" s="62"/>
      <c r="E512" s="62"/>
      <c r="F512" s="62"/>
      <c r="G512" s="504">
        <f>IFERROR(__xludf.DUMMYFUNCTION("""COMPUTED_VALUE"""),0.0)</f>
        <v>0</v>
      </c>
      <c r="H512" s="62"/>
      <c r="I512" s="62"/>
      <c r="J512" s="62"/>
      <c r="K512" s="62"/>
      <c r="L512" s="504">
        <f>IFERROR(__xludf.DUMMYFUNCTION("""COMPUTED_VALUE"""),0.0)</f>
        <v>0</v>
      </c>
      <c r="M512" s="504">
        <f>IFERROR(__xludf.DUMMYFUNCTION("""COMPUTED_VALUE"""),0.0)</f>
        <v>0</v>
      </c>
      <c r="N512" s="504">
        <f>IFERROR(__xludf.DUMMYFUNCTION("""COMPUTED_VALUE"""),0.0)</f>
        <v>0</v>
      </c>
      <c r="O512" s="62"/>
      <c r="P512" s="62"/>
      <c r="Q512" s="62"/>
      <c r="R512" s="62"/>
      <c r="S512" s="62"/>
      <c r="T512" s="62"/>
      <c r="U512" s="62"/>
      <c r="V512" s="62"/>
      <c r="W512" s="62"/>
      <c r="X512" s="62"/>
      <c r="Y512" s="62"/>
      <c r="Z512" s="62"/>
    </row>
    <row r="513">
      <c r="A513" s="62"/>
      <c r="B513" s="62" t="str">
        <f>IFERROR(__xludf.DUMMYFUNCTION("""COMPUTED_VALUE"""),"高木")</f>
        <v>高木</v>
      </c>
      <c r="C513" s="62">
        <f>IFERROR(__xludf.DUMMYFUNCTION("""COMPUTED_VALUE"""),154.0)</f>
        <v>154</v>
      </c>
      <c r="D513" s="62">
        <f>IFERROR(__xludf.DUMMYFUNCTION("""COMPUTED_VALUE"""),33.0)</f>
        <v>33</v>
      </c>
      <c r="E513" s="62"/>
      <c r="F513" s="62">
        <f>IFERROR(__xludf.DUMMYFUNCTION("""COMPUTED_VALUE"""),20.0)</f>
        <v>20</v>
      </c>
      <c r="G513" s="504">
        <f>IFERROR(__xludf.DUMMYFUNCTION("""COMPUTED_VALUE"""),0.21428571428571427)</f>
        <v>0.2142857143</v>
      </c>
      <c r="H513" s="62">
        <f>IFERROR(__xludf.DUMMYFUNCTION("""COMPUTED_VALUE"""),1.0)</f>
        <v>1</v>
      </c>
      <c r="I513" s="62">
        <f>IFERROR(__xludf.DUMMYFUNCTION("""COMPUTED_VALUE"""),1.0)</f>
        <v>1</v>
      </c>
      <c r="J513" s="552">
        <f>IFERROR(__xludf.DUMMYFUNCTION("""COMPUTED_VALUE"""),30000.0)</f>
        <v>30000</v>
      </c>
      <c r="K513" s="62">
        <f>IFERROR(__xludf.DUMMYFUNCTION("""COMPUTED_VALUE"""),8.0)</f>
        <v>8</v>
      </c>
      <c r="L513" s="504">
        <f>IFERROR(__xludf.DUMMYFUNCTION("""COMPUTED_VALUE"""),0.006493506493506494)</f>
        <v>0.006493506494</v>
      </c>
      <c r="M513" s="504">
        <f>IFERROR(__xludf.DUMMYFUNCTION("""COMPUTED_VALUE"""),0.006493506493506494)</f>
        <v>0.006493506494</v>
      </c>
      <c r="N513" s="504">
        <f>IFERROR(__xludf.DUMMYFUNCTION("""COMPUTED_VALUE"""),1.0)</f>
        <v>1</v>
      </c>
      <c r="O513" s="62" t="str">
        <f>IFERROR(__xludf.DUMMYFUNCTION("""COMPUTED_VALUE"""),"リストS")</f>
        <v>リストS</v>
      </c>
      <c r="P513" s="553" t="str">
        <f>IFERROR(__xludf.DUMMYFUNCTION("""COMPUTED_VALUE"""),"平日")</f>
        <v>平日</v>
      </c>
      <c r="Q513" s="62"/>
      <c r="R513" s="62"/>
      <c r="S513" s="62"/>
      <c r="T513" s="62"/>
      <c r="U513" s="62"/>
      <c r="V513" s="62"/>
      <c r="W513" s="62"/>
      <c r="X513" s="62"/>
      <c r="Y513" s="62"/>
      <c r="Z513" s="62"/>
    </row>
    <row r="514">
      <c r="A514" s="62"/>
      <c r="B514" s="62"/>
      <c r="C514" s="62"/>
      <c r="D514" s="62"/>
      <c r="E514" s="62"/>
      <c r="F514" s="62"/>
      <c r="G514" s="504">
        <f>IFERROR(__xludf.DUMMYFUNCTION("""COMPUTED_VALUE"""),0.0)</f>
        <v>0</v>
      </c>
      <c r="H514" s="62"/>
      <c r="I514" s="62"/>
      <c r="J514" s="62"/>
      <c r="K514" s="62"/>
      <c r="L514" s="504">
        <f>IFERROR(__xludf.DUMMYFUNCTION("""COMPUTED_VALUE"""),0.0)</f>
        <v>0</v>
      </c>
      <c r="M514" s="504">
        <f>IFERROR(__xludf.DUMMYFUNCTION("""COMPUTED_VALUE"""),0.0)</f>
        <v>0</v>
      </c>
      <c r="N514" s="504">
        <f>IFERROR(__xludf.DUMMYFUNCTION("""COMPUTED_VALUE"""),0.0)</f>
        <v>0</v>
      </c>
      <c r="O514" s="62"/>
      <c r="P514" s="62"/>
      <c r="Q514" s="62"/>
      <c r="R514" s="62"/>
      <c r="S514" s="62"/>
      <c r="T514" s="62"/>
      <c r="U514" s="62"/>
      <c r="V514" s="62"/>
      <c r="W514" s="62"/>
      <c r="X514" s="62"/>
      <c r="Y514" s="62"/>
      <c r="Z514" s="62"/>
    </row>
    <row r="515">
      <c r="A515" s="62"/>
      <c r="B515" s="62" t="str">
        <f>IFERROR(__xludf.DUMMYFUNCTION("""COMPUTED_VALUE"""),"大谷")</f>
        <v>大谷</v>
      </c>
      <c r="C515" s="62"/>
      <c r="D515" s="62"/>
      <c r="E515" s="62"/>
      <c r="F515" s="62"/>
      <c r="G515" s="504">
        <f>IFERROR(__xludf.DUMMYFUNCTION("""COMPUTED_VALUE"""),0.0)</f>
        <v>0</v>
      </c>
      <c r="H515" s="62"/>
      <c r="I515" s="62"/>
      <c r="J515" s="62"/>
      <c r="K515" s="62"/>
      <c r="L515" s="504">
        <f>IFERROR(__xludf.DUMMYFUNCTION("""COMPUTED_VALUE"""),0.0)</f>
        <v>0</v>
      </c>
      <c r="M515" s="504">
        <f>IFERROR(__xludf.DUMMYFUNCTION("""COMPUTED_VALUE"""),0.0)</f>
        <v>0</v>
      </c>
      <c r="N515" s="504">
        <f>IFERROR(__xludf.DUMMYFUNCTION("""COMPUTED_VALUE"""),0.0)</f>
        <v>0</v>
      </c>
      <c r="O515" s="62"/>
      <c r="P515" s="62"/>
      <c r="Q515" s="62"/>
      <c r="R515" s="62"/>
      <c r="S515" s="62"/>
      <c r="T515" s="62"/>
      <c r="U515" s="62"/>
      <c r="V515" s="62"/>
      <c r="W515" s="62"/>
      <c r="X515" s="62"/>
      <c r="Y515" s="62"/>
      <c r="Z515" s="62"/>
    </row>
    <row r="516">
      <c r="A516" s="62"/>
      <c r="B516" s="62"/>
      <c r="C516" s="62"/>
      <c r="D516" s="62"/>
      <c r="E516" s="62"/>
      <c r="F516" s="62"/>
      <c r="G516" s="504">
        <f>IFERROR(__xludf.DUMMYFUNCTION("""COMPUTED_VALUE"""),0.0)</f>
        <v>0</v>
      </c>
      <c r="H516" s="62"/>
      <c r="I516" s="62"/>
      <c r="J516" s="62"/>
      <c r="K516" s="62"/>
      <c r="L516" s="504">
        <f>IFERROR(__xludf.DUMMYFUNCTION("""COMPUTED_VALUE"""),0.0)</f>
        <v>0</v>
      </c>
      <c r="M516" s="504">
        <f>IFERROR(__xludf.DUMMYFUNCTION("""COMPUTED_VALUE"""),0.0)</f>
        <v>0</v>
      </c>
      <c r="N516" s="504">
        <f>IFERROR(__xludf.DUMMYFUNCTION("""COMPUTED_VALUE"""),0.0)</f>
        <v>0</v>
      </c>
      <c r="O516" s="62"/>
      <c r="P516" s="62"/>
      <c r="Q516" s="62"/>
      <c r="R516" s="62"/>
      <c r="S516" s="62"/>
      <c r="T516" s="62"/>
      <c r="U516" s="62"/>
      <c r="V516" s="62"/>
      <c r="W516" s="62"/>
      <c r="X516" s="62"/>
      <c r="Y516" s="62"/>
      <c r="Z516" s="62"/>
    </row>
    <row r="517">
      <c r="A517" s="62"/>
      <c r="B517" s="62" t="str">
        <f>IFERROR(__xludf.DUMMYFUNCTION("""COMPUTED_VALUE"""),"森")</f>
        <v>森</v>
      </c>
      <c r="C517" s="62"/>
      <c r="D517" s="62"/>
      <c r="E517" s="62"/>
      <c r="F517" s="62"/>
      <c r="G517" s="504">
        <f>IFERROR(__xludf.DUMMYFUNCTION("""COMPUTED_VALUE"""),0.0)</f>
        <v>0</v>
      </c>
      <c r="H517" s="62"/>
      <c r="I517" s="62"/>
      <c r="J517" s="62"/>
      <c r="K517" s="62"/>
      <c r="L517" s="504">
        <f>IFERROR(__xludf.DUMMYFUNCTION("""COMPUTED_VALUE"""),0.0)</f>
        <v>0</v>
      </c>
      <c r="M517" s="504">
        <f>IFERROR(__xludf.DUMMYFUNCTION("""COMPUTED_VALUE"""),0.0)</f>
        <v>0</v>
      </c>
      <c r="N517" s="504">
        <f>IFERROR(__xludf.DUMMYFUNCTION("""COMPUTED_VALUE"""),0.0)</f>
        <v>0</v>
      </c>
      <c r="O517" s="62"/>
      <c r="P517" s="62"/>
      <c r="Q517" s="62"/>
      <c r="R517" s="62"/>
      <c r="S517" s="62"/>
      <c r="T517" s="62"/>
      <c r="U517" s="62"/>
      <c r="V517" s="62"/>
      <c r="W517" s="62"/>
      <c r="X517" s="62"/>
      <c r="Y517" s="62"/>
      <c r="Z517" s="62"/>
    </row>
    <row r="518">
      <c r="A518" s="62"/>
      <c r="B518" s="62"/>
      <c r="C518" s="62"/>
      <c r="D518" s="62"/>
      <c r="E518" s="62"/>
      <c r="F518" s="62"/>
      <c r="G518" s="504">
        <f>IFERROR(__xludf.DUMMYFUNCTION("""COMPUTED_VALUE"""),0.0)</f>
        <v>0</v>
      </c>
      <c r="H518" s="62"/>
      <c r="I518" s="62"/>
      <c r="J518" s="62"/>
      <c r="K518" s="62"/>
      <c r="L518" s="504">
        <f>IFERROR(__xludf.DUMMYFUNCTION("""COMPUTED_VALUE"""),0.0)</f>
        <v>0</v>
      </c>
      <c r="M518" s="504">
        <f>IFERROR(__xludf.DUMMYFUNCTION("""COMPUTED_VALUE"""),0.0)</f>
        <v>0</v>
      </c>
      <c r="N518" s="504">
        <f>IFERROR(__xludf.DUMMYFUNCTION("""COMPUTED_VALUE"""),0.0)</f>
        <v>0</v>
      </c>
      <c r="O518" s="62"/>
      <c r="P518" s="62"/>
      <c r="Q518" s="62"/>
      <c r="R518" s="62"/>
      <c r="S518" s="62"/>
      <c r="T518" s="62"/>
      <c r="U518" s="62"/>
      <c r="V518" s="62"/>
      <c r="W518" s="62"/>
      <c r="X518" s="62"/>
      <c r="Y518" s="62"/>
      <c r="Z518" s="62"/>
    </row>
    <row r="519">
      <c r="A519" s="62"/>
      <c r="B519" s="62" t="str">
        <f>IFERROR(__xludf.DUMMYFUNCTION("""COMPUTED_VALUE"""),"金子")</f>
        <v>金子</v>
      </c>
      <c r="C519" s="62"/>
      <c r="D519" s="62"/>
      <c r="E519" s="62"/>
      <c r="F519" s="62"/>
      <c r="G519" s="504">
        <f>IFERROR(__xludf.DUMMYFUNCTION("""COMPUTED_VALUE"""),0.0)</f>
        <v>0</v>
      </c>
      <c r="H519" s="62"/>
      <c r="I519" s="62"/>
      <c r="J519" s="62"/>
      <c r="K519" s="62"/>
      <c r="L519" s="504">
        <f>IFERROR(__xludf.DUMMYFUNCTION("""COMPUTED_VALUE"""),0.0)</f>
        <v>0</v>
      </c>
      <c r="M519" s="504">
        <f>IFERROR(__xludf.DUMMYFUNCTION("""COMPUTED_VALUE"""),0.0)</f>
        <v>0</v>
      </c>
      <c r="N519" s="504">
        <f>IFERROR(__xludf.DUMMYFUNCTION("""COMPUTED_VALUE"""),0.0)</f>
        <v>0</v>
      </c>
      <c r="O519" s="62"/>
      <c r="P519" s="62"/>
      <c r="Q519" s="62"/>
      <c r="R519" s="62"/>
      <c r="S519" s="62"/>
      <c r="T519" s="62"/>
      <c r="U519" s="62"/>
      <c r="V519" s="62"/>
      <c r="W519" s="62"/>
      <c r="X519" s="62"/>
      <c r="Y519" s="62"/>
      <c r="Z519" s="62"/>
    </row>
    <row r="520">
      <c r="A520" s="62"/>
      <c r="B520" s="62"/>
      <c r="C520" s="62"/>
      <c r="D520" s="62"/>
      <c r="E520" s="62"/>
      <c r="F520" s="62"/>
      <c r="G520" s="504">
        <f>IFERROR(__xludf.DUMMYFUNCTION("""COMPUTED_VALUE"""),0.0)</f>
        <v>0</v>
      </c>
      <c r="H520" s="62"/>
      <c r="I520" s="62"/>
      <c r="J520" s="62"/>
      <c r="K520" s="62"/>
      <c r="L520" s="504">
        <f>IFERROR(__xludf.DUMMYFUNCTION("""COMPUTED_VALUE"""),0.0)</f>
        <v>0</v>
      </c>
      <c r="M520" s="504">
        <f>IFERROR(__xludf.DUMMYFUNCTION("""COMPUTED_VALUE"""),0.0)</f>
        <v>0</v>
      </c>
      <c r="N520" s="504">
        <f>IFERROR(__xludf.DUMMYFUNCTION("""COMPUTED_VALUE"""),0.0)</f>
        <v>0</v>
      </c>
      <c r="O520" s="62"/>
      <c r="P520" s="62"/>
      <c r="Q520" s="62"/>
      <c r="R520" s="62"/>
      <c r="S520" s="62"/>
      <c r="T520" s="62"/>
      <c r="U520" s="62"/>
      <c r="V520" s="62"/>
      <c r="W520" s="62"/>
      <c r="X520" s="62"/>
      <c r="Y520" s="62"/>
      <c r="Z520" s="62"/>
    </row>
    <row r="521">
      <c r="A521" s="62"/>
      <c r="B521" s="552" t="str">
        <f>IFERROR(__xludf.DUMMYFUNCTION("""COMPUTED_VALUE"""),"SMS")</f>
        <v>SMS</v>
      </c>
      <c r="C521" s="62"/>
      <c r="D521" s="62"/>
      <c r="E521" s="62"/>
      <c r="F521" s="62"/>
      <c r="G521" s="504">
        <f>IFERROR(__xludf.DUMMYFUNCTION("""COMPUTED_VALUE"""),0.0)</f>
        <v>0</v>
      </c>
      <c r="H521" s="62"/>
      <c r="I521" s="62">
        <f>IFERROR(__xludf.DUMMYFUNCTION("""COMPUTED_VALUE"""),1.0)</f>
        <v>1</v>
      </c>
      <c r="J521" s="552">
        <f>IFERROR(__xludf.DUMMYFUNCTION("""COMPUTED_VALUE"""),50000.0)</f>
        <v>50000</v>
      </c>
      <c r="K521" s="62"/>
      <c r="L521" s="504">
        <f>IFERROR(__xludf.DUMMYFUNCTION("""COMPUTED_VALUE"""),0.0)</f>
        <v>0</v>
      </c>
      <c r="M521" s="504">
        <f>IFERROR(__xludf.DUMMYFUNCTION("""COMPUTED_VALUE"""),0.0)</f>
        <v>0</v>
      </c>
      <c r="N521" s="504">
        <f>IFERROR(__xludf.DUMMYFUNCTION("""COMPUTED_VALUE"""),0.0)</f>
        <v>0</v>
      </c>
      <c r="O521" s="62"/>
      <c r="P521" s="62"/>
      <c r="Q521" s="62"/>
      <c r="R521" s="62"/>
      <c r="S521" s="62"/>
      <c r="T521" s="62"/>
      <c r="U521" s="62"/>
      <c r="V521" s="62"/>
      <c r="W521" s="62"/>
      <c r="X521" s="62"/>
      <c r="Y521" s="62"/>
      <c r="Z521" s="62"/>
    </row>
    <row r="522">
      <c r="A522" s="62"/>
      <c r="B522" s="62" t="str">
        <f>IFERROR(__xludf.DUMMYFUNCTION("""COMPUTED_VALUE"""),"紹介")</f>
        <v>紹介</v>
      </c>
      <c r="C522" s="62"/>
      <c r="D522" s="62"/>
      <c r="E522" s="62"/>
      <c r="F522" s="62"/>
      <c r="G522" s="504">
        <f>IFERROR(__xludf.DUMMYFUNCTION("""COMPUTED_VALUE"""),0.0)</f>
        <v>0</v>
      </c>
      <c r="H522" s="62"/>
      <c r="I522" s="62"/>
      <c r="J522" s="62"/>
      <c r="K522" s="62"/>
      <c r="L522" s="504">
        <f>IFERROR(__xludf.DUMMYFUNCTION("""COMPUTED_VALUE"""),0.0)</f>
        <v>0</v>
      </c>
      <c r="M522" s="504">
        <f>IFERROR(__xludf.DUMMYFUNCTION("""COMPUTED_VALUE"""),0.0)</f>
        <v>0</v>
      </c>
      <c r="N522" s="504">
        <f>IFERROR(__xludf.DUMMYFUNCTION("""COMPUTED_VALUE"""),0.0)</f>
        <v>0</v>
      </c>
      <c r="O522" s="62"/>
      <c r="P522" s="62"/>
      <c r="Q522" s="62"/>
      <c r="R522" s="62"/>
      <c r="S522" s="62"/>
      <c r="T522" s="62"/>
      <c r="U522" s="62"/>
      <c r="V522" s="62"/>
      <c r="W522" s="62"/>
      <c r="X522" s="62"/>
      <c r="Y522" s="62"/>
      <c r="Z522" s="62"/>
    </row>
    <row r="523">
      <c r="A523" s="62"/>
      <c r="B523" s="62" t="str">
        <f>IFERROR(__xludf.DUMMYFUNCTION("""COMPUTED_VALUE"""),"仁子")</f>
        <v>仁子</v>
      </c>
      <c r="C523" s="62"/>
      <c r="D523" s="62"/>
      <c r="E523" s="62"/>
      <c r="F523" s="62"/>
      <c r="G523" s="504">
        <f>IFERROR(__xludf.DUMMYFUNCTION("""COMPUTED_VALUE"""),0.0)</f>
        <v>0</v>
      </c>
      <c r="H523" s="62"/>
      <c r="I523" s="62"/>
      <c r="J523" s="62"/>
      <c r="K523" s="62"/>
      <c r="L523" s="504">
        <f>IFERROR(__xludf.DUMMYFUNCTION("""COMPUTED_VALUE"""),0.0)</f>
        <v>0</v>
      </c>
      <c r="M523" s="504">
        <f>IFERROR(__xludf.DUMMYFUNCTION("""COMPUTED_VALUE"""),0.0)</f>
        <v>0</v>
      </c>
      <c r="N523" s="504">
        <f>IFERROR(__xludf.DUMMYFUNCTION("""COMPUTED_VALUE"""),0.0)</f>
        <v>0</v>
      </c>
      <c r="O523" s="62"/>
      <c r="P523" s="62"/>
      <c r="Q523" s="62"/>
      <c r="R523" s="62"/>
      <c r="S523" s="62"/>
      <c r="T523" s="62"/>
      <c r="U523" s="62"/>
      <c r="V523" s="62"/>
      <c r="W523" s="62"/>
      <c r="X523" s="62"/>
      <c r="Y523" s="62"/>
      <c r="Z523" s="62"/>
    </row>
    <row r="524">
      <c r="A524" s="62"/>
      <c r="B524" s="62" t="str">
        <f>IFERROR(__xludf.DUMMYFUNCTION("""COMPUTED_VALUE"""),"鈴木")</f>
        <v>鈴木</v>
      </c>
      <c r="C524" s="62">
        <f>IFERROR(__xludf.DUMMYFUNCTION("""COMPUTED_VALUE"""),153.0)</f>
        <v>153</v>
      </c>
      <c r="D524" s="62">
        <f>IFERROR(__xludf.DUMMYFUNCTION("""COMPUTED_VALUE"""),43.0)</f>
        <v>43</v>
      </c>
      <c r="E524" s="62">
        <f>IFERROR(__xludf.DUMMYFUNCTION("""COMPUTED_VALUE"""),2.0)</f>
        <v>2</v>
      </c>
      <c r="F524" s="62">
        <f>IFERROR(__xludf.DUMMYFUNCTION("""COMPUTED_VALUE"""),35.0)</f>
        <v>35</v>
      </c>
      <c r="G524" s="504">
        <f>IFERROR(__xludf.DUMMYFUNCTION("""COMPUTED_VALUE"""),0.28104575163398693)</f>
        <v>0.2810457516</v>
      </c>
      <c r="H524" s="62"/>
      <c r="I524" s="62"/>
      <c r="J524" s="62"/>
      <c r="K524" s="62"/>
      <c r="L524" s="504">
        <f>IFERROR(__xludf.DUMMYFUNCTION("""COMPUTED_VALUE"""),0.0)</f>
        <v>0</v>
      </c>
      <c r="M524" s="504">
        <f>IFERROR(__xludf.DUMMYFUNCTION("""COMPUTED_VALUE"""),0.0)</f>
        <v>0</v>
      </c>
      <c r="N524" s="504">
        <f>IFERROR(__xludf.DUMMYFUNCTION("""COMPUTED_VALUE"""),0.0)</f>
        <v>0</v>
      </c>
      <c r="O524" s="62" t="str">
        <f>IFERROR(__xludf.DUMMYFUNCTION("""COMPUTED_VALUE"""),"リストS")</f>
        <v>リストS</v>
      </c>
      <c r="P524" s="553" t="str">
        <f>IFERROR(__xludf.DUMMYFUNCTION("""COMPUTED_VALUE"""),"平日")</f>
        <v>平日</v>
      </c>
      <c r="Q524" s="62"/>
      <c r="R524" s="62"/>
      <c r="S524" s="62"/>
      <c r="T524" s="62"/>
      <c r="U524" s="62"/>
      <c r="V524" s="62"/>
      <c r="W524" s="62"/>
      <c r="X524" s="62"/>
      <c r="Y524" s="62"/>
      <c r="Z524" s="62"/>
    </row>
    <row r="525">
      <c r="A525" s="62"/>
      <c r="B525" s="62" t="str">
        <f>IFERROR(__xludf.DUMMYFUNCTION("""COMPUTED_VALUE"""),"仲間")</f>
        <v>仲間</v>
      </c>
      <c r="C525" s="62">
        <f>IFERROR(__xludf.DUMMYFUNCTION("""COMPUTED_VALUE"""),142.0)</f>
        <v>142</v>
      </c>
      <c r="D525" s="62">
        <f>IFERROR(__xludf.DUMMYFUNCTION("""COMPUTED_VALUE"""),15.0)</f>
        <v>15</v>
      </c>
      <c r="E525" s="62">
        <f>IFERROR(__xludf.DUMMYFUNCTION("""COMPUTED_VALUE"""),1.0)</f>
        <v>1</v>
      </c>
      <c r="F525" s="62">
        <f>IFERROR(__xludf.DUMMYFUNCTION("""COMPUTED_VALUE"""),11.0)</f>
        <v>11</v>
      </c>
      <c r="G525" s="504">
        <f>IFERROR(__xludf.DUMMYFUNCTION("""COMPUTED_VALUE"""),0.1056338028169014)</f>
        <v>0.1056338028</v>
      </c>
      <c r="H525" s="62">
        <f>IFERROR(__xludf.DUMMYFUNCTION("""COMPUTED_VALUE"""),1.0)</f>
        <v>1</v>
      </c>
      <c r="I525" s="62"/>
      <c r="J525" s="62"/>
      <c r="K525" s="62"/>
      <c r="L525" s="504">
        <f>IFERROR(__xludf.DUMMYFUNCTION("""COMPUTED_VALUE"""),0.007042253521126761)</f>
        <v>0.007042253521</v>
      </c>
      <c r="M525" s="504">
        <f>IFERROR(__xludf.DUMMYFUNCTION("""COMPUTED_VALUE"""),0.0)</f>
        <v>0</v>
      </c>
      <c r="N525" s="504">
        <f>IFERROR(__xludf.DUMMYFUNCTION("""COMPUTED_VALUE"""),0.0)</f>
        <v>0</v>
      </c>
      <c r="O525" s="62" t="str">
        <f>IFERROR(__xludf.DUMMYFUNCTION("""COMPUTED_VALUE"""),"リストS")</f>
        <v>リストS</v>
      </c>
      <c r="P525" s="553" t="str">
        <f>IFERROR(__xludf.DUMMYFUNCTION("""COMPUTED_VALUE"""),"平日")</f>
        <v>平日</v>
      </c>
      <c r="Q525" s="62"/>
      <c r="R525" s="62"/>
      <c r="S525" s="62"/>
      <c r="T525" s="62"/>
      <c r="U525" s="62"/>
      <c r="V525" s="62"/>
      <c r="W525" s="62"/>
      <c r="X525" s="62"/>
      <c r="Y525" s="62"/>
      <c r="Z525" s="62"/>
    </row>
    <row r="526">
      <c r="A526" s="62"/>
      <c r="B526" s="62"/>
      <c r="C526" s="62"/>
      <c r="D526" s="62"/>
      <c r="E526" s="62"/>
      <c r="F526" s="62"/>
      <c r="G526" s="504">
        <f>IFERROR(__xludf.DUMMYFUNCTION("""COMPUTED_VALUE"""),0.0)</f>
        <v>0</v>
      </c>
      <c r="H526" s="62"/>
      <c r="I526" s="62"/>
      <c r="J526" s="62"/>
      <c r="K526" s="62"/>
      <c r="L526" s="504">
        <f>IFERROR(__xludf.DUMMYFUNCTION("""COMPUTED_VALUE"""),0.0)</f>
        <v>0</v>
      </c>
      <c r="M526" s="504">
        <f>IFERROR(__xludf.DUMMYFUNCTION("""COMPUTED_VALUE"""),0.0)</f>
        <v>0</v>
      </c>
      <c r="N526" s="504">
        <f>IFERROR(__xludf.DUMMYFUNCTION("""COMPUTED_VALUE"""),0.0)</f>
        <v>0</v>
      </c>
      <c r="O526" s="62"/>
      <c r="P526" s="62"/>
      <c r="Q526" s="62"/>
      <c r="R526" s="62"/>
      <c r="S526" s="62"/>
      <c r="T526" s="62"/>
      <c r="U526" s="62"/>
      <c r="V526" s="62"/>
      <c r="W526" s="62"/>
      <c r="X526" s="62"/>
      <c r="Y526" s="62"/>
      <c r="Z526" s="62"/>
    </row>
    <row r="527">
      <c r="A527" s="62"/>
      <c r="B527" s="62" t="str">
        <f>IFERROR(__xludf.DUMMYFUNCTION("""COMPUTED_VALUE"""),"合計")</f>
        <v>合計</v>
      </c>
      <c r="C527" s="62">
        <f>IFERROR(__xludf.DUMMYFUNCTION("""COMPUTED_VALUE"""),650.0)</f>
        <v>650</v>
      </c>
      <c r="D527" s="62">
        <f>IFERROR(__xludf.DUMMYFUNCTION("""COMPUTED_VALUE"""),112.0)</f>
        <v>112</v>
      </c>
      <c r="E527" s="62">
        <f>IFERROR(__xludf.DUMMYFUNCTION("""COMPUTED_VALUE"""),7.0)</f>
        <v>7</v>
      </c>
      <c r="F527" s="62">
        <f>IFERROR(__xludf.DUMMYFUNCTION("""COMPUTED_VALUE"""),83.0)</f>
        <v>83</v>
      </c>
      <c r="G527" s="504">
        <f>IFERROR(__xludf.DUMMYFUNCTION("""COMPUTED_VALUE"""),0.1723076923076923)</f>
        <v>0.1723076923</v>
      </c>
      <c r="H527" s="62">
        <f>IFERROR(__xludf.DUMMYFUNCTION("""COMPUTED_VALUE"""),5.0)</f>
        <v>5</v>
      </c>
      <c r="I527" s="62">
        <f>IFERROR(__xludf.DUMMYFUNCTION("""COMPUTED_VALUE"""),7.0)</f>
        <v>7</v>
      </c>
      <c r="J527" s="552">
        <f>IFERROR(__xludf.DUMMYFUNCTION("""COMPUTED_VALUE"""),300000.0)</f>
        <v>300000</v>
      </c>
      <c r="K527" s="62">
        <f>IFERROR(__xludf.DUMMYFUNCTION("""COMPUTED_VALUE"""),14.0)</f>
        <v>14</v>
      </c>
      <c r="L527" s="504">
        <f>IFERROR(__xludf.DUMMYFUNCTION("""COMPUTED_VALUE"""),0.007692307692307693)</f>
        <v>0.007692307692</v>
      </c>
      <c r="M527" s="504">
        <f>IFERROR(__xludf.DUMMYFUNCTION("""COMPUTED_VALUE"""),0.010769230769230769)</f>
        <v>0.01076923077</v>
      </c>
      <c r="N527" s="504">
        <f>IFERROR(__xludf.DUMMYFUNCTION("""COMPUTED_VALUE"""),1.4)</f>
        <v>1.4</v>
      </c>
      <c r="O527" s="62"/>
      <c r="P527" s="62"/>
      <c r="Q527" s="62"/>
      <c r="R527" s="62"/>
      <c r="S527" s="62"/>
      <c r="T527" s="62"/>
      <c r="U527" s="62"/>
      <c r="V527" s="62"/>
      <c r="W527" s="62"/>
      <c r="X527" s="62"/>
      <c r="Y527" s="62"/>
      <c r="Z527" s="62"/>
    </row>
    <row r="528">
      <c r="A528" s="62" t="str">
        <f>IFERROR(__xludf.DUMMYFUNCTION("""COMPUTED_VALUE"""),"日付")</f>
        <v>日付</v>
      </c>
      <c r="B528" s="62" t="str">
        <f>IFERROR(__xludf.DUMMYFUNCTION("""COMPUTED_VALUE"""),"名前")</f>
        <v>名前</v>
      </c>
      <c r="C528" s="62" t="str">
        <f>IFERROR(__xludf.DUMMYFUNCTION("""COMPUTED_VALUE"""),"打電件数")</f>
        <v>打電件数</v>
      </c>
      <c r="D528" s="62" t="str">
        <f>IFERROR(__xludf.DUMMYFUNCTION("""COMPUTED_VALUE"""),"着電件数")</f>
        <v>着電件数</v>
      </c>
      <c r="E528" s="62" t="str">
        <f>IFERROR(__xludf.DUMMYFUNCTION("""COMPUTED_VALUE"""),"折り返し件数")</f>
        <v>折り返し件数</v>
      </c>
      <c r="F528" s="62" t="str">
        <f>IFERROR(__xludf.DUMMYFUNCTION("""COMPUTED_VALUE"""),"拒否")</f>
        <v>拒否</v>
      </c>
      <c r="G528" s="62" t="str">
        <f>IFERROR(__xludf.DUMMYFUNCTION("""COMPUTED_VALUE"""),"着電率")</f>
        <v>着電率</v>
      </c>
      <c r="H528" s="62" t="str">
        <f>IFERROR(__xludf.DUMMYFUNCTION("""COMPUTED_VALUE"""),"LINE登録")</f>
        <v>LINE登録</v>
      </c>
      <c r="I528" s="62" t="str">
        <f>IFERROR(__xludf.DUMMYFUNCTION("""COMPUTED_VALUE"""),"アカウント作成")</f>
        <v>アカウント作成</v>
      </c>
      <c r="J528" s="552" t="str">
        <f>IFERROR(__xludf.DUMMYFUNCTION("""COMPUTED_VALUE"""),"新規信用枠額")</f>
        <v>新規信用枠額</v>
      </c>
      <c r="K528" s="62" t="str">
        <f>IFERROR(__xludf.DUMMYFUNCTION("""COMPUTED_VALUE"""),"リスト死回線数")</f>
        <v>リスト死回線数</v>
      </c>
      <c r="L528" s="62" t="str">
        <f>IFERROR(__xludf.DUMMYFUNCTION("""COMPUTED_VALUE"""),"LINE率(打電から)")</f>
        <v>LINE率(打電から)</v>
      </c>
      <c r="M528" s="62" t="str">
        <f>IFERROR(__xludf.DUMMYFUNCTION("""COMPUTED_VALUE"""),"アカウント作成率(打電から)")</f>
        <v>アカウント作成率(打電から)</v>
      </c>
      <c r="N528" s="62" t="str">
        <f>IFERROR(__xludf.DUMMYFUNCTION("""COMPUTED_VALUE"""),"アカウント作成率(LINEから)")</f>
        <v>アカウント作成率(LINEから)</v>
      </c>
      <c r="O528" s="62" t="str">
        <f>IFERROR(__xludf.DUMMYFUNCTION("""COMPUTED_VALUE"""),"リスト名")</f>
        <v>リスト名</v>
      </c>
      <c r="P528" s="553" t="str">
        <f>IFERROR(__xludf.DUMMYFUNCTION("""COMPUTED_VALUE"""),"日本基準")</f>
        <v>日本基準</v>
      </c>
      <c r="Q528" s="62"/>
      <c r="R528" s="62"/>
      <c r="S528" s="62"/>
      <c r="T528" s="62"/>
      <c r="U528" s="62"/>
      <c r="V528" s="62"/>
      <c r="W528" s="62"/>
      <c r="X528" s="62"/>
      <c r="Y528" s="62"/>
      <c r="Z528" s="62"/>
    </row>
    <row r="529">
      <c r="A529" s="556">
        <f>IFERROR(__xludf.DUMMYFUNCTION("""COMPUTED_VALUE"""),45926.0)</f>
        <v>45926</v>
      </c>
      <c r="B529" s="62" t="str">
        <f>IFERROR(__xludf.DUMMYFUNCTION("""COMPUTED_VALUE"""),"あり")</f>
        <v>あり</v>
      </c>
      <c r="C529" s="62">
        <f>IFERROR(__xludf.DUMMYFUNCTION("""COMPUTED_VALUE"""),122.0)</f>
        <v>122</v>
      </c>
      <c r="D529" s="62">
        <f>IFERROR(__xludf.DUMMYFUNCTION("""COMPUTED_VALUE"""),19.0)</f>
        <v>19</v>
      </c>
      <c r="E529" s="62"/>
      <c r="F529" s="62">
        <f>IFERROR(__xludf.DUMMYFUNCTION("""COMPUTED_VALUE"""),17.0)</f>
        <v>17</v>
      </c>
      <c r="G529" s="504">
        <f>IFERROR(__xludf.DUMMYFUNCTION("""COMPUTED_VALUE"""),0.1557377049180328)</f>
        <v>0.1557377049</v>
      </c>
      <c r="H529" s="62">
        <f>IFERROR(__xludf.DUMMYFUNCTION("""COMPUTED_VALUE"""),2.0)</f>
        <v>2</v>
      </c>
      <c r="I529" s="62">
        <f>IFERROR(__xludf.DUMMYFUNCTION("""COMPUTED_VALUE"""),1.0)</f>
        <v>1</v>
      </c>
      <c r="J529" s="552">
        <f>IFERROR(__xludf.DUMMYFUNCTION("""COMPUTED_VALUE"""),100000.0)</f>
        <v>100000</v>
      </c>
      <c r="K529" s="62"/>
      <c r="L529" s="504">
        <f>IFERROR(__xludf.DUMMYFUNCTION("""COMPUTED_VALUE"""),0.01639344262295082)</f>
        <v>0.01639344262</v>
      </c>
      <c r="M529" s="504">
        <f>IFERROR(__xludf.DUMMYFUNCTION("""COMPUTED_VALUE"""),0.00819672131147541)</f>
        <v>0.008196721311</v>
      </c>
      <c r="N529" s="504">
        <f>IFERROR(__xludf.DUMMYFUNCTION("""COMPUTED_VALUE"""),0.5)</f>
        <v>0.5</v>
      </c>
      <c r="O529" s="62" t="str">
        <f>IFERROR(__xludf.DUMMYFUNCTION("""COMPUTED_VALUE"""),"リストS")</f>
        <v>リストS</v>
      </c>
      <c r="P529" s="553" t="str">
        <f>IFERROR(__xludf.DUMMYFUNCTION("""COMPUTED_VALUE"""),"平日")</f>
        <v>平日</v>
      </c>
      <c r="Q529" s="62"/>
      <c r="R529" s="62"/>
      <c r="S529" s="62"/>
      <c r="T529" s="62"/>
      <c r="U529" s="62"/>
      <c r="V529" s="62"/>
      <c r="W529" s="62"/>
      <c r="X529" s="62"/>
      <c r="Y529" s="62"/>
      <c r="Z529" s="62"/>
    </row>
    <row r="530">
      <c r="A530" s="62"/>
      <c r="B530" s="62" t="str">
        <f>IFERROR(__xludf.DUMMYFUNCTION("""COMPUTED_VALUE"""),"しょうま")</f>
        <v>しょうま</v>
      </c>
      <c r="C530" s="62"/>
      <c r="D530" s="62"/>
      <c r="E530" s="62"/>
      <c r="F530" s="62"/>
      <c r="G530" s="504">
        <f>IFERROR(__xludf.DUMMYFUNCTION("""COMPUTED_VALUE"""),0.0)</f>
        <v>0</v>
      </c>
      <c r="H530" s="62"/>
      <c r="I530" s="62"/>
      <c r="J530" s="62"/>
      <c r="K530" s="62"/>
      <c r="L530" s="504">
        <f>IFERROR(__xludf.DUMMYFUNCTION("""COMPUTED_VALUE"""),0.0)</f>
        <v>0</v>
      </c>
      <c r="M530" s="504">
        <f>IFERROR(__xludf.DUMMYFUNCTION("""COMPUTED_VALUE"""),0.0)</f>
        <v>0</v>
      </c>
      <c r="N530" s="504">
        <f>IFERROR(__xludf.DUMMYFUNCTION("""COMPUTED_VALUE"""),0.0)</f>
        <v>0</v>
      </c>
      <c r="O530" s="62"/>
      <c r="P530" s="62"/>
      <c r="Q530" s="62"/>
      <c r="R530" s="62"/>
      <c r="S530" s="62"/>
      <c r="T530" s="62"/>
      <c r="U530" s="62"/>
      <c r="V530" s="62"/>
      <c r="W530" s="62"/>
      <c r="X530" s="62"/>
      <c r="Y530" s="62"/>
      <c r="Z530" s="62"/>
    </row>
    <row r="531">
      <c r="A531" s="62"/>
      <c r="B531" s="62"/>
      <c r="C531" s="62"/>
      <c r="D531" s="62"/>
      <c r="E531" s="62"/>
      <c r="F531" s="62"/>
      <c r="G531" s="504">
        <f>IFERROR(__xludf.DUMMYFUNCTION("""COMPUTED_VALUE"""),0.0)</f>
        <v>0</v>
      </c>
      <c r="H531" s="62"/>
      <c r="I531" s="62"/>
      <c r="J531" s="62"/>
      <c r="K531" s="62"/>
      <c r="L531" s="504">
        <f>IFERROR(__xludf.DUMMYFUNCTION("""COMPUTED_VALUE"""),0.0)</f>
        <v>0</v>
      </c>
      <c r="M531" s="504">
        <f>IFERROR(__xludf.DUMMYFUNCTION("""COMPUTED_VALUE"""),0.0)</f>
        <v>0</v>
      </c>
      <c r="N531" s="504">
        <f>IFERROR(__xludf.DUMMYFUNCTION("""COMPUTED_VALUE"""),0.0)</f>
        <v>0</v>
      </c>
      <c r="O531" s="62"/>
      <c r="P531" s="62"/>
      <c r="Q531" s="62"/>
      <c r="R531" s="62"/>
      <c r="S531" s="62"/>
      <c r="T531" s="62"/>
      <c r="U531" s="62"/>
      <c r="V531" s="62"/>
      <c r="W531" s="62"/>
      <c r="X531" s="62"/>
      <c r="Y531" s="62"/>
      <c r="Z531" s="62"/>
    </row>
    <row r="532">
      <c r="A532" s="62"/>
      <c r="B532" s="62" t="str">
        <f>IFERROR(__xludf.DUMMYFUNCTION("""COMPUTED_VALUE"""),"ジョーナ")</f>
        <v>ジョーナ</v>
      </c>
      <c r="C532" s="62"/>
      <c r="D532" s="62"/>
      <c r="E532" s="62"/>
      <c r="F532" s="62"/>
      <c r="G532" s="504">
        <f>IFERROR(__xludf.DUMMYFUNCTION("""COMPUTED_VALUE"""),0.0)</f>
        <v>0</v>
      </c>
      <c r="H532" s="62"/>
      <c r="I532" s="62"/>
      <c r="J532" s="62"/>
      <c r="K532" s="62"/>
      <c r="L532" s="504">
        <f>IFERROR(__xludf.DUMMYFUNCTION("""COMPUTED_VALUE"""),0.0)</f>
        <v>0</v>
      </c>
      <c r="M532" s="504">
        <f>IFERROR(__xludf.DUMMYFUNCTION("""COMPUTED_VALUE"""),0.0)</f>
        <v>0</v>
      </c>
      <c r="N532" s="504">
        <f>IFERROR(__xludf.DUMMYFUNCTION("""COMPUTED_VALUE"""),0.0)</f>
        <v>0</v>
      </c>
      <c r="O532" s="62"/>
      <c r="P532" s="62"/>
      <c r="Q532" s="62"/>
      <c r="R532" s="62"/>
      <c r="S532" s="62"/>
      <c r="T532" s="62"/>
      <c r="U532" s="62"/>
      <c r="V532" s="62"/>
      <c r="W532" s="62"/>
      <c r="X532" s="62"/>
      <c r="Y532" s="62"/>
      <c r="Z532" s="62"/>
    </row>
    <row r="533">
      <c r="A533" s="62"/>
      <c r="B533" s="62" t="str">
        <f>IFERROR(__xludf.DUMMYFUNCTION("""COMPUTED_VALUE"""),"武田")</f>
        <v>武田</v>
      </c>
      <c r="C533" s="62"/>
      <c r="D533" s="62"/>
      <c r="E533" s="62"/>
      <c r="F533" s="62"/>
      <c r="G533" s="504">
        <f>IFERROR(__xludf.DUMMYFUNCTION("""COMPUTED_VALUE"""),0.0)</f>
        <v>0</v>
      </c>
      <c r="H533" s="62"/>
      <c r="I533" s="62"/>
      <c r="J533" s="62"/>
      <c r="K533" s="62"/>
      <c r="L533" s="504">
        <f>IFERROR(__xludf.DUMMYFUNCTION("""COMPUTED_VALUE"""),0.0)</f>
        <v>0</v>
      </c>
      <c r="M533" s="504">
        <f>IFERROR(__xludf.DUMMYFUNCTION("""COMPUTED_VALUE"""),0.0)</f>
        <v>0</v>
      </c>
      <c r="N533" s="504">
        <f>IFERROR(__xludf.DUMMYFUNCTION("""COMPUTED_VALUE"""),0.0)</f>
        <v>0</v>
      </c>
      <c r="O533" s="62"/>
      <c r="P533" s="62"/>
      <c r="Q533" s="62"/>
      <c r="R533" s="62"/>
      <c r="S533" s="62"/>
      <c r="T533" s="62"/>
      <c r="U533" s="62"/>
      <c r="V533" s="62"/>
      <c r="W533" s="62"/>
      <c r="X533" s="62"/>
      <c r="Y533" s="62"/>
      <c r="Z533" s="62"/>
    </row>
    <row r="534">
      <c r="A534" s="62"/>
      <c r="B534" s="62" t="str">
        <f>IFERROR(__xludf.DUMMYFUNCTION("""COMPUTED_VALUE"""),"高木")</f>
        <v>高木</v>
      </c>
      <c r="C534" s="62">
        <f>IFERROR(__xludf.DUMMYFUNCTION("""COMPUTED_VALUE"""),166.0)</f>
        <v>166</v>
      </c>
      <c r="D534" s="62">
        <f>IFERROR(__xludf.DUMMYFUNCTION("""COMPUTED_VALUE"""),33.0)</f>
        <v>33</v>
      </c>
      <c r="E534" s="62">
        <f>IFERROR(__xludf.DUMMYFUNCTION("""COMPUTED_VALUE"""),2.0)</f>
        <v>2</v>
      </c>
      <c r="F534" s="62">
        <f>IFERROR(__xludf.DUMMYFUNCTION("""COMPUTED_VALUE"""),29.0)</f>
        <v>29</v>
      </c>
      <c r="G534" s="504">
        <f>IFERROR(__xludf.DUMMYFUNCTION("""COMPUTED_VALUE"""),0.19879518072289157)</f>
        <v>0.1987951807</v>
      </c>
      <c r="H534" s="62">
        <f>IFERROR(__xludf.DUMMYFUNCTION("""COMPUTED_VALUE"""),3.0)</f>
        <v>3</v>
      </c>
      <c r="I534" s="62">
        <f>IFERROR(__xludf.DUMMYFUNCTION("""COMPUTED_VALUE"""),2.0)</f>
        <v>2</v>
      </c>
      <c r="J534" s="552">
        <f>IFERROR(__xludf.DUMMYFUNCTION("""COMPUTED_VALUE"""),80000.0)</f>
        <v>80000</v>
      </c>
      <c r="K534" s="62">
        <f>IFERROR(__xludf.DUMMYFUNCTION("""COMPUTED_VALUE"""),8.0)</f>
        <v>8</v>
      </c>
      <c r="L534" s="504">
        <f>IFERROR(__xludf.DUMMYFUNCTION("""COMPUTED_VALUE"""),0.018072289156626505)</f>
        <v>0.01807228916</v>
      </c>
      <c r="M534" s="504">
        <f>IFERROR(__xludf.DUMMYFUNCTION("""COMPUTED_VALUE"""),0.012048192771084338)</f>
        <v>0.01204819277</v>
      </c>
      <c r="N534" s="504">
        <f>IFERROR(__xludf.DUMMYFUNCTION("""COMPUTED_VALUE"""),0.6666666666666666)</f>
        <v>0.6666666667</v>
      </c>
      <c r="O534" s="62" t="str">
        <f>IFERROR(__xludf.DUMMYFUNCTION("""COMPUTED_VALUE"""),"リストS")</f>
        <v>リストS</v>
      </c>
      <c r="P534" s="553" t="str">
        <f>IFERROR(__xludf.DUMMYFUNCTION("""COMPUTED_VALUE"""),"平日")</f>
        <v>平日</v>
      </c>
      <c r="Q534" s="62"/>
      <c r="R534" s="62"/>
      <c r="S534" s="62"/>
      <c r="T534" s="62"/>
      <c r="U534" s="62"/>
      <c r="V534" s="62"/>
      <c r="W534" s="62"/>
      <c r="X534" s="62"/>
      <c r="Y534" s="62"/>
      <c r="Z534" s="62"/>
    </row>
    <row r="535">
      <c r="A535" s="62"/>
      <c r="B535" s="62"/>
      <c r="C535" s="62"/>
      <c r="D535" s="62"/>
      <c r="E535" s="62"/>
      <c r="F535" s="62"/>
      <c r="G535" s="504">
        <f>IFERROR(__xludf.DUMMYFUNCTION("""COMPUTED_VALUE"""),0.0)</f>
        <v>0</v>
      </c>
      <c r="H535" s="62"/>
      <c r="I535" s="62"/>
      <c r="J535" s="62"/>
      <c r="K535" s="62"/>
      <c r="L535" s="504">
        <f>IFERROR(__xludf.DUMMYFUNCTION("""COMPUTED_VALUE"""),0.0)</f>
        <v>0</v>
      </c>
      <c r="M535" s="504">
        <f>IFERROR(__xludf.DUMMYFUNCTION("""COMPUTED_VALUE"""),0.0)</f>
        <v>0</v>
      </c>
      <c r="N535" s="504">
        <f>IFERROR(__xludf.DUMMYFUNCTION("""COMPUTED_VALUE"""),0.0)</f>
        <v>0</v>
      </c>
      <c r="O535" s="62"/>
      <c r="P535" s="62"/>
      <c r="Q535" s="62"/>
      <c r="R535" s="62"/>
      <c r="S535" s="62"/>
      <c r="T535" s="62"/>
      <c r="U535" s="62"/>
      <c r="V535" s="62"/>
      <c r="W535" s="62"/>
      <c r="X535" s="62"/>
      <c r="Y535" s="62"/>
      <c r="Z535" s="62"/>
    </row>
    <row r="536">
      <c r="A536" s="62"/>
      <c r="B536" s="62" t="str">
        <f>IFERROR(__xludf.DUMMYFUNCTION("""COMPUTED_VALUE"""),"大谷")</f>
        <v>大谷</v>
      </c>
      <c r="C536" s="62"/>
      <c r="D536" s="62"/>
      <c r="E536" s="62"/>
      <c r="F536" s="62"/>
      <c r="G536" s="504">
        <f>IFERROR(__xludf.DUMMYFUNCTION("""COMPUTED_VALUE"""),0.0)</f>
        <v>0</v>
      </c>
      <c r="H536" s="62"/>
      <c r="I536" s="62"/>
      <c r="J536" s="62"/>
      <c r="K536" s="62"/>
      <c r="L536" s="504">
        <f>IFERROR(__xludf.DUMMYFUNCTION("""COMPUTED_VALUE"""),0.0)</f>
        <v>0</v>
      </c>
      <c r="M536" s="504">
        <f>IFERROR(__xludf.DUMMYFUNCTION("""COMPUTED_VALUE"""),0.0)</f>
        <v>0</v>
      </c>
      <c r="N536" s="504">
        <f>IFERROR(__xludf.DUMMYFUNCTION("""COMPUTED_VALUE"""),0.0)</f>
        <v>0</v>
      </c>
      <c r="O536" s="62"/>
      <c r="P536" s="62"/>
      <c r="Q536" s="62"/>
      <c r="R536" s="62"/>
      <c r="S536" s="62"/>
      <c r="T536" s="62"/>
      <c r="U536" s="62"/>
      <c r="V536" s="62"/>
      <c r="W536" s="62"/>
      <c r="X536" s="62"/>
      <c r="Y536" s="62"/>
      <c r="Z536" s="62"/>
    </row>
    <row r="537">
      <c r="A537" s="62"/>
      <c r="B537" s="62"/>
      <c r="C537" s="62"/>
      <c r="D537" s="62"/>
      <c r="E537" s="62"/>
      <c r="F537" s="62"/>
      <c r="G537" s="504">
        <f>IFERROR(__xludf.DUMMYFUNCTION("""COMPUTED_VALUE"""),0.0)</f>
        <v>0</v>
      </c>
      <c r="H537" s="62"/>
      <c r="I537" s="62"/>
      <c r="J537" s="62"/>
      <c r="K537" s="62"/>
      <c r="L537" s="504">
        <f>IFERROR(__xludf.DUMMYFUNCTION("""COMPUTED_VALUE"""),0.0)</f>
        <v>0</v>
      </c>
      <c r="M537" s="504">
        <f>IFERROR(__xludf.DUMMYFUNCTION("""COMPUTED_VALUE"""),0.0)</f>
        <v>0</v>
      </c>
      <c r="N537" s="504">
        <f>IFERROR(__xludf.DUMMYFUNCTION("""COMPUTED_VALUE"""),0.0)</f>
        <v>0</v>
      </c>
      <c r="O537" s="62"/>
      <c r="P537" s="62"/>
      <c r="Q537" s="62"/>
      <c r="R537" s="62"/>
      <c r="S537" s="62"/>
      <c r="T537" s="62"/>
      <c r="U537" s="62"/>
      <c r="V537" s="62"/>
      <c r="W537" s="62"/>
      <c r="X537" s="62"/>
      <c r="Y537" s="62"/>
      <c r="Z537" s="62"/>
    </row>
    <row r="538">
      <c r="A538" s="62"/>
      <c r="B538" s="62" t="str">
        <f>IFERROR(__xludf.DUMMYFUNCTION("""COMPUTED_VALUE"""),"森")</f>
        <v>森</v>
      </c>
      <c r="C538" s="62"/>
      <c r="D538" s="62"/>
      <c r="E538" s="62"/>
      <c r="F538" s="62"/>
      <c r="G538" s="504">
        <f>IFERROR(__xludf.DUMMYFUNCTION("""COMPUTED_VALUE"""),0.0)</f>
        <v>0</v>
      </c>
      <c r="H538" s="62"/>
      <c r="I538" s="62"/>
      <c r="J538" s="62"/>
      <c r="K538" s="62"/>
      <c r="L538" s="504">
        <f>IFERROR(__xludf.DUMMYFUNCTION("""COMPUTED_VALUE"""),0.0)</f>
        <v>0</v>
      </c>
      <c r="M538" s="504">
        <f>IFERROR(__xludf.DUMMYFUNCTION("""COMPUTED_VALUE"""),0.0)</f>
        <v>0</v>
      </c>
      <c r="N538" s="504">
        <f>IFERROR(__xludf.DUMMYFUNCTION("""COMPUTED_VALUE"""),0.0)</f>
        <v>0</v>
      </c>
      <c r="O538" s="62"/>
      <c r="P538" s="62"/>
      <c r="Q538" s="62"/>
      <c r="R538" s="62"/>
      <c r="S538" s="62"/>
      <c r="T538" s="62"/>
      <c r="U538" s="62"/>
      <c r="V538" s="62"/>
      <c r="W538" s="62"/>
      <c r="X538" s="62"/>
      <c r="Y538" s="62"/>
      <c r="Z538" s="62"/>
    </row>
    <row r="539">
      <c r="A539" s="62"/>
      <c r="B539" s="62"/>
      <c r="C539" s="62"/>
      <c r="D539" s="62"/>
      <c r="E539" s="62"/>
      <c r="F539" s="62"/>
      <c r="G539" s="504">
        <f>IFERROR(__xludf.DUMMYFUNCTION("""COMPUTED_VALUE"""),0.0)</f>
        <v>0</v>
      </c>
      <c r="H539" s="62"/>
      <c r="I539" s="62"/>
      <c r="J539" s="62"/>
      <c r="K539" s="62"/>
      <c r="L539" s="504">
        <f>IFERROR(__xludf.DUMMYFUNCTION("""COMPUTED_VALUE"""),0.0)</f>
        <v>0</v>
      </c>
      <c r="M539" s="504">
        <f>IFERROR(__xludf.DUMMYFUNCTION("""COMPUTED_VALUE"""),0.0)</f>
        <v>0</v>
      </c>
      <c r="N539" s="504">
        <f>IFERROR(__xludf.DUMMYFUNCTION("""COMPUTED_VALUE"""),0.0)</f>
        <v>0</v>
      </c>
      <c r="O539" s="62"/>
      <c r="P539" s="62"/>
      <c r="Q539" s="62"/>
      <c r="R539" s="62"/>
      <c r="S539" s="62"/>
      <c r="T539" s="62"/>
      <c r="U539" s="62"/>
      <c r="V539" s="62"/>
      <c r="W539" s="62"/>
      <c r="X539" s="62"/>
      <c r="Y539" s="62"/>
      <c r="Z539" s="62"/>
    </row>
    <row r="540">
      <c r="A540" s="62"/>
      <c r="B540" s="62" t="str">
        <f>IFERROR(__xludf.DUMMYFUNCTION("""COMPUTED_VALUE"""),"金子")</f>
        <v>金子</v>
      </c>
      <c r="C540" s="62"/>
      <c r="D540" s="62"/>
      <c r="E540" s="62"/>
      <c r="F540" s="62"/>
      <c r="G540" s="504">
        <f>IFERROR(__xludf.DUMMYFUNCTION("""COMPUTED_VALUE"""),0.0)</f>
        <v>0</v>
      </c>
      <c r="H540" s="62"/>
      <c r="I540" s="62"/>
      <c r="J540" s="62"/>
      <c r="K540" s="62"/>
      <c r="L540" s="504">
        <f>IFERROR(__xludf.DUMMYFUNCTION("""COMPUTED_VALUE"""),0.0)</f>
        <v>0</v>
      </c>
      <c r="M540" s="504">
        <f>IFERROR(__xludf.DUMMYFUNCTION("""COMPUTED_VALUE"""),0.0)</f>
        <v>0</v>
      </c>
      <c r="N540" s="504">
        <f>IFERROR(__xludf.DUMMYFUNCTION("""COMPUTED_VALUE"""),0.0)</f>
        <v>0</v>
      </c>
      <c r="O540" s="62"/>
      <c r="P540" s="62"/>
      <c r="Q540" s="62"/>
      <c r="R540" s="62"/>
      <c r="S540" s="62"/>
      <c r="T540" s="62"/>
      <c r="U540" s="62"/>
      <c r="V540" s="62"/>
      <c r="W540" s="62"/>
      <c r="X540" s="62"/>
      <c r="Y540" s="62"/>
      <c r="Z540" s="62"/>
    </row>
    <row r="541">
      <c r="A541" s="62"/>
      <c r="B541" s="62"/>
      <c r="C541" s="62"/>
      <c r="D541" s="62"/>
      <c r="E541" s="62"/>
      <c r="F541" s="62"/>
      <c r="G541" s="504">
        <f>IFERROR(__xludf.DUMMYFUNCTION("""COMPUTED_VALUE"""),0.0)</f>
        <v>0</v>
      </c>
      <c r="H541" s="62"/>
      <c r="I541" s="62"/>
      <c r="J541" s="62"/>
      <c r="K541" s="62"/>
      <c r="L541" s="504">
        <f>IFERROR(__xludf.DUMMYFUNCTION("""COMPUTED_VALUE"""),0.0)</f>
        <v>0</v>
      </c>
      <c r="M541" s="504">
        <f>IFERROR(__xludf.DUMMYFUNCTION("""COMPUTED_VALUE"""),0.0)</f>
        <v>0</v>
      </c>
      <c r="N541" s="504">
        <f>IFERROR(__xludf.DUMMYFUNCTION("""COMPUTED_VALUE"""),0.0)</f>
        <v>0</v>
      </c>
      <c r="O541" s="62"/>
      <c r="P541" s="62"/>
      <c r="Q541" s="62"/>
      <c r="R541" s="62"/>
      <c r="S541" s="62"/>
      <c r="T541" s="62"/>
      <c r="U541" s="62"/>
      <c r="V541" s="62"/>
      <c r="W541" s="62"/>
      <c r="X541" s="62"/>
      <c r="Y541" s="62"/>
      <c r="Z541" s="62"/>
    </row>
    <row r="542">
      <c r="A542" s="62"/>
      <c r="B542" s="552" t="str">
        <f>IFERROR(__xludf.DUMMYFUNCTION("""COMPUTED_VALUE"""),"SMS")</f>
        <v>SMS</v>
      </c>
      <c r="C542" s="62"/>
      <c r="D542" s="62"/>
      <c r="E542" s="62"/>
      <c r="F542" s="62"/>
      <c r="G542" s="504">
        <f>IFERROR(__xludf.DUMMYFUNCTION("""COMPUTED_VALUE"""),0.0)</f>
        <v>0</v>
      </c>
      <c r="H542" s="62"/>
      <c r="I542" s="62">
        <f>IFERROR(__xludf.DUMMYFUNCTION("""COMPUTED_VALUE"""),1.0)</f>
        <v>1</v>
      </c>
      <c r="J542" s="552">
        <f>IFERROR(__xludf.DUMMYFUNCTION("""COMPUTED_VALUE"""),30000.0)</f>
        <v>30000</v>
      </c>
      <c r="K542" s="62"/>
      <c r="L542" s="504">
        <f>IFERROR(__xludf.DUMMYFUNCTION("""COMPUTED_VALUE"""),0.0)</f>
        <v>0</v>
      </c>
      <c r="M542" s="504">
        <f>IFERROR(__xludf.DUMMYFUNCTION("""COMPUTED_VALUE"""),0.0)</f>
        <v>0</v>
      </c>
      <c r="N542" s="504">
        <f>IFERROR(__xludf.DUMMYFUNCTION("""COMPUTED_VALUE"""),0.0)</f>
        <v>0</v>
      </c>
      <c r="O542" s="62"/>
      <c r="P542" s="62"/>
      <c r="Q542" s="62"/>
      <c r="R542" s="62"/>
      <c r="S542" s="62"/>
      <c r="T542" s="62"/>
      <c r="U542" s="62"/>
      <c r="V542" s="62"/>
      <c r="W542" s="62"/>
      <c r="X542" s="62"/>
      <c r="Y542" s="62"/>
      <c r="Z542" s="62"/>
    </row>
    <row r="543">
      <c r="A543" s="62"/>
      <c r="B543" s="62" t="str">
        <f>IFERROR(__xludf.DUMMYFUNCTION("""COMPUTED_VALUE"""),"紹介")</f>
        <v>紹介</v>
      </c>
      <c r="C543" s="62"/>
      <c r="D543" s="62"/>
      <c r="E543" s="62"/>
      <c r="F543" s="62"/>
      <c r="G543" s="504">
        <f>IFERROR(__xludf.DUMMYFUNCTION("""COMPUTED_VALUE"""),0.0)</f>
        <v>0</v>
      </c>
      <c r="H543" s="62"/>
      <c r="I543" s="62"/>
      <c r="J543" s="62"/>
      <c r="K543" s="62"/>
      <c r="L543" s="504">
        <f>IFERROR(__xludf.DUMMYFUNCTION("""COMPUTED_VALUE"""),0.0)</f>
        <v>0</v>
      </c>
      <c r="M543" s="504">
        <f>IFERROR(__xludf.DUMMYFUNCTION("""COMPUTED_VALUE"""),0.0)</f>
        <v>0</v>
      </c>
      <c r="N543" s="504">
        <f>IFERROR(__xludf.DUMMYFUNCTION("""COMPUTED_VALUE"""),0.0)</f>
        <v>0</v>
      </c>
      <c r="O543" s="62"/>
      <c r="P543" s="62"/>
      <c r="Q543" s="62"/>
      <c r="R543" s="62"/>
      <c r="S543" s="62"/>
      <c r="T543" s="62"/>
      <c r="U543" s="62"/>
      <c r="V543" s="62"/>
      <c r="W543" s="62"/>
      <c r="X543" s="62"/>
      <c r="Y543" s="62"/>
      <c r="Z543" s="62"/>
    </row>
    <row r="544">
      <c r="A544" s="62"/>
      <c r="B544" s="62" t="str">
        <f>IFERROR(__xludf.DUMMYFUNCTION("""COMPUTED_VALUE"""),"仁子")</f>
        <v>仁子</v>
      </c>
      <c r="C544" s="62"/>
      <c r="D544" s="62"/>
      <c r="E544" s="62"/>
      <c r="F544" s="62"/>
      <c r="G544" s="504">
        <f>IFERROR(__xludf.DUMMYFUNCTION("""COMPUTED_VALUE"""),0.0)</f>
        <v>0</v>
      </c>
      <c r="H544" s="62"/>
      <c r="I544" s="62">
        <f>IFERROR(__xludf.DUMMYFUNCTION("""COMPUTED_VALUE"""),2.0)</f>
        <v>2</v>
      </c>
      <c r="J544" s="552">
        <f>IFERROR(__xludf.DUMMYFUNCTION("""COMPUTED_VALUE"""),130000.0)</f>
        <v>130000</v>
      </c>
      <c r="K544" s="62"/>
      <c r="L544" s="504">
        <f>IFERROR(__xludf.DUMMYFUNCTION("""COMPUTED_VALUE"""),0.0)</f>
        <v>0</v>
      </c>
      <c r="M544" s="504">
        <f>IFERROR(__xludf.DUMMYFUNCTION("""COMPUTED_VALUE"""),0.0)</f>
        <v>0</v>
      </c>
      <c r="N544" s="504">
        <f>IFERROR(__xludf.DUMMYFUNCTION("""COMPUTED_VALUE"""),0.0)</f>
        <v>0</v>
      </c>
      <c r="O544" s="62"/>
      <c r="P544" s="62"/>
      <c r="Q544" s="62"/>
      <c r="R544" s="62"/>
      <c r="S544" s="62"/>
      <c r="T544" s="62"/>
      <c r="U544" s="62"/>
      <c r="V544" s="62"/>
      <c r="W544" s="62"/>
      <c r="X544" s="62"/>
      <c r="Y544" s="62"/>
      <c r="Z544" s="62"/>
    </row>
    <row r="545">
      <c r="A545" s="62"/>
      <c r="B545" s="62" t="str">
        <f>IFERROR(__xludf.DUMMYFUNCTION("""COMPUTED_VALUE"""),"鈴木")</f>
        <v>鈴木</v>
      </c>
      <c r="C545" s="62">
        <f>IFERROR(__xludf.DUMMYFUNCTION("""COMPUTED_VALUE"""),134.0)</f>
        <v>134</v>
      </c>
      <c r="D545" s="62">
        <f>IFERROR(__xludf.DUMMYFUNCTION("""COMPUTED_VALUE"""),45.0)</f>
        <v>45</v>
      </c>
      <c r="E545" s="62"/>
      <c r="F545" s="62">
        <f>IFERROR(__xludf.DUMMYFUNCTION("""COMPUTED_VALUE"""),34.0)</f>
        <v>34</v>
      </c>
      <c r="G545" s="504">
        <f>IFERROR(__xludf.DUMMYFUNCTION("""COMPUTED_VALUE"""),0.3358208955223881)</f>
        <v>0.3358208955</v>
      </c>
      <c r="H545" s="62">
        <f>IFERROR(__xludf.DUMMYFUNCTION("""COMPUTED_VALUE"""),2.0)</f>
        <v>2</v>
      </c>
      <c r="I545" s="62">
        <f>IFERROR(__xludf.DUMMYFUNCTION("""COMPUTED_VALUE"""),2.0)</f>
        <v>2</v>
      </c>
      <c r="J545" s="552">
        <f>IFERROR(__xludf.DUMMYFUNCTION("""COMPUTED_VALUE"""),50000.0)</f>
        <v>50000</v>
      </c>
      <c r="K545" s="62"/>
      <c r="L545" s="504">
        <f>IFERROR(__xludf.DUMMYFUNCTION("""COMPUTED_VALUE"""),0.014925373134328358)</f>
        <v>0.01492537313</v>
      </c>
      <c r="M545" s="504">
        <f>IFERROR(__xludf.DUMMYFUNCTION("""COMPUTED_VALUE"""),0.014925373134328358)</f>
        <v>0.01492537313</v>
      </c>
      <c r="N545" s="504">
        <f>IFERROR(__xludf.DUMMYFUNCTION("""COMPUTED_VALUE"""),1.0)</f>
        <v>1</v>
      </c>
      <c r="O545" s="62" t="str">
        <f>IFERROR(__xludf.DUMMYFUNCTION("""COMPUTED_VALUE"""),"リストS")</f>
        <v>リストS</v>
      </c>
      <c r="P545" s="62"/>
      <c r="Q545" s="62"/>
      <c r="R545" s="62"/>
      <c r="S545" s="62"/>
      <c r="T545" s="62"/>
      <c r="U545" s="62"/>
      <c r="V545" s="62"/>
      <c r="W545" s="62"/>
      <c r="X545" s="62"/>
      <c r="Y545" s="62"/>
      <c r="Z545" s="62"/>
    </row>
    <row r="546">
      <c r="A546" s="62"/>
      <c r="B546" s="62" t="str">
        <f>IFERROR(__xludf.DUMMYFUNCTION("""COMPUTED_VALUE"""),"仲間")</f>
        <v>仲間</v>
      </c>
      <c r="C546" s="62">
        <f>IFERROR(__xludf.DUMMYFUNCTION("""COMPUTED_VALUE"""),257.0)</f>
        <v>257</v>
      </c>
      <c r="D546" s="62">
        <f>IFERROR(__xludf.DUMMYFUNCTION("""COMPUTED_VALUE"""),41.0)</f>
        <v>41</v>
      </c>
      <c r="E546" s="62"/>
      <c r="F546" s="62">
        <f>IFERROR(__xludf.DUMMYFUNCTION("""COMPUTED_VALUE"""),36.0)</f>
        <v>36</v>
      </c>
      <c r="G546" s="504">
        <f>IFERROR(__xludf.DUMMYFUNCTION("""COMPUTED_VALUE"""),0.15953307392996108)</f>
        <v>0.1595330739</v>
      </c>
      <c r="H546" s="62"/>
      <c r="I546" s="62"/>
      <c r="J546" s="62"/>
      <c r="K546" s="62"/>
      <c r="L546" s="504">
        <f>IFERROR(__xludf.DUMMYFUNCTION("""COMPUTED_VALUE"""),0.0)</f>
        <v>0</v>
      </c>
      <c r="M546" s="504">
        <f>IFERROR(__xludf.DUMMYFUNCTION("""COMPUTED_VALUE"""),0.0)</f>
        <v>0</v>
      </c>
      <c r="N546" s="504">
        <f>IFERROR(__xludf.DUMMYFUNCTION("""COMPUTED_VALUE"""),0.0)</f>
        <v>0</v>
      </c>
      <c r="O546" s="62" t="str">
        <f>IFERROR(__xludf.DUMMYFUNCTION("""COMPUTED_VALUE"""),"リストS")</f>
        <v>リストS</v>
      </c>
      <c r="P546" s="553" t="str">
        <f>IFERROR(__xludf.DUMMYFUNCTION("""COMPUTED_VALUE"""),"平日")</f>
        <v>平日</v>
      </c>
      <c r="Q546" s="62"/>
      <c r="R546" s="62"/>
      <c r="S546" s="62"/>
      <c r="T546" s="62"/>
      <c r="U546" s="62"/>
      <c r="V546" s="62"/>
      <c r="W546" s="62"/>
      <c r="X546" s="62"/>
      <c r="Y546" s="62"/>
      <c r="Z546" s="62"/>
    </row>
    <row r="547">
      <c r="A547" s="62"/>
      <c r="B547" s="62"/>
      <c r="C547" s="62"/>
      <c r="D547" s="62"/>
      <c r="E547" s="62"/>
      <c r="F547" s="62"/>
      <c r="G547" s="504">
        <f>IFERROR(__xludf.DUMMYFUNCTION("""COMPUTED_VALUE"""),0.0)</f>
        <v>0</v>
      </c>
      <c r="H547" s="62"/>
      <c r="I547" s="62"/>
      <c r="J547" s="62"/>
      <c r="K547" s="62"/>
      <c r="L547" s="504">
        <f>IFERROR(__xludf.DUMMYFUNCTION("""COMPUTED_VALUE"""),0.0)</f>
        <v>0</v>
      </c>
      <c r="M547" s="504">
        <f>IFERROR(__xludf.DUMMYFUNCTION("""COMPUTED_VALUE"""),0.0)</f>
        <v>0</v>
      </c>
      <c r="N547" s="504">
        <f>IFERROR(__xludf.DUMMYFUNCTION("""COMPUTED_VALUE"""),0.0)</f>
        <v>0</v>
      </c>
      <c r="O547" s="62"/>
      <c r="P547" s="62"/>
      <c r="Q547" s="62"/>
      <c r="R547" s="62"/>
      <c r="S547" s="62"/>
      <c r="T547" s="62"/>
      <c r="U547" s="62"/>
      <c r="V547" s="62"/>
      <c r="W547" s="62"/>
      <c r="X547" s="62"/>
      <c r="Y547" s="62"/>
      <c r="Z547" s="62"/>
    </row>
    <row r="548">
      <c r="A548" s="62"/>
      <c r="B548" s="62" t="str">
        <f>IFERROR(__xludf.DUMMYFUNCTION("""COMPUTED_VALUE"""),"合計")</f>
        <v>合計</v>
      </c>
      <c r="C548" s="62">
        <f>IFERROR(__xludf.DUMMYFUNCTION("""COMPUTED_VALUE"""),679.0)</f>
        <v>679</v>
      </c>
      <c r="D548" s="62">
        <f>IFERROR(__xludf.DUMMYFUNCTION("""COMPUTED_VALUE"""),138.0)</f>
        <v>138</v>
      </c>
      <c r="E548" s="62">
        <f>IFERROR(__xludf.DUMMYFUNCTION("""COMPUTED_VALUE"""),2.0)</f>
        <v>2</v>
      </c>
      <c r="F548" s="62">
        <f>IFERROR(__xludf.DUMMYFUNCTION("""COMPUTED_VALUE"""),116.0)</f>
        <v>116</v>
      </c>
      <c r="G548" s="504">
        <f>IFERROR(__xludf.DUMMYFUNCTION("""COMPUTED_VALUE"""),0.203240058910162)</f>
        <v>0.2032400589</v>
      </c>
      <c r="H548" s="62">
        <f>IFERROR(__xludf.DUMMYFUNCTION("""COMPUTED_VALUE"""),7.0)</f>
        <v>7</v>
      </c>
      <c r="I548" s="62">
        <f>IFERROR(__xludf.DUMMYFUNCTION("""COMPUTED_VALUE"""),8.0)</f>
        <v>8</v>
      </c>
      <c r="J548" s="552">
        <f>IFERROR(__xludf.DUMMYFUNCTION("""COMPUTED_VALUE"""),390000.0)</f>
        <v>390000</v>
      </c>
      <c r="K548" s="62">
        <f>IFERROR(__xludf.DUMMYFUNCTION("""COMPUTED_VALUE"""),8.0)</f>
        <v>8</v>
      </c>
      <c r="L548" s="504">
        <f>IFERROR(__xludf.DUMMYFUNCTION("""COMPUTED_VALUE"""),0.010309278350515464)</f>
        <v>0.01030927835</v>
      </c>
      <c r="M548" s="504">
        <f>IFERROR(__xludf.DUMMYFUNCTION("""COMPUTED_VALUE"""),0.011782032400589101)</f>
        <v>0.0117820324</v>
      </c>
      <c r="N548" s="504">
        <f>IFERROR(__xludf.DUMMYFUNCTION("""COMPUTED_VALUE"""),1.1428571428571428)</f>
        <v>1.142857143</v>
      </c>
      <c r="O548" s="62"/>
      <c r="P548" s="62"/>
      <c r="Q548" s="62"/>
      <c r="R548" s="62"/>
      <c r="S548" s="62"/>
      <c r="T548" s="62"/>
      <c r="U548" s="62"/>
      <c r="V548" s="62"/>
      <c r="W548" s="62"/>
      <c r="X548" s="62"/>
      <c r="Y548" s="62"/>
      <c r="Z548" s="62"/>
    </row>
    <row r="549">
      <c r="A549" s="62" t="str">
        <f>IFERROR(__xludf.DUMMYFUNCTION("""COMPUTED_VALUE"""),"日付")</f>
        <v>日付</v>
      </c>
      <c r="B549" s="62" t="str">
        <f>IFERROR(__xludf.DUMMYFUNCTION("""COMPUTED_VALUE"""),"名前")</f>
        <v>名前</v>
      </c>
      <c r="C549" s="62" t="str">
        <f>IFERROR(__xludf.DUMMYFUNCTION("""COMPUTED_VALUE"""),"打電件数")</f>
        <v>打電件数</v>
      </c>
      <c r="D549" s="62" t="str">
        <f>IFERROR(__xludf.DUMMYFUNCTION("""COMPUTED_VALUE"""),"着電件数")</f>
        <v>着電件数</v>
      </c>
      <c r="E549" s="62" t="str">
        <f>IFERROR(__xludf.DUMMYFUNCTION("""COMPUTED_VALUE"""),"折り返し件数")</f>
        <v>折り返し件数</v>
      </c>
      <c r="F549" s="62" t="str">
        <f>IFERROR(__xludf.DUMMYFUNCTION("""COMPUTED_VALUE"""),"拒否")</f>
        <v>拒否</v>
      </c>
      <c r="G549" s="62" t="str">
        <f>IFERROR(__xludf.DUMMYFUNCTION("""COMPUTED_VALUE"""),"着電率")</f>
        <v>着電率</v>
      </c>
      <c r="H549" s="62" t="str">
        <f>IFERROR(__xludf.DUMMYFUNCTION("""COMPUTED_VALUE"""),"LINE登録")</f>
        <v>LINE登録</v>
      </c>
      <c r="I549" s="62" t="str">
        <f>IFERROR(__xludf.DUMMYFUNCTION("""COMPUTED_VALUE"""),"アカウント作成")</f>
        <v>アカウント作成</v>
      </c>
      <c r="J549" s="552" t="str">
        <f>IFERROR(__xludf.DUMMYFUNCTION("""COMPUTED_VALUE"""),"新規信用枠額")</f>
        <v>新規信用枠額</v>
      </c>
      <c r="K549" s="62" t="str">
        <f>IFERROR(__xludf.DUMMYFUNCTION("""COMPUTED_VALUE"""),"リスト死回線数")</f>
        <v>リスト死回線数</v>
      </c>
      <c r="L549" s="62" t="str">
        <f>IFERROR(__xludf.DUMMYFUNCTION("""COMPUTED_VALUE"""),"LINE率(打電から)")</f>
        <v>LINE率(打電から)</v>
      </c>
      <c r="M549" s="62" t="str">
        <f>IFERROR(__xludf.DUMMYFUNCTION("""COMPUTED_VALUE"""),"アカウント作成率(打電から)")</f>
        <v>アカウント作成率(打電から)</v>
      </c>
      <c r="N549" s="62" t="str">
        <f>IFERROR(__xludf.DUMMYFUNCTION("""COMPUTED_VALUE"""),"アカウント作成率(LINEから)")</f>
        <v>アカウント作成率(LINEから)</v>
      </c>
      <c r="O549" s="62" t="str">
        <f>IFERROR(__xludf.DUMMYFUNCTION("""COMPUTED_VALUE"""),"リスト名")</f>
        <v>リスト名</v>
      </c>
      <c r="P549" s="553" t="str">
        <f>IFERROR(__xludf.DUMMYFUNCTION("""COMPUTED_VALUE"""),"日本基準")</f>
        <v>日本基準</v>
      </c>
      <c r="Q549" s="62"/>
      <c r="R549" s="62"/>
      <c r="S549" s="62"/>
      <c r="T549" s="62"/>
      <c r="U549" s="62"/>
      <c r="V549" s="62"/>
      <c r="W549" s="62"/>
      <c r="X549" s="62"/>
      <c r="Y549" s="62"/>
      <c r="Z549" s="62"/>
    </row>
    <row r="550">
      <c r="A550" s="556">
        <f>IFERROR(__xludf.DUMMYFUNCTION("""COMPUTED_VALUE"""),45927.0)</f>
        <v>45927</v>
      </c>
      <c r="B550" s="62" t="str">
        <f>IFERROR(__xludf.DUMMYFUNCTION("""COMPUTED_VALUE"""),"あり")</f>
        <v>あり</v>
      </c>
      <c r="C550" s="62">
        <f>IFERROR(__xludf.DUMMYFUNCTION("""COMPUTED_VALUE"""),103.0)</f>
        <v>103</v>
      </c>
      <c r="D550" s="62">
        <f>IFERROR(__xludf.DUMMYFUNCTION("""COMPUTED_VALUE"""),18.0)</f>
        <v>18</v>
      </c>
      <c r="E550" s="62"/>
      <c r="F550" s="62">
        <f>IFERROR(__xludf.DUMMYFUNCTION("""COMPUTED_VALUE"""),18.0)</f>
        <v>18</v>
      </c>
      <c r="G550" s="504">
        <f>IFERROR(__xludf.DUMMYFUNCTION("""COMPUTED_VALUE"""),0.17475728155339806)</f>
        <v>0.1747572816</v>
      </c>
      <c r="H550" s="62">
        <f>IFERROR(__xludf.DUMMYFUNCTION("""COMPUTED_VALUE"""),1.0)</f>
        <v>1</v>
      </c>
      <c r="I550" s="62">
        <f>IFERROR(__xludf.DUMMYFUNCTION("""COMPUTED_VALUE"""),2.0)</f>
        <v>2</v>
      </c>
      <c r="J550" s="552">
        <f>IFERROR(__xludf.DUMMYFUNCTION("""COMPUTED_VALUE"""),80000.0)</f>
        <v>80000</v>
      </c>
      <c r="K550" s="62"/>
      <c r="L550" s="504">
        <f>IFERROR(__xludf.DUMMYFUNCTION("""COMPUTED_VALUE"""),0.009708737864077669)</f>
        <v>0.009708737864</v>
      </c>
      <c r="M550" s="504">
        <f>IFERROR(__xludf.DUMMYFUNCTION("""COMPUTED_VALUE"""),0.019417475728155338)</f>
        <v>0.01941747573</v>
      </c>
      <c r="N550" s="504">
        <f>IFERROR(__xludf.DUMMYFUNCTION("""COMPUTED_VALUE"""),2.0)</f>
        <v>2</v>
      </c>
      <c r="O550" s="62" t="str">
        <f>IFERROR(__xludf.DUMMYFUNCTION("""COMPUTED_VALUE"""),"リストC")</f>
        <v>リストC</v>
      </c>
      <c r="P550" s="553" t="str">
        <f>IFERROR(__xludf.DUMMYFUNCTION("""COMPUTED_VALUE"""),"祝日")</f>
        <v>祝日</v>
      </c>
      <c r="Q550" s="62"/>
      <c r="R550" s="62"/>
      <c r="S550" s="62"/>
      <c r="T550" s="62"/>
      <c r="U550" s="62"/>
      <c r="V550" s="62"/>
      <c r="W550" s="62"/>
      <c r="X550" s="62"/>
      <c r="Y550" s="62"/>
      <c r="Z550" s="62"/>
    </row>
    <row r="551">
      <c r="A551" s="62"/>
      <c r="B551" s="62" t="str">
        <f>IFERROR(__xludf.DUMMYFUNCTION("""COMPUTED_VALUE"""),"しょうま")</f>
        <v>しょうま</v>
      </c>
      <c r="C551" s="62">
        <f>IFERROR(__xludf.DUMMYFUNCTION("""COMPUTED_VALUE"""),307.0)</f>
        <v>307</v>
      </c>
      <c r="D551" s="62">
        <f>IFERROR(__xludf.DUMMYFUNCTION("""COMPUTED_VALUE"""),32.0)</f>
        <v>32</v>
      </c>
      <c r="E551" s="62">
        <f>IFERROR(__xludf.DUMMYFUNCTION("""COMPUTED_VALUE"""),5.0)</f>
        <v>5</v>
      </c>
      <c r="F551" s="62"/>
      <c r="G551" s="504">
        <f>IFERROR(__xludf.DUMMYFUNCTION("""COMPUTED_VALUE"""),0.10423452768729642)</f>
        <v>0.1042345277</v>
      </c>
      <c r="H551" s="62">
        <f>IFERROR(__xludf.DUMMYFUNCTION("""COMPUTED_VALUE"""),1.0)</f>
        <v>1</v>
      </c>
      <c r="I551" s="62">
        <f>IFERROR(__xludf.DUMMYFUNCTION("""COMPUTED_VALUE"""),1.0)</f>
        <v>1</v>
      </c>
      <c r="J551" s="552">
        <f>IFERROR(__xludf.DUMMYFUNCTION("""COMPUTED_VALUE"""),50000.0)</f>
        <v>50000</v>
      </c>
      <c r="K551" s="62"/>
      <c r="L551" s="504">
        <f>IFERROR(__xludf.DUMMYFUNCTION("""COMPUTED_VALUE"""),0.003257328990228013)</f>
        <v>0.00325732899</v>
      </c>
      <c r="M551" s="504">
        <f>IFERROR(__xludf.DUMMYFUNCTION("""COMPUTED_VALUE"""),0.003257328990228013)</f>
        <v>0.00325732899</v>
      </c>
      <c r="N551" s="504">
        <f>IFERROR(__xludf.DUMMYFUNCTION("""COMPUTED_VALUE"""),1.0)</f>
        <v>1</v>
      </c>
      <c r="O551" s="62" t="str">
        <f>IFERROR(__xludf.DUMMYFUNCTION("""COMPUTED_VALUE"""),"リストC")</f>
        <v>リストC</v>
      </c>
      <c r="P551" s="553" t="str">
        <f>IFERROR(__xludf.DUMMYFUNCTION("""COMPUTED_VALUE"""),"祝日")</f>
        <v>祝日</v>
      </c>
      <c r="Q551" s="62"/>
      <c r="R551" s="62"/>
      <c r="S551" s="62"/>
      <c r="T551" s="62"/>
      <c r="U551" s="62"/>
      <c r="V551" s="62"/>
      <c r="W551" s="62"/>
      <c r="X551" s="62"/>
      <c r="Y551" s="62"/>
      <c r="Z551" s="62"/>
    </row>
    <row r="552">
      <c r="A552" s="62"/>
      <c r="B552" s="62"/>
      <c r="C552" s="62"/>
      <c r="D552" s="62"/>
      <c r="E552" s="62"/>
      <c r="F552" s="62"/>
      <c r="G552" s="504">
        <f>IFERROR(__xludf.DUMMYFUNCTION("""COMPUTED_VALUE"""),0.0)</f>
        <v>0</v>
      </c>
      <c r="H552" s="62"/>
      <c r="I552" s="62"/>
      <c r="J552" s="62"/>
      <c r="K552" s="62"/>
      <c r="L552" s="504">
        <f>IFERROR(__xludf.DUMMYFUNCTION("""COMPUTED_VALUE"""),0.0)</f>
        <v>0</v>
      </c>
      <c r="M552" s="504">
        <f>IFERROR(__xludf.DUMMYFUNCTION("""COMPUTED_VALUE"""),0.0)</f>
        <v>0</v>
      </c>
      <c r="N552" s="504">
        <f>IFERROR(__xludf.DUMMYFUNCTION("""COMPUTED_VALUE"""),0.0)</f>
        <v>0</v>
      </c>
      <c r="O552" s="62"/>
      <c r="P552" s="62"/>
      <c r="Q552" s="62"/>
      <c r="R552" s="62"/>
      <c r="S552" s="62"/>
      <c r="T552" s="62"/>
      <c r="U552" s="62"/>
      <c r="V552" s="62"/>
      <c r="W552" s="62"/>
      <c r="X552" s="62"/>
      <c r="Y552" s="62"/>
      <c r="Z552" s="62"/>
    </row>
    <row r="553">
      <c r="A553" s="62"/>
      <c r="B553" s="62" t="str">
        <f>IFERROR(__xludf.DUMMYFUNCTION("""COMPUTED_VALUE"""),"ジョーナ")</f>
        <v>ジョーナ</v>
      </c>
      <c r="C553" s="62"/>
      <c r="D553" s="62"/>
      <c r="E553" s="62"/>
      <c r="F553" s="62"/>
      <c r="G553" s="504">
        <f>IFERROR(__xludf.DUMMYFUNCTION("""COMPUTED_VALUE"""),0.0)</f>
        <v>0</v>
      </c>
      <c r="H553" s="62"/>
      <c r="I553" s="62"/>
      <c r="J553" s="62"/>
      <c r="K553" s="62"/>
      <c r="L553" s="504">
        <f>IFERROR(__xludf.DUMMYFUNCTION("""COMPUTED_VALUE"""),0.0)</f>
        <v>0</v>
      </c>
      <c r="M553" s="504">
        <f>IFERROR(__xludf.DUMMYFUNCTION("""COMPUTED_VALUE"""),0.0)</f>
        <v>0</v>
      </c>
      <c r="N553" s="504">
        <f>IFERROR(__xludf.DUMMYFUNCTION("""COMPUTED_VALUE"""),0.0)</f>
        <v>0</v>
      </c>
      <c r="O553" s="62"/>
      <c r="P553" s="62"/>
      <c r="Q553" s="62"/>
      <c r="R553" s="62"/>
      <c r="S553" s="62"/>
      <c r="T553" s="62"/>
      <c r="U553" s="62"/>
      <c r="V553" s="62"/>
      <c r="W553" s="62"/>
      <c r="X553" s="62"/>
      <c r="Y553" s="62"/>
      <c r="Z553" s="62"/>
    </row>
    <row r="554">
      <c r="A554" s="62"/>
      <c r="B554" s="62" t="str">
        <f>IFERROR(__xludf.DUMMYFUNCTION("""COMPUTED_VALUE"""),"武田")</f>
        <v>武田</v>
      </c>
      <c r="C554" s="62"/>
      <c r="D554" s="62"/>
      <c r="E554" s="62"/>
      <c r="F554" s="62"/>
      <c r="G554" s="504">
        <f>IFERROR(__xludf.DUMMYFUNCTION("""COMPUTED_VALUE"""),0.0)</f>
        <v>0</v>
      </c>
      <c r="H554" s="62"/>
      <c r="I554" s="62"/>
      <c r="J554" s="62"/>
      <c r="K554" s="62"/>
      <c r="L554" s="504">
        <f>IFERROR(__xludf.DUMMYFUNCTION("""COMPUTED_VALUE"""),0.0)</f>
        <v>0</v>
      </c>
      <c r="M554" s="504">
        <f>IFERROR(__xludf.DUMMYFUNCTION("""COMPUTED_VALUE"""),0.0)</f>
        <v>0</v>
      </c>
      <c r="N554" s="504">
        <f>IFERROR(__xludf.DUMMYFUNCTION("""COMPUTED_VALUE"""),0.0)</f>
        <v>0</v>
      </c>
      <c r="O554" s="62"/>
      <c r="P554" s="62"/>
      <c r="Q554" s="62"/>
      <c r="R554" s="62"/>
      <c r="S554" s="62"/>
      <c r="T554" s="62"/>
      <c r="U554" s="62"/>
      <c r="V554" s="62"/>
      <c r="W554" s="62"/>
      <c r="X554" s="62"/>
      <c r="Y554" s="62"/>
      <c r="Z554" s="62"/>
    </row>
    <row r="555">
      <c r="A555" s="62"/>
      <c r="B555" s="62" t="str">
        <f>IFERROR(__xludf.DUMMYFUNCTION("""COMPUTED_VALUE"""),"高木")</f>
        <v>高木</v>
      </c>
      <c r="C555" s="62">
        <f>IFERROR(__xludf.DUMMYFUNCTION("""COMPUTED_VALUE"""),276.0)</f>
        <v>276</v>
      </c>
      <c r="D555" s="62">
        <f>IFERROR(__xludf.DUMMYFUNCTION("""COMPUTED_VALUE"""),53.0)</f>
        <v>53</v>
      </c>
      <c r="E555" s="62">
        <f>IFERROR(__xludf.DUMMYFUNCTION("""COMPUTED_VALUE"""),1.0)</f>
        <v>1</v>
      </c>
      <c r="F555" s="62">
        <f>IFERROR(__xludf.DUMMYFUNCTION("""COMPUTED_VALUE"""),41.0)</f>
        <v>41</v>
      </c>
      <c r="G555" s="504">
        <f>IFERROR(__xludf.DUMMYFUNCTION("""COMPUTED_VALUE"""),0.19202898550724637)</f>
        <v>0.1920289855</v>
      </c>
      <c r="H555" s="62"/>
      <c r="I555" s="62"/>
      <c r="J555" s="62"/>
      <c r="K555" s="62"/>
      <c r="L555" s="504">
        <f>IFERROR(__xludf.DUMMYFUNCTION("""COMPUTED_VALUE"""),0.0)</f>
        <v>0</v>
      </c>
      <c r="M555" s="504">
        <f>IFERROR(__xludf.DUMMYFUNCTION("""COMPUTED_VALUE"""),0.0)</f>
        <v>0</v>
      </c>
      <c r="N555" s="504">
        <f>IFERROR(__xludf.DUMMYFUNCTION("""COMPUTED_VALUE"""),0.0)</f>
        <v>0</v>
      </c>
      <c r="O555" s="62" t="str">
        <f>IFERROR(__xludf.DUMMYFUNCTION("""COMPUTED_VALUE"""),"リストS")</f>
        <v>リストS</v>
      </c>
      <c r="P555" s="553" t="str">
        <f>IFERROR(__xludf.DUMMYFUNCTION("""COMPUTED_VALUE"""),"祝日")</f>
        <v>祝日</v>
      </c>
      <c r="Q555" s="62"/>
      <c r="R555" s="62"/>
      <c r="S555" s="62"/>
      <c r="T555" s="62"/>
      <c r="U555" s="62"/>
      <c r="V555" s="62"/>
      <c r="W555" s="62"/>
      <c r="X555" s="62"/>
      <c r="Y555" s="62"/>
      <c r="Z555" s="62"/>
    </row>
    <row r="556">
      <c r="A556" s="62"/>
      <c r="B556" s="62"/>
      <c r="C556" s="62"/>
      <c r="D556" s="62"/>
      <c r="E556" s="62"/>
      <c r="F556" s="62"/>
      <c r="G556" s="504">
        <f>IFERROR(__xludf.DUMMYFUNCTION("""COMPUTED_VALUE"""),0.0)</f>
        <v>0</v>
      </c>
      <c r="H556" s="62"/>
      <c r="I556" s="62"/>
      <c r="J556" s="62"/>
      <c r="K556" s="62"/>
      <c r="L556" s="504">
        <f>IFERROR(__xludf.DUMMYFUNCTION("""COMPUTED_VALUE"""),0.0)</f>
        <v>0</v>
      </c>
      <c r="M556" s="504">
        <f>IFERROR(__xludf.DUMMYFUNCTION("""COMPUTED_VALUE"""),0.0)</f>
        <v>0</v>
      </c>
      <c r="N556" s="504">
        <f>IFERROR(__xludf.DUMMYFUNCTION("""COMPUTED_VALUE"""),0.0)</f>
        <v>0</v>
      </c>
      <c r="O556" s="62"/>
      <c r="P556" s="62"/>
      <c r="Q556" s="62"/>
      <c r="R556" s="62"/>
      <c r="S556" s="62"/>
      <c r="T556" s="62"/>
      <c r="U556" s="62"/>
      <c r="V556" s="62"/>
      <c r="W556" s="62"/>
      <c r="X556" s="62"/>
      <c r="Y556" s="62"/>
      <c r="Z556" s="62"/>
    </row>
    <row r="557">
      <c r="A557" s="62"/>
      <c r="B557" s="62" t="str">
        <f>IFERROR(__xludf.DUMMYFUNCTION("""COMPUTED_VALUE"""),"大谷")</f>
        <v>大谷</v>
      </c>
      <c r="C557" s="62"/>
      <c r="D557" s="62"/>
      <c r="E557" s="62"/>
      <c r="F557" s="62"/>
      <c r="G557" s="504">
        <f>IFERROR(__xludf.DUMMYFUNCTION("""COMPUTED_VALUE"""),0.0)</f>
        <v>0</v>
      </c>
      <c r="H557" s="62"/>
      <c r="I557" s="62"/>
      <c r="J557" s="62"/>
      <c r="K557" s="62"/>
      <c r="L557" s="504">
        <f>IFERROR(__xludf.DUMMYFUNCTION("""COMPUTED_VALUE"""),0.0)</f>
        <v>0</v>
      </c>
      <c r="M557" s="504">
        <f>IFERROR(__xludf.DUMMYFUNCTION("""COMPUTED_VALUE"""),0.0)</f>
        <v>0</v>
      </c>
      <c r="N557" s="504">
        <f>IFERROR(__xludf.DUMMYFUNCTION("""COMPUTED_VALUE"""),0.0)</f>
        <v>0</v>
      </c>
      <c r="O557" s="62"/>
      <c r="P557" s="62"/>
      <c r="Q557" s="62"/>
      <c r="R557" s="62"/>
      <c r="S557" s="62"/>
      <c r="T557" s="62"/>
      <c r="U557" s="62"/>
      <c r="V557" s="62"/>
      <c r="W557" s="62"/>
      <c r="X557" s="62"/>
      <c r="Y557" s="62"/>
      <c r="Z557" s="62"/>
    </row>
    <row r="558">
      <c r="A558" s="62"/>
      <c r="B558" s="62"/>
      <c r="C558" s="62"/>
      <c r="D558" s="62"/>
      <c r="E558" s="62"/>
      <c r="F558" s="62"/>
      <c r="G558" s="504">
        <f>IFERROR(__xludf.DUMMYFUNCTION("""COMPUTED_VALUE"""),0.0)</f>
        <v>0</v>
      </c>
      <c r="H558" s="62"/>
      <c r="I558" s="62"/>
      <c r="J558" s="62"/>
      <c r="K558" s="62"/>
      <c r="L558" s="504">
        <f>IFERROR(__xludf.DUMMYFUNCTION("""COMPUTED_VALUE"""),0.0)</f>
        <v>0</v>
      </c>
      <c r="M558" s="504">
        <f>IFERROR(__xludf.DUMMYFUNCTION("""COMPUTED_VALUE"""),0.0)</f>
        <v>0</v>
      </c>
      <c r="N558" s="504">
        <f>IFERROR(__xludf.DUMMYFUNCTION("""COMPUTED_VALUE"""),0.0)</f>
        <v>0</v>
      </c>
      <c r="O558" s="62"/>
      <c r="P558" s="62"/>
      <c r="Q558" s="62"/>
      <c r="R558" s="62"/>
      <c r="S558" s="62"/>
      <c r="T558" s="62"/>
      <c r="U558" s="62"/>
      <c r="V558" s="62"/>
      <c r="W558" s="62"/>
      <c r="X558" s="62"/>
      <c r="Y558" s="62"/>
      <c r="Z558" s="62"/>
    </row>
    <row r="559">
      <c r="A559" s="62"/>
      <c r="B559" s="62" t="str">
        <f>IFERROR(__xludf.DUMMYFUNCTION("""COMPUTED_VALUE"""),"森")</f>
        <v>森</v>
      </c>
      <c r="C559" s="62"/>
      <c r="D559" s="62"/>
      <c r="E559" s="62"/>
      <c r="F559" s="62"/>
      <c r="G559" s="504">
        <f>IFERROR(__xludf.DUMMYFUNCTION("""COMPUTED_VALUE"""),0.0)</f>
        <v>0</v>
      </c>
      <c r="H559" s="62"/>
      <c r="I559" s="62"/>
      <c r="J559" s="62"/>
      <c r="K559" s="62"/>
      <c r="L559" s="504">
        <f>IFERROR(__xludf.DUMMYFUNCTION("""COMPUTED_VALUE"""),0.0)</f>
        <v>0</v>
      </c>
      <c r="M559" s="504">
        <f>IFERROR(__xludf.DUMMYFUNCTION("""COMPUTED_VALUE"""),0.0)</f>
        <v>0</v>
      </c>
      <c r="N559" s="504">
        <f>IFERROR(__xludf.DUMMYFUNCTION("""COMPUTED_VALUE"""),0.0)</f>
        <v>0</v>
      </c>
      <c r="O559" s="62"/>
      <c r="P559" s="62"/>
      <c r="Q559" s="62"/>
      <c r="R559" s="62"/>
      <c r="S559" s="62"/>
      <c r="T559" s="62"/>
      <c r="U559" s="62"/>
      <c r="V559" s="62"/>
      <c r="W559" s="62"/>
      <c r="X559" s="62"/>
      <c r="Y559" s="62"/>
      <c r="Z559" s="62"/>
    </row>
    <row r="560">
      <c r="A560" s="62"/>
      <c r="B560" s="62"/>
      <c r="C560" s="62"/>
      <c r="D560" s="62"/>
      <c r="E560" s="62"/>
      <c r="F560" s="62"/>
      <c r="G560" s="504">
        <f>IFERROR(__xludf.DUMMYFUNCTION("""COMPUTED_VALUE"""),0.0)</f>
        <v>0</v>
      </c>
      <c r="H560" s="62"/>
      <c r="I560" s="62"/>
      <c r="J560" s="62"/>
      <c r="K560" s="62"/>
      <c r="L560" s="504">
        <f>IFERROR(__xludf.DUMMYFUNCTION("""COMPUTED_VALUE"""),0.0)</f>
        <v>0</v>
      </c>
      <c r="M560" s="504">
        <f>IFERROR(__xludf.DUMMYFUNCTION("""COMPUTED_VALUE"""),0.0)</f>
        <v>0</v>
      </c>
      <c r="N560" s="504">
        <f>IFERROR(__xludf.DUMMYFUNCTION("""COMPUTED_VALUE"""),0.0)</f>
        <v>0</v>
      </c>
      <c r="O560" s="62"/>
      <c r="P560" s="62"/>
      <c r="Q560" s="62"/>
      <c r="R560" s="62"/>
      <c r="S560" s="62"/>
      <c r="T560" s="62"/>
      <c r="U560" s="62"/>
      <c r="V560" s="62"/>
      <c r="W560" s="62"/>
      <c r="X560" s="62"/>
      <c r="Y560" s="62"/>
      <c r="Z560" s="62"/>
    </row>
    <row r="561">
      <c r="A561" s="62"/>
      <c r="B561" s="62" t="str">
        <f>IFERROR(__xludf.DUMMYFUNCTION("""COMPUTED_VALUE"""),"金子")</f>
        <v>金子</v>
      </c>
      <c r="C561" s="62"/>
      <c r="D561" s="62"/>
      <c r="E561" s="62"/>
      <c r="F561" s="62"/>
      <c r="G561" s="504">
        <f>IFERROR(__xludf.DUMMYFUNCTION("""COMPUTED_VALUE"""),0.0)</f>
        <v>0</v>
      </c>
      <c r="H561" s="62"/>
      <c r="I561" s="62"/>
      <c r="J561" s="62"/>
      <c r="K561" s="62"/>
      <c r="L561" s="504">
        <f>IFERROR(__xludf.DUMMYFUNCTION("""COMPUTED_VALUE"""),0.0)</f>
        <v>0</v>
      </c>
      <c r="M561" s="504">
        <f>IFERROR(__xludf.DUMMYFUNCTION("""COMPUTED_VALUE"""),0.0)</f>
        <v>0</v>
      </c>
      <c r="N561" s="504">
        <f>IFERROR(__xludf.DUMMYFUNCTION("""COMPUTED_VALUE"""),0.0)</f>
        <v>0</v>
      </c>
      <c r="O561" s="62"/>
      <c r="P561" s="62"/>
      <c r="Q561" s="62"/>
      <c r="R561" s="62"/>
      <c r="S561" s="62"/>
      <c r="T561" s="62"/>
      <c r="U561" s="62"/>
      <c r="V561" s="62"/>
      <c r="W561" s="62"/>
      <c r="X561" s="62"/>
      <c r="Y561" s="62"/>
      <c r="Z561" s="62"/>
    </row>
    <row r="562">
      <c r="A562" s="62"/>
      <c r="B562" s="62"/>
      <c r="C562" s="62"/>
      <c r="D562" s="62"/>
      <c r="E562" s="62"/>
      <c r="F562" s="62"/>
      <c r="G562" s="504">
        <f>IFERROR(__xludf.DUMMYFUNCTION("""COMPUTED_VALUE"""),0.0)</f>
        <v>0</v>
      </c>
      <c r="H562" s="62"/>
      <c r="I562" s="62"/>
      <c r="J562" s="62"/>
      <c r="K562" s="62"/>
      <c r="L562" s="504">
        <f>IFERROR(__xludf.DUMMYFUNCTION("""COMPUTED_VALUE"""),0.0)</f>
        <v>0</v>
      </c>
      <c r="M562" s="504">
        <f>IFERROR(__xludf.DUMMYFUNCTION("""COMPUTED_VALUE"""),0.0)</f>
        <v>0</v>
      </c>
      <c r="N562" s="504">
        <f>IFERROR(__xludf.DUMMYFUNCTION("""COMPUTED_VALUE"""),0.0)</f>
        <v>0</v>
      </c>
      <c r="O562" s="62"/>
      <c r="P562" s="62"/>
      <c r="Q562" s="62"/>
      <c r="R562" s="62"/>
      <c r="S562" s="62"/>
      <c r="T562" s="62"/>
      <c r="U562" s="62"/>
      <c r="V562" s="62"/>
      <c r="W562" s="62"/>
      <c r="X562" s="62"/>
      <c r="Y562" s="62"/>
      <c r="Z562" s="62"/>
    </row>
    <row r="563">
      <c r="A563" s="62"/>
      <c r="B563" s="552" t="str">
        <f>IFERROR(__xludf.DUMMYFUNCTION("""COMPUTED_VALUE"""),"SMS")</f>
        <v>SMS</v>
      </c>
      <c r="C563" s="62"/>
      <c r="D563" s="62"/>
      <c r="E563" s="62"/>
      <c r="F563" s="62"/>
      <c r="G563" s="504">
        <f>IFERROR(__xludf.DUMMYFUNCTION("""COMPUTED_VALUE"""),0.0)</f>
        <v>0</v>
      </c>
      <c r="H563" s="62"/>
      <c r="I563" s="62">
        <f>IFERROR(__xludf.DUMMYFUNCTION("""COMPUTED_VALUE"""),1.0)</f>
        <v>1</v>
      </c>
      <c r="J563" s="552">
        <f>IFERROR(__xludf.DUMMYFUNCTION("""COMPUTED_VALUE"""),50000.0)</f>
        <v>50000</v>
      </c>
      <c r="K563" s="62"/>
      <c r="L563" s="504">
        <f>IFERROR(__xludf.DUMMYFUNCTION("""COMPUTED_VALUE"""),0.0)</f>
        <v>0</v>
      </c>
      <c r="M563" s="504">
        <f>IFERROR(__xludf.DUMMYFUNCTION("""COMPUTED_VALUE"""),0.0)</f>
        <v>0</v>
      </c>
      <c r="N563" s="504">
        <f>IFERROR(__xludf.DUMMYFUNCTION("""COMPUTED_VALUE"""),0.0)</f>
        <v>0</v>
      </c>
      <c r="O563" s="62"/>
      <c r="P563" s="62"/>
      <c r="Q563" s="62"/>
      <c r="R563" s="62"/>
      <c r="S563" s="62"/>
      <c r="T563" s="62"/>
      <c r="U563" s="62"/>
      <c r="V563" s="62"/>
      <c r="W563" s="62"/>
      <c r="X563" s="62"/>
      <c r="Y563" s="62"/>
      <c r="Z563" s="62"/>
    </row>
    <row r="564">
      <c r="A564" s="62"/>
      <c r="B564" s="62" t="str">
        <f>IFERROR(__xludf.DUMMYFUNCTION("""COMPUTED_VALUE"""),"紹介")</f>
        <v>紹介</v>
      </c>
      <c r="C564" s="62"/>
      <c r="D564" s="62"/>
      <c r="E564" s="62"/>
      <c r="F564" s="62"/>
      <c r="G564" s="504">
        <f>IFERROR(__xludf.DUMMYFUNCTION("""COMPUTED_VALUE"""),0.0)</f>
        <v>0</v>
      </c>
      <c r="H564" s="62"/>
      <c r="I564" s="62"/>
      <c r="J564" s="62"/>
      <c r="K564" s="62"/>
      <c r="L564" s="504">
        <f>IFERROR(__xludf.DUMMYFUNCTION("""COMPUTED_VALUE"""),0.0)</f>
        <v>0</v>
      </c>
      <c r="M564" s="504">
        <f>IFERROR(__xludf.DUMMYFUNCTION("""COMPUTED_VALUE"""),0.0)</f>
        <v>0</v>
      </c>
      <c r="N564" s="504">
        <f>IFERROR(__xludf.DUMMYFUNCTION("""COMPUTED_VALUE"""),0.0)</f>
        <v>0</v>
      </c>
      <c r="O564" s="62"/>
      <c r="P564" s="62"/>
      <c r="Q564" s="62"/>
      <c r="R564" s="62"/>
      <c r="S564" s="62"/>
      <c r="T564" s="62"/>
      <c r="U564" s="62"/>
      <c r="V564" s="62"/>
      <c r="W564" s="62"/>
      <c r="X564" s="62"/>
      <c r="Y564" s="62"/>
      <c r="Z564" s="62"/>
    </row>
    <row r="565">
      <c r="A565" s="62"/>
      <c r="B565" s="62" t="str">
        <f>IFERROR(__xludf.DUMMYFUNCTION("""COMPUTED_VALUE"""),"仁子")</f>
        <v>仁子</v>
      </c>
      <c r="C565" s="62"/>
      <c r="D565" s="62"/>
      <c r="E565" s="62"/>
      <c r="F565" s="62"/>
      <c r="G565" s="504">
        <f>IFERROR(__xludf.DUMMYFUNCTION("""COMPUTED_VALUE"""),0.0)</f>
        <v>0</v>
      </c>
      <c r="H565" s="62"/>
      <c r="I565" s="62">
        <f>IFERROR(__xludf.DUMMYFUNCTION("""COMPUTED_VALUE"""),1.0)</f>
        <v>1</v>
      </c>
      <c r="J565" s="552">
        <f>IFERROR(__xludf.DUMMYFUNCTION("""COMPUTED_VALUE"""),50000.0)</f>
        <v>50000</v>
      </c>
      <c r="K565" s="62"/>
      <c r="L565" s="504">
        <f>IFERROR(__xludf.DUMMYFUNCTION("""COMPUTED_VALUE"""),0.0)</f>
        <v>0</v>
      </c>
      <c r="M565" s="504">
        <f>IFERROR(__xludf.DUMMYFUNCTION("""COMPUTED_VALUE"""),0.0)</f>
        <v>0</v>
      </c>
      <c r="N565" s="504">
        <f>IFERROR(__xludf.DUMMYFUNCTION("""COMPUTED_VALUE"""),0.0)</f>
        <v>0</v>
      </c>
      <c r="O565" s="62"/>
      <c r="P565" s="62"/>
      <c r="Q565" s="62"/>
      <c r="R565" s="62"/>
      <c r="S565" s="62"/>
      <c r="T565" s="62"/>
      <c r="U565" s="62"/>
      <c r="V565" s="62"/>
      <c r="W565" s="62"/>
      <c r="X565" s="62"/>
      <c r="Y565" s="62"/>
      <c r="Z565" s="62"/>
    </row>
    <row r="566">
      <c r="A566" s="62"/>
      <c r="B566" s="62" t="str">
        <f>IFERROR(__xludf.DUMMYFUNCTION("""COMPUTED_VALUE"""),"鈴木")</f>
        <v>鈴木</v>
      </c>
      <c r="C566" s="62">
        <f>IFERROR(__xludf.DUMMYFUNCTION("""COMPUTED_VALUE"""),263.0)</f>
        <v>263</v>
      </c>
      <c r="D566" s="62">
        <f>IFERROR(__xludf.DUMMYFUNCTION("""COMPUTED_VALUE"""),48.0)</f>
        <v>48</v>
      </c>
      <c r="E566" s="62"/>
      <c r="F566" s="62">
        <f>IFERROR(__xludf.DUMMYFUNCTION("""COMPUTED_VALUE"""),43.0)</f>
        <v>43</v>
      </c>
      <c r="G566" s="504">
        <f>IFERROR(__xludf.DUMMYFUNCTION("""COMPUTED_VALUE"""),0.18250950570342206)</f>
        <v>0.1825095057</v>
      </c>
      <c r="H566" s="62">
        <f>IFERROR(__xludf.DUMMYFUNCTION("""COMPUTED_VALUE"""),2.0)</f>
        <v>2</v>
      </c>
      <c r="I566" s="62">
        <f>IFERROR(__xludf.DUMMYFUNCTION("""COMPUTED_VALUE"""),1.0)</f>
        <v>1</v>
      </c>
      <c r="J566" s="552">
        <f>IFERROR(__xludf.DUMMYFUNCTION("""COMPUTED_VALUE"""),30000.0)</f>
        <v>30000</v>
      </c>
      <c r="K566" s="62"/>
      <c r="L566" s="504">
        <f>IFERROR(__xludf.DUMMYFUNCTION("""COMPUTED_VALUE"""),0.0076045627376425855)</f>
        <v>0.007604562738</v>
      </c>
      <c r="M566" s="504">
        <f>IFERROR(__xludf.DUMMYFUNCTION("""COMPUTED_VALUE"""),0.0038022813688212928)</f>
        <v>0.003802281369</v>
      </c>
      <c r="N566" s="504">
        <f>IFERROR(__xludf.DUMMYFUNCTION("""COMPUTED_VALUE"""),0.5)</f>
        <v>0.5</v>
      </c>
      <c r="O566" s="62" t="str">
        <f>IFERROR(__xludf.DUMMYFUNCTION("""COMPUTED_VALUE"""),"リストS")</f>
        <v>リストS</v>
      </c>
      <c r="P566" s="62"/>
      <c r="Q566" s="62"/>
      <c r="R566" s="62"/>
      <c r="S566" s="62"/>
      <c r="T566" s="62"/>
      <c r="U566" s="62"/>
      <c r="V566" s="62"/>
      <c r="W566" s="62"/>
      <c r="X566" s="62"/>
      <c r="Y566" s="62"/>
      <c r="Z566" s="62"/>
    </row>
    <row r="567">
      <c r="A567" s="62"/>
      <c r="B567" s="62" t="str">
        <f>IFERROR(__xludf.DUMMYFUNCTION("""COMPUTED_VALUE"""),"仲間")</f>
        <v>仲間</v>
      </c>
      <c r="C567" s="62"/>
      <c r="D567" s="62"/>
      <c r="E567" s="62"/>
      <c r="F567" s="62"/>
      <c r="G567" s="504">
        <f>IFERROR(__xludf.DUMMYFUNCTION("""COMPUTED_VALUE"""),0.0)</f>
        <v>0</v>
      </c>
      <c r="H567" s="62"/>
      <c r="I567" s="62"/>
      <c r="J567" s="62"/>
      <c r="K567" s="62"/>
      <c r="L567" s="504">
        <f>IFERROR(__xludf.DUMMYFUNCTION("""COMPUTED_VALUE"""),0.0)</f>
        <v>0</v>
      </c>
      <c r="M567" s="504">
        <f>IFERROR(__xludf.DUMMYFUNCTION("""COMPUTED_VALUE"""),0.0)</f>
        <v>0</v>
      </c>
      <c r="N567" s="504">
        <f>IFERROR(__xludf.DUMMYFUNCTION("""COMPUTED_VALUE"""),0.0)</f>
        <v>0</v>
      </c>
      <c r="O567" s="62"/>
      <c r="P567" s="62"/>
      <c r="Q567" s="62"/>
      <c r="R567" s="62"/>
      <c r="S567" s="62"/>
      <c r="T567" s="62"/>
      <c r="U567" s="62"/>
      <c r="V567" s="62"/>
      <c r="W567" s="62"/>
      <c r="X567" s="62"/>
      <c r="Y567" s="62"/>
      <c r="Z567" s="62"/>
    </row>
    <row r="568">
      <c r="A568" s="62"/>
      <c r="B568" s="62"/>
      <c r="C568" s="62"/>
      <c r="D568" s="62"/>
      <c r="E568" s="62"/>
      <c r="F568" s="62"/>
      <c r="G568" s="504">
        <f>IFERROR(__xludf.DUMMYFUNCTION("""COMPUTED_VALUE"""),0.0)</f>
        <v>0</v>
      </c>
      <c r="H568" s="62"/>
      <c r="I568" s="62"/>
      <c r="J568" s="62"/>
      <c r="K568" s="62"/>
      <c r="L568" s="504">
        <f>IFERROR(__xludf.DUMMYFUNCTION("""COMPUTED_VALUE"""),0.0)</f>
        <v>0</v>
      </c>
      <c r="M568" s="504">
        <f>IFERROR(__xludf.DUMMYFUNCTION("""COMPUTED_VALUE"""),0.0)</f>
        <v>0</v>
      </c>
      <c r="N568" s="504">
        <f>IFERROR(__xludf.DUMMYFUNCTION("""COMPUTED_VALUE"""),0.0)</f>
        <v>0</v>
      </c>
      <c r="O568" s="62"/>
      <c r="P568" s="62"/>
      <c r="Q568" s="62"/>
      <c r="R568" s="62"/>
      <c r="S568" s="62"/>
      <c r="T568" s="62"/>
      <c r="U568" s="62"/>
      <c r="V568" s="62"/>
      <c r="W568" s="62"/>
      <c r="X568" s="62"/>
      <c r="Y568" s="62"/>
      <c r="Z568" s="62"/>
    </row>
    <row r="569">
      <c r="A569" s="62"/>
      <c r="B569" s="62" t="str">
        <f>IFERROR(__xludf.DUMMYFUNCTION("""COMPUTED_VALUE"""),"合計")</f>
        <v>合計</v>
      </c>
      <c r="C569" s="62">
        <f>IFERROR(__xludf.DUMMYFUNCTION("""COMPUTED_VALUE"""),949.0)</f>
        <v>949</v>
      </c>
      <c r="D569" s="62">
        <f>IFERROR(__xludf.DUMMYFUNCTION("""COMPUTED_VALUE"""),151.0)</f>
        <v>151</v>
      </c>
      <c r="E569" s="62">
        <f>IFERROR(__xludf.DUMMYFUNCTION("""COMPUTED_VALUE"""),6.0)</f>
        <v>6</v>
      </c>
      <c r="F569" s="62">
        <f>IFERROR(__xludf.DUMMYFUNCTION("""COMPUTED_VALUE"""),102.0)</f>
        <v>102</v>
      </c>
      <c r="G569" s="504">
        <f>IFERROR(__xludf.DUMMYFUNCTION("""COMPUTED_VALUE"""),0.15911485774499473)</f>
        <v>0.1591148577</v>
      </c>
      <c r="H569" s="62">
        <f>IFERROR(__xludf.DUMMYFUNCTION("""COMPUTED_VALUE"""),4.0)</f>
        <v>4</v>
      </c>
      <c r="I569" s="62">
        <f>IFERROR(__xludf.DUMMYFUNCTION("""COMPUTED_VALUE"""),6.0)</f>
        <v>6</v>
      </c>
      <c r="J569" s="552">
        <f>IFERROR(__xludf.DUMMYFUNCTION("""COMPUTED_VALUE"""),260000.0)</f>
        <v>260000</v>
      </c>
      <c r="K569" s="62">
        <f>IFERROR(__xludf.DUMMYFUNCTION("""COMPUTED_VALUE"""),0.0)</f>
        <v>0</v>
      </c>
      <c r="L569" s="504">
        <f>IFERROR(__xludf.DUMMYFUNCTION("""COMPUTED_VALUE"""),0.004214963119072708)</f>
        <v>0.004214963119</v>
      </c>
      <c r="M569" s="504">
        <f>IFERROR(__xludf.DUMMYFUNCTION("""COMPUTED_VALUE"""),0.006322444678609062)</f>
        <v>0.006322444679</v>
      </c>
      <c r="N569" s="504">
        <f>IFERROR(__xludf.DUMMYFUNCTION("""COMPUTED_VALUE"""),1.5)</f>
        <v>1.5</v>
      </c>
      <c r="O569" s="62"/>
      <c r="P569" s="62"/>
      <c r="Q569" s="62"/>
      <c r="R569" s="62"/>
      <c r="S569" s="62"/>
      <c r="T569" s="62"/>
      <c r="U569" s="62"/>
      <c r="V569" s="62"/>
      <c r="W569" s="62"/>
      <c r="X569" s="62"/>
      <c r="Y569" s="62"/>
      <c r="Z569" s="62"/>
    </row>
    <row r="570">
      <c r="A570" s="62" t="str">
        <f>IFERROR(__xludf.DUMMYFUNCTION("""COMPUTED_VALUE"""),"日付")</f>
        <v>日付</v>
      </c>
      <c r="B570" s="62" t="str">
        <f>IFERROR(__xludf.DUMMYFUNCTION("""COMPUTED_VALUE"""),"名前")</f>
        <v>名前</v>
      </c>
      <c r="C570" s="62" t="str">
        <f>IFERROR(__xludf.DUMMYFUNCTION("""COMPUTED_VALUE"""),"打電件数")</f>
        <v>打電件数</v>
      </c>
      <c r="D570" s="62" t="str">
        <f>IFERROR(__xludf.DUMMYFUNCTION("""COMPUTED_VALUE"""),"着電件数")</f>
        <v>着電件数</v>
      </c>
      <c r="E570" s="62" t="str">
        <f>IFERROR(__xludf.DUMMYFUNCTION("""COMPUTED_VALUE"""),"折り返し件数")</f>
        <v>折り返し件数</v>
      </c>
      <c r="F570" s="62" t="str">
        <f>IFERROR(__xludf.DUMMYFUNCTION("""COMPUTED_VALUE"""),"拒否")</f>
        <v>拒否</v>
      </c>
      <c r="G570" s="62" t="str">
        <f>IFERROR(__xludf.DUMMYFUNCTION("""COMPUTED_VALUE"""),"着電率")</f>
        <v>着電率</v>
      </c>
      <c r="H570" s="62" t="str">
        <f>IFERROR(__xludf.DUMMYFUNCTION("""COMPUTED_VALUE"""),"LINE登録")</f>
        <v>LINE登録</v>
      </c>
      <c r="I570" s="62" t="str">
        <f>IFERROR(__xludf.DUMMYFUNCTION("""COMPUTED_VALUE"""),"アカウント作成")</f>
        <v>アカウント作成</v>
      </c>
      <c r="J570" s="552" t="str">
        <f>IFERROR(__xludf.DUMMYFUNCTION("""COMPUTED_VALUE"""),"新規信用枠額")</f>
        <v>新規信用枠額</v>
      </c>
      <c r="K570" s="62" t="str">
        <f>IFERROR(__xludf.DUMMYFUNCTION("""COMPUTED_VALUE"""),"リスト死回線数")</f>
        <v>リスト死回線数</v>
      </c>
      <c r="L570" s="62" t="str">
        <f>IFERROR(__xludf.DUMMYFUNCTION("""COMPUTED_VALUE"""),"LINE率(打電から)")</f>
        <v>LINE率(打電から)</v>
      </c>
      <c r="M570" s="62" t="str">
        <f>IFERROR(__xludf.DUMMYFUNCTION("""COMPUTED_VALUE"""),"アカウント作成率(打電から)")</f>
        <v>アカウント作成率(打電から)</v>
      </c>
      <c r="N570" s="62" t="str">
        <f>IFERROR(__xludf.DUMMYFUNCTION("""COMPUTED_VALUE"""),"アカウント作成率(LINEから)")</f>
        <v>アカウント作成率(LINEから)</v>
      </c>
      <c r="O570" s="62" t="str">
        <f>IFERROR(__xludf.DUMMYFUNCTION("""COMPUTED_VALUE"""),"リスト名")</f>
        <v>リスト名</v>
      </c>
      <c r="P570" s="553" t="str">
        <f>IFERROR(__xludf.DUMMYFUNCTION("""COMPUTED_VALUE"""),"日本基準")</f>
        <v>日本基準</v>
      </c>
      <c r="Q570" s="62"/>
      <c r="R570" s="62"/>
      <c r="S570" s="62"/>
      <c r="T570" s="62"/>
      <c r="U570" s="62"/>
      <c r="V570" s="62"/>
      <c r="W570" s="62"/>
      <c r="X570" s="62"/>
      <c r="Y570" s="62"/>
      <c r="Z570" s="62"/>
    </row>
    <row r="571">
      <c r="A571" s="556">
        <f>IFERROR(__xludf.DUMMYFUNCTION("""COMPUTED_VALUE"""),45928.0)</f>
        <v>45928</v>
      </c>
      <c r="B571" s="62" t="str">
        <f>IFERROR(__xludf.DUMMYFUNCTION("""COMPUTED_VALUE"""),"あり")</f>
        <v>あり</v>
      </c>
      <c r="C571" s="62"/>
      <c r="D571" s="62"/>
      <c r="E571" s="62"/>
      <c r="F571" s="62"/>
      <c r="G571" s="504">
        <f>IFERROR(__xludf.DUMMYFUNCTION("""COMPUTED_VALUE"""),0.0)</f>
        <v>0</v>
      </c>
      <c r="H571" s="62"/>
      <c r="I571" s="62"/>
      <c r="J571" s="62"/>
      <c r="K571" s="62"/>
      <c r="L571" s="504">
        <f>IFERROR(__xludf.DUMMYFUNCTION("""COMPUTED_VALUE"""),0.0)</f>
        <v>0</v>
      </c>
      <c r="M571" s="504">
        <f>IFERROR(__xludf.DUMMYFUNCTION("""COMPUTED_VALUE"""),0.0)</f>
        <v>0</v>
      </c>
      <c r="N571" s="504">
        <f>IFERROR(__xludf.DUMMYFUNCTION("""COMPUTED_VALUE"""),0.0)</f>
        <v>0</v>
      </c>
      <c r="O571" s="62"/>
      <c r="P571" s="62"/>
      <c r="Q571" s="62"/>
      <c r="R571" s="62"/>
      <c r="S571" s="62"/>
      <c r="T571" s="62"/>
      <c r="U571" s="62"/>
      <c r="V571" s="62"/>
      <c r="W571" s="62"/>
      <c r="X571" s="62"/>
      <c r="Y571" s="62"/>
      <c r="Z571" s="62"/>
    </row>
    <row r="572">
      <c r="A572" s="62"/>
      <c r="B572" s="62" t="str">
        <f>IFERROR(__xludf.DUMMYFUNCTION("""COMPUTED_VALUE"""),"しょうま")</f>
        <v>しょうま</v>
      </c>
      <c r="C572" s="62">
        <f>IFERROR(__xludf.DUMMYFUNCTION("""COMPUTED_VALUE"""),388.0)</f>
        <v>388</v>
      </c>
      <c r="D572" s="62">
        <f>IFERROR(__xludf.DUMMYFUNCTION("""COMPUTED_VALUE"""),30.0)</f>
        <v>30</v>
      </c>
      <c r="E572" s="62">
        <f>IFERROR(__xludf.DUMMYFUNCTION("""COMPUTED_VALUE"""),5.0)</f>
        <v>5</v>
      </c>
      <c r="F572" s="62">
        <f>IFERROR(__xludf.DUMMYFUNCTION("""COMPUTED_VALUE"""),26.0)</f>
        <v>26</v>
      </c>
      <c r="G572" s="504">
        <f>IFERROR(__xludf.DUMMYFUNCTION("""COMPUTED_VALUE"""),0.07731958762886598)</f>
        <v>0.07731958763</v>
      </c>
      <c r="H572" s="62">
        <f>IFERROR(__xludf.DUMMYFUNCTION("""COMPUTED_VALUE"""),1.0)</f>
        <v>1</v>
      </c>
      <c r="I572" s="62">
        <f>IFERROR(__xludf.DUMMYFUNCTION("""COMPUTED_VALUE"""),1.0)</f>
        <v>1</v>
      </c>
      <c r="J572" s="552">
        <f>IFERROR(__xludf.DUMMYFUNCTION("""COMPUTED_VALUE"""),50000.0)</f>
        <v>50000</v>
      </c>
      <c r="K572" s="62">
        <f>IFERROR(__xludf.DUMMYFUNCTION("""COMPUTED_VALUE"""),16.0)</f>
        <v>16</v>
      </c>
      <c r="L572" s="504">
        <f>IFERROR(__xludf.DUMMYFUNCTION("""COMPUTED_VALUE"""),0.002577319587628866)</f>
        <v>0.002577319588</v>
      </c>
      <c r="M572" s="504">
        <f>IFERROR(__xludf.DUMMYFUNCTION("""COMPUTED_VALUE"""),0.002577319587628866)</f>
        <v>0.002577319588</v>
      </c>
      <c r="N572" s="504">
        <f>IFERROR(__xludf.DUMMYFUNCTION("""COMPUTED_VALUE"""),1.0)</f>
        <v>1</v>
      </c>
      <c r="O572" s="62" t="str">
        <f>IFERROR(__xludf.DUMMYFUNCTION("""COMPUTED_VALUE"""),"リストC")</f>
        <v>リストC</v>
      </c>
      <c r="P572" s="553" t="str">
        <f>IFERROR(__xludf.DUMMYFUNCTION("""COMPUTED_VALUE"""),"祝日")</f>
        <v>祝日</v>
      </c>
      <c r="Q572" s="62"/>
      <c r="R572" s="62"/>
      <c r="S572" s="62"/>
      <c r="T572" s="62"/>
      <c r="U572" s="62"/>
      <c r="V572" s="62"/>
      <c r="W572" s="62"/>
      <c r="X572" s="62"/>
      <c r="Y572" s="62"/>
      <c r="Z572" s="62"/>
    </row>
    <row r="573">
      <c r="A573" s="62"/>
      <c r="B573" s="62"/>
      <c r="C573" s="62"/>
      <c r="D573" s="62"/>
      <c r="E573" s="62"/>
      <c r="F573" s="62"/>
      <c r="G573" s="504">
        <f>IFERROR(__xludf.DUMMYFUNCTION("""COMPUTED_VALUE"""),0.0)</f>
        <v>0</v>
      </c>
      <c r="H573" s="62"/>
      <c r="I573" s="62"/>
      <c r="J573" s="62"/>
      <c r="K573" s="62"/>
      <c r="L573" s="504">
        <f>IFERROR(__xludf.DUMMYFUNCTION("""COMPUTED_VALUE"""),0.0)</f>
        <v>0</v>
      </c>
      <c r="M573" s="504">
        <f>IFERROR(__xludf.DUMMYFUNCTION("""COMPUTED_VALUE"""),0.0)</f>
        <v>0</v>
      </c>
      <c r="N573" s="504">
        <f>IFERROR(__xludf.DUMMYFUNCTION("""COMPUTED_VALUE"""),0.0)</f>
        <v>0</v>
      </c>
      <c r="O573" s="62"/>
      <c r="P573" s="62"/>
      <c r="Q573" s="62"/>
      <c r="R573" s="62"/>
      <c r="S573" s="62"/>
      <c r="T573" s="62"/>
      <c r="U573" s="62"/>
      <c r="V573" s="62"/>
      <c r="W573" s="62"/>
      <c r="X573" s="62"/>
      <c r="Y573" s="62"/>
      <c r="Z573" s="62"/>
    </row>
    <row r="574">
      <c r="A574" s="62"/>
      <c r="B574" s="62" t="str">
        <f>IFERROR(__xludf.DUMMYFUNCTION("""COMPUTED_VALUE"""),"ジョーナ")</f>
        <v>ジョーナ</v>
      </c>
      <c r="C574" s="62"/>
      <c r="D574" s="62"/>
      <c r="E574" s="62"/>
      <c r="F574" s="62"/>
      <c r="G574" s="504">
        <f>IFERROR(__xludf.DUMMYFUNCTION("""COMPUTED_VALUE"""),0.0)</f>
        <v>0</v>
      </c>
      <c r="H574" s="62"/>
      <c r="I574" s="62"/>
      <c r="J574" s="62"/>
      <c r="K574" s="62"/>
      <c r="L574" s="504">
        <f>IFERROR(__xludf.DUMMYFUNCTION("""COMPUTED_VALUE"""),0.0)</f>
        <v>0</v>
      </c>
      <c r="M574" s="504">
        <f>IFERROR(__xludf.DUMMYFUNCTION("""COMPUTED_VALUE"""),0.0)</f>
        <v>0</v>
      </c>
      <c r="N574" s="504">
        <f>IFERROR(__xludf.DUMMYFUNCTION("""COMPUTED_VALUE"""),0.0)</f>
        <v>0</v>
      </c>
      <c r="O574" s="62"/>
      <c r="P574" s="62"/>
      <c r="Q574" s="62"/>
      <c r="R574" s="62"/>
      <c r="S574" s="62"/>
      <c r="T574" s="62"/>
      <c r="U574" s="62"/>
      <c r="V574" s="62"/>
      <c r="W574" s="62"/>
      <c r="X574" s="62"/>
      <c r="Y574" s="62"/>
      <c r="Z574" s="62"/>
    </row>
    <row r="575">
      <c r="A575" s="62"/>
      <c r="B575" s="62" t="str">
        <f>IFERROR(__xludf.DUMMYFUNCTION("""COMPUTED_VALUE"""),"武田")</f>
        <v>武田</v>
      </c>
      <c r="C575" s="62"/>
      <c r="D575" s="62"/>
      <c r="E575" s="62"/>
      <c r="F575" s="62"/>
      <c r="G575" s="504">
        <f>IFERROR(__xludf.DUMMYFUNCTION("""COMPUTED_VALUE"""),0.0)</f>
        <v>0</v>
      </c>
      <c r="H575" s="62"/>
      <c r="I575" s="62"/>
      <c r="J575" s="62"/>
      <c r="K575" s="62"/>
      <c r="L575" s="504">
        <f>IFERROR(__xludf.DUMMYFUNCTION("""COMPUTED_VALUE"""),0.0)</f>
        <v>0</v>
      </c>
      <c r="M575" s="504">
        <f>IFERROR(__xludf.DUMMYFUNCTION("""COMPUTED_VALUE"""),0.0)</f>
        <v>0</v>
      </c>
      <c r="N575" s="504">
        <f>IFERROR(__xludf.DUMMYFUNCTION("""COMPUTED_VALUE"""),0.0)</f>
        <v>0</v>
      </c>
      <c r="O575" s="62"/>
      <c r="P575" s="62"/>
      <c r="Q575" s="62"/>
      <c r="R575" s="62"/>
      <c r="S575" s="62"/>
      <c r="T575" s="62"/>
      <c r="U575" s="62"/>
      <c r="V575" s="62"/>
      <c r="W575" s="62"/>
      <c r="X575" s="62"/>
      <c r="Y575" s="62"/>
      <c r="Z575" s="62"/>
    </row>
    <row r="576">
      <c r="A576" s="62"/>
      <c r="B576" s="62" t="str">
        <f>IFERROR(__xludf.DUMMYFUNCTION("""COMPUTED_VALUE"""),"高木")</f>
        <v>高木</v>
      </c>
      <c r="C576" s="62"/>
      <c r="D576" s="62"/>
      <c r="E576" s="62"/>
      <c r="F576" s="62"/>
      <c r="G576" s="504">
        <f>IFERROR(__xludf.DUMMYFUNCTION("""COMPUTED_VALUE"""),0.0)</f>
        <v>0</v>
      </c>
      <c r="H576" s="62"/>
      <c r="I576" s="62"/>
      <c r="J576" s="62"/>
      <c r="K576" s="62"/>
      <c r="L576" s="504">
        <f>IFERROR(__xludf.DUMMYFUNCTION("""COMPUTED_VALUE"""),0.0)</f>
        <v>0</v>
      </c>
      <c r="M576" s="504">
        <f>IFERROR(__xludf.DUMMYFUNCTION("""COMPUTED_VALUE"""),0.0)</f>
        <v>0</v>
      </c>
      <c r="N576" s="504">
        <f>IFERROR(__xludf.DUMMYFUNCTION("""COMPUTED_VALUE"""),0.0)</f>
        <v>0</v>
      </c>
      <c r="O576" s="62"/>
      <c r="P576" s="62"/>
      <c r="Q576" s="62"/>
      <c r="R576" s="62"/>
      <c r="S576" s="62"/>
      <c r="T576" s="62"/>
      <c r="U576" s="62"/>
      <c r="V576" s="62"/>
      <c r="W576" s="62"/>
      <c r="X576" s="62"/>
      <c r="Y576" s="62"/>
      <c r="Z576" s="62"/>
    </row>
    <row r="577">
      <c r="A577" s="62"/>
      <c r="B577" s="62"/>
      <c r="C577" s="62"/>
      <c r="D577" s="62"/>
      <c r="E577" s="62"/>
      <c r="F577" s="62"/>
      <c r="G577" s="504">
        <f>IFERROR(__xludf.DUMMYFUNCTION("""COMPUTED_VALUE"""),0.0)</f>
        <v>0</v>
      </c>
      <c r="H577" s="62"/>
      <c r="I577" s="62"/>
      <c r="J577" s="62"/>
      <c r="K577" s="62"/>
      <c r="L577" s="504">
        <f>IFERROR(__xludf.DUMMYFUNCTION("""COMPUTED_VALUE"""),0.0)</f>
        <v>0</v>
      </c>
      <c r="M577" s="504">
        <f>IFERROR(__xludf.DUMMYFUNCTION("""COMPUTED_VALUE"""),0.0)</f>
        <v>0</v>
      </c>
      <c r="N577" s="504">
        <f>IFERROR(__xludf.DUMMYFUNCTION("""COMPUTED_VALUE"""),0.0)</f>
        <v>0</v>
      </c>
      <c r="O577" s="62"/>
      <c r="P577" s="62"/>
      <c r="Q577" s="62"/>
      <c r="R577" s="62"/>
      <c r="S577" s="62"/>
      <c r="T577" s="62"/>
      <c r="U577" s="62"/>
      <c r="V577" s="62"/>
      <c r="W577" s="62"/>
      <c r="X577" s="62"/>
      <c r="Y577" s="62"/>
      <c r="Z577" s="62"/>
    </row>
    <row r="578">
      <c r="A578" s="62"/>
      <c r="B578" s="62" t="str">
        <f>IFERROR(__xludf.DUMMYFUNCTION("""COMPUTED_VALUE"""),"大谷")</f>
        <v>大谷</v>
      </c>
      <c r="C578" s="62"/>
      <c r="D578" s="62"/>
      <c r="E578" s="62"/>
      <c r="F578" s="62"/>
      <c r="G578" s="504">
        <f>IFERROR(__xludf.DUMMYFUNCTION("""COMPUTED_VALUE"""),0.0)</f>
        <v>0</v>
      </c>
      <c r="H578" s="62"/>
      <c r="I578" s="62"/>
      <c r="J578" s="62"/>
      <c r="K578" s="62"/>
      <c r="L578" s="504">
        <f>IFERROR(__xludf.DUMMYFUNCTION("""COMPUTED_VALUE"""),0.0)</f>
        <v>0</v>
      </c>
      <c r="M578" s="504">
        <f>IFERROR(__xludf.DUMMYFUNCTION("""COMPUTED_VALUE"""),0.0)</f>
        <v>0</v>
      </c>
      <c r="N578" s="504">
        <f>IFERROR(__xludf.DUMMYFUNCTION("""COMPUTED_VALUE"""),0.0)</f>
        <v>0</v>
      </c>
      <c r="O578" s="62"/>
      <c r="P578" s="62"/>
      <c r="Q578" s="62"/>
      <c r="R578" s="62"/>
      <c r="S578" s="62"/>
      <c r="T578" s="62"/>
      <c r="U578" s="62"/>
      <c r="V578" s="62"/>
      <c r="W578" s="62"/>
      <c r="X578" s="62"/>
      <c r="Y578" s="62"/>
      <c r="Z578" s="62"/>
    </row>
    <row r="579">
      <c r="A579" s="62"/>
      <c r="B579" s="62"/>
      <c r="C579" s="62"/>
      <c r="D579" s="62"/>
      <c r="E579" s="62"/>
      <c r="F579" s="62"/>
      <c r="G579" s="504">
        <f>IFERROR(__xludf.DUMMYFUNCTION("""COMPUTED_VALUE"""),0.0)</f>
        <v>0</v>
      </c>
      <c r="H579" s="62"/>
      <c r="I579" s="62"/>
      <c r="J579" s="62"/>
      <c r="K579" s="62"/>
      <c r="L579" s="504">
        <f>IFERROR(__xludf.DUMMYFUNCTION("""COMPUTED_VALUE"""),0.0)</f>
        <v>0</v>
      </c>
      <c r="M579" s="504">
        <f>IFERROR(__xludf.DUMMYFUNCTION("""COMPUTED_VALUE"""),0.0)</f>
        <v>0</v>
      </c>
      <c r="N579" s="504">
        <f>IFERROR(__xludf.DUMMYFUNCTION("""COMPUTED_VALUE"""),0.0)</f>
        <v>0</v>
      </c>
      <c r="O579" s="62"/>
      <c r="P579" s="62"/>
      <c r="Q579" s="62"/>
      <c r="R579" s="62"/>
      <c r="S579" s="62"/>
      <c r="T579" s="62"/>
      <c r="U579" s="62"/>
      <c r="V579" s="62"/>
      <c r="W579" s="62"/>
      <c r="X579" s="62"/>
      <c r="Y579" s="62"/>
      <c r="Z579" s="62"/>
    </row>
    <row r="580">
      <c r="A580" s="62"/>
      <c r="B580" s="62" t="str">
        <f>IFERROR(__xludf.DUMMYFUNCTION("""COMPUTED_VALUE"""),"森")</f>
        <v>森</v>
      </c>
      <c r="C580" s="62"/>
      <c r="D580" s="62"/>
      <c r="E580" s="62"/>
      <c r="F580" s="62"/>
      <c r="G580" s="504">
        <f>IFERROR(__xludf.DUMMYFUNCTION("""COMPUTED_VALUE"""),0.0)</f>
        <v>0</v>
      </c>
      <c r="H580" s="62"/>
      <c r="I580" s="62"/>
      <c r="J580" s="62"/>
      <c r="K580" s="62"/>
      <c r="L580" s="504">
        <f>IFERROR(__xludf.DUMMYFUNCTION("""COMPUTED_VALUE"""),0.0)</f>
        <v>0</v>
      </c>
      <c r="M580" s="504">
        <f>IFERROR(__xludf.DUMMYFUNCTION("""COMPUTED_VALUE"""),0.0)</f>
        <v>0</v>
      </c>
      <c r="N580" s="504">
        <f>IFERROR(__xludf.DUMMYFUNCTION("""COMPUTED_VALUE"""),0.0)</f>
        <v>0</v>
      </c>
      <c r="O580" s="62"/>
      <c r="P580" s="62"/>
      <c r="Q580" s="62"/>
      <c r="R580" s="62"/>
      <c r="S580" s="62"/>
      <c r="T580" s="62"/>
      <c r="U580" s="62"/>
      <c r="V580" s="62"/>
      <c r="W580" s="62"/>
      <c r="X580" s="62"/>
      <c r="Y580" s="62"/>
      <c r="Z580" s="62"/>
    </row>
    <row r="581">
      <c r="A581" s="62"/>
      <c r="B581" s="62"/>
      <c r="C581" s="62"/>
      <c r="D581" s="62"/>
      <c r="E581" s="62"/>
      <c r="F581" s="62"/>
      <c r="G581" s="504">
        <f>IFERROR(__xludf.DUMMYFUNCTION("""COMPUTED_VALUE"""),0.0)</f>
        <v>0</v>
      </c>
      <c r="H581" s="62"/>
      <c r="I581" s="62"/>
      <c r="J581" s="62"/>
      <c r="K581" s="62"/>
      <c r="L581" s="504">
        <f>IFERROR(__xludf.DUMMYFUNCTION("""COMPUTED_VALUE"""),0.0)</f>
        <v>0</v>
      </c>
      <c r="M581" s="504">
        <f>IFERROR(__xludf.DUMMYFUNCTION("""COMPUTED_VALUE"""),0.0)</f>
        <v>0</v>
      </c>
      <c r="N581" s="504">
        <f>IFERROR(__xludf.DUMMYFUNCTION("""COMPUTED_VALUE"""),0.0)</f>
        <v>0</v>
      </c>
      <c r="O581" s="62"/>
      <c r="P581" s="62"/>
      <c r="Q581" s="62"/>
      <c r="R581" s="62"/>
      <c r="S581" s="62"/>
      <c r="T581" s="62"/>
      <c r="U581" s="62"/>
      <c r="V581" s="62"/>
      <c r="W581" s="62"/>
      <c r="X581" s="62"/>
      <c r="Y581" s="62"/>
      <c r="Z581" s="62"/>
    </row>
    <row r="582">
      <c r="A582" s="62"/>
      <c r="B582" s="62" t="str">
        <f>IFERROR(__xludf.DUMMYFUNCTION("""COMPUTED_VALUE"""),"金子")</f>
        <v>金子</v>
      </c>
      <c r="C582" s="62"/>
      <c r="D582" s="62"/>
      <c r="E582" s="62"/>
      <c r="F582" s="62"/>
      <c r="G582" s="504">
        <f>IFERROR(__xludf.DUMMYFUNCTION("""COMPUTED_VALUE"""),0.0)</f>
        <v>0</v>
      </c>
      <c r="H582" s="62"/>
      <c r="I582" s="62"/>
      <c r="J582" s="62"/>
      <c r="K582" s="62"/>
      <c r="L582" s="504">
        <f>IFERROR(__xludf.DUMMYFUNCTION("""COMPUTED_VALUE"""),0.0)</f>
        <v>0</v>
      </c>
      <c r="M582" s="504">
        <f>IFERROR(__xludf.DUMMYFUNCTION("""COMPUTED_VALUE"""),0.0)</f>
        <v>0</v>
      </c>
      <c r="N582" s="504">
        <f>IFERROR(__xludf.DUMMYFUNCTION("""COMPUTED_VALUE"""),0.0)</f>
        <v>0</v>
      </c>
      <c r="O582" s="62"/>
      <c r="P582" s="62"/>
      <c r="Q582" s="62"/>
      <c r="R582" s="62"/>
      <c r="S582" s="62"/>
      <c r="T582" s="62"/>
      <c r="U582" s="62"/>
      <c r="V582" s="62"/>
      <c r="W582" s="62"/>
      <c r="X582" s="62"/>
      <c r="Y582" s="62"/>
      <c r="Z582" s="62"/>
    </row>
    <row r="583">
      <c r="A583" s="62"/>
      <c r="B583" s="62"/>
      <c r="C583" s="62"/>
      <c r="D583" s="62"/>
      <c r="E583" s="62"/>
      <c r="F583" s="62"/>
      <c r="G583" s="504">
        <f>IFERROR(__xludf.DUMMYFUNCTION("""COMPUTED_VALUE"""),0.0)</f>
        <v>0</v>
      </c>
      <c r="H583" s="62"/>
      <c r="I583" s="62"/>
      <c r="J583" s="62"/>
      <c r="K583" s="62"/>
      <c r="L583" s="504">
        <f>IFERROR(__xludf.DUMMYFUNCTION("""COMPUTED_VALUE"""),0.0)</f>
        <v>0</v>
      </c>
      <c r="M583" s="504">
        <f>IFERROR(__xludf.DUMMYFUNCTION("""COMPUTED_VALUE"""),0.0)</f>
        <v>0</v>
      </c>
      <c r="N583" s="504">
        <f>IFERROR(__xludf.DUMMYFUNCTION("""COMPUTED_VALUE"""),0.0)</f>
        <v>0</v>
      </c>
      <c r="O583" s="62"/>
      <c r="P583" s="62"/>
      <c r="Q583" s="62"/>
      <c r="R583" s="62"/>
      <c r="S583" s="62"/>
      <c r="T583" s="62"/>
      <c r="U583" s="62"/>
      <c r="V583" s="62"/>
      <c r="W583" s="62"/>
      <c r="X583" s="62"/>
      <c r="Y583" s="62"/>
      <c r="Z583" s="62"/>
    </row>
    <row r="584">
      <c r="A584" s="62"/>
      <c r="B584" s="552" t="str">
        <f>IFERROR(__xludf.DUMMYFUNCTION("""COMPUTED_VALUE"""),"SMS")</f>
        <v>SMS</v>
      </c>
      <c r="C584" s="62"/>
      <c r="D584" s="62"/>
      <c r="E584" s="62"/>
      <c r="F584" s="62"/>
      <c r="G584" s="504">
        <f>IFERROR(__xludf.DUMMYFUNCTION("""COMPUTED_VALUE"""),0.0)</f>
        <v>0</v>
      </c>
      <c r="H584" s="62"/>
      <c r="I584" s="62">
        <f>IFERROR(__xludf.DUMMYFUNCTION("""COMPUTED_VALUE"""),1.0)</f>
        <v>1</v>
      </c>
      <c r="J584" s="552">
        <f>IFERROR(__xludf.DUMMYFUNCTION("""COMPUTED_VALUE"""),30000.0)</f>
        <v>30000</v>
      </c>
      <c r="K584" s="62"/>
      <c r="L584" s="504">
        <f>IFERROR(__xludf.DUMMYFUNCTION("""COMPUTED_VALUE"""),0.0)</f>
        <v>0</v>
      </c>
      <c r="M584" s="504">
        <f>IFERROR(__xludf.DUMMYFUNCTION("""COMPUTED_VALUE"""),0.0)</f>
        <v>0</v>
      </c>
      <c r="N584" s="504">
        <f>IFERROR(__xludf.DUMMYFUNCTION("""COMPUTED_VALUE"""),0.0)</f>
        <v>0</v>
      </c>
      <c r="O584" s="62"/>
      <c r="P584" s="62"/>
      <c r="Q584" s="62"/>
      <c r="R584" s="62"/>
      <c r="S584" s="62"/>
      <c r="T584" s="62"/>
      <c r="U584" s="62"/>
      <c r="V584" s="62"/>
      <c r="W584" s="62"/>
      <c r="X584" s="62"/>
      <c r="Y584" s="62"/>
      <c r="Z584" s="62"/>
    </row>
    <row r="585">
      <c r="A585" s="62"/>
      <c r="B585" s="62" t="str">
        <f>IFERROR(__xludf.DUMMYFUNCTION("""COMPUTED_VALUE"""),"紹介")</f>
        <v>紹介</v>
      </c>
      <c r="C585" s="62"/>
      <c r="D585" s="62"/>
      <c r="E585" s="62"/>
      <c r="F585" s="62"/>
      <c r="G585" s="504">
        <f>IFERROR(__xludf.DUMMYFUNCTION("""COMPUTED_VALUE"""),0.0)</f>
        <v>0</v>
      </c>
      <c r="H585" s="62"/>
      <c r="I585" s="62"/>
      <c r="J585" s="62"/>
      <c r="K585" s="62"/>
      <c r="L585" s="504">
        <f>IFERROR(__xludf.DUMMYFUNCTION("""COMPUTED_VALUE"""),0.0)</f>
        <v>0</v>
      </c>
      <c r="M585" s="504">
        <f>IFERROR(__xludf.DUMMYFUNCTION("""COMPUTED_VALUE"""),0.0)</f>
        <v>0</v>
      </c>
      <c r="N585" s="504">
        <f>IFERROR(__xludf.DUMMYFUNCTION("""COMPUTED_VALUE"""),0.0)</f>
        <v>0</v>
      </c>
      <c r="O585" s="62"/>
      <c r="P585" s="62"/>
      <c r="Q585" s="62"/>
      <c r="R585" s="62"/>
      <c r="S585" s="62"/>
      <c r="T585" s="62"/>
      <c r="U585" s="62"/>
      <c r="V585" s="62"/>
      <c r="W585" s="62"/>
      <c r="X585" s="62"/>
      <c r="Y585" s="62"/>
      <c r="Z585" s="62"/>
    </row>
    <row r="586">
      <c r="A586" s="62"/>
      <c r="B586" s="62" t="str">
        <f>IFERROR(__xludf.DUMMYFUNCTION("""COMPUTED_VALUE"""),"仁子")</f>
        <v>仁子</v>
      </c>
      <c r="C586" s="62"/>
      <c r="D586" s="62"/>
      <c r="E586" s="62"/>
      <c r="F586" s="62"/>
      <c r="G586" s="504">
        <f>IFERROR(__xludf.DUMMYFUNCTION("""COMPUTED_VALUE"""),0.0)</f>
        <v>0</v>
      </c>
      <c r="H586" s="62"/>
      <c r="I586" s="62"/>
      <c r="J586" s="62"/>
      <c r="K586" s="62"/>
      <c r="L586" s="504">
        <f>IFERROR(__xludf.DUMMYFUNCTION("""COMPUTED_VALUE"""),0.0)</f>
        <v>0</v>
      </c>
      <c r="M586" s="504">
        <f>IFERROR(__xludf.DUMMYFUNCTION("""COMPUTED_VALUE"""),0.0)</f>
        <v>0</v>
      </c>
      <c r="N586" s="504">
        <f>IFERROR(__xludf.DUMMYFUNCTION("""COMPUTED_VALUE"""),0.0)</f>
        <v>0</v>
      </c>
      <c r="O586" s="62"/>
      <c r="P586" s="62"/>
      <c r="Q586" s="62"/>
      <c r="R586" s="62"/>
      <c r="S586" s="62"/>
      <c r="T586" s="62"/>
      <c r="U586" s="62"/>
      <c r="V586" s="62"/>
      <c r="W586" s="62"/>
      <c r="X586" s="62"/>
      <c r="Y586" s="62"/>
      <c r="Z586" s="62"/>
    </row>
    <row r="587">
      <c r="A587" s="62"/>
      <c r="B587" s="62" t="str">
        <f>IFERROR(__xludf.DUMMYFUNCTION("""COMPUTED_VALUE"""),"鈴木")</f>
        <v>鈴木</v>
      </c>
      <c r="C587" s="62"/>
      <c r="D587" s="62"/>
      <c r="E587" s="62"/>
      <c r="F587" s="62"/>
      <c r="G587" s="504">
        <f>IFERROR(__xludf.DUMMYFUNCTION("""COMPUTED_VALUE"""),0.0)</f>
        <v>0</v>
      </c>
      <c r="H587" s="62"/>
      <c r="I587" s="62"/>
      <c r="J587" s="62"/>
      <c r="K587" s="62"/>
      <c r="L587" s="504">
        <f>IFERROR(__xludf.DUMMYFUNCTION("""COMPUTED_VALUE"""),0.0)</f>
        <v>0</v>
      </c>
      <c r="M587" s="504">
        <f>IFERROR(__xludf.DUMMYFUNCTION("""COMPUTED_VALUE"""),0.0)</f>
        <v>0</v>
      </c>
      <c r="N587" s="504">
        <f>IFERROR(__xludf.DUMMYFUNCTION("""COMPUTED_VALUE"""),0.0)</f>
        <v>0</v>
      </c>
      <c r="O587" s="62"/>
      <c r="P587" s="62"/>
      <c r="Q587" s="62"/>
      <c r="R587" s="62"/>
      <c r="S587" s="62"/>
      <c r="T587" s="62"/>
      <c r="U587" s="62"/>
      <c r="V587" s="62"/>
      <c r="W587" s="62"/>
      <c r="X587" s="62"/>
      <c r="Y587" s="62"/>
      <c r="Z587" s="62"/>
    </row>
    <row r="588">
      <c r="A588" s="62"/>
      <c r="B588" s="62" t="str">
        <f>IFERROR(__xludf.DUMMYFUNCTION("""COMPUTED_VALUE"""),"仲間")</f>
        <v>仲間</v>
      </c>
      <c r="C588" s="62"/>
      <c r="D588" s="62"/>
      <c r="E588" s="62"/>
      <c r="F588" s="62"/>
      <c r="G588" s="504">
        <f>IFERROR(__xludf.DUMMYFUNCTION("""COMPUTED_VALUE"""),0.0)</f>
        <v>0</v>
      </c>
      <c r="H588" s="62"/>
      <c r="I588" s="62"/>
      <c r="J588" s="62"/>
      <c r="K588" s="62"/>
      <c r="L588" s="504">
        <f>IFERROR(__xludf.DUMMYFUNCTION("""COMPUTED_VALUE"""),0.0)</f>
        <v>0</v>
      </c>
      <c r="M588" s="504">
        <f>IFERROR(__xludf.DUMMYFUNCTION("""COMPUTED_VALUE"""),0.0)</f>
        <v>0</v>
      </c>
      <c r="N588" s="504">
        <f>IFERROR(__xludf.DUMMYFUNCTION("""COMPUTED_VALUE"""),0.0)</f>
        <v>0</v>
      </c>
      <c r="O588" s="62"/>
      <c r="P588" s="62"/>
      <c r="Q588" s="62"/>
      <c r="R588" s="62"/>
      <c r="S588" s="62"/>
      <c r="T588" s="62"/>
      <c r="U588" s="62"/>
      <c r="V588" s="62"/>
      <c r="W588" s="62"/>
      <c r="X588" s="62"/>
      <c r="Y588" s="62"/>
      <c r="Z588" s="62"/>
    </row>
    <row r="589">
      <c r="A589" s="62"/>
      <c r="B589" s="62"/>
      <c r="C589" s="62"/>
      <c r="D589" s="62"/>
      <c r="E589" s="62"/>
      <c r="F589" s="62"/>
      <c r="G589" s="504">
        <f>IFERROR(__xludf.DUMMYFUNCTION("""COMPUTED_VALUE"""),0.0)</f>
        <v>0</v>
      </c>
      <c r="H589" s="62"/>
      <c r="I589" s="62"/>
      <c r="J589" s="62"/>
      <c r="K589" s="62"/>
      <c r="L589" s="504">
        <f>IFERROR(__xludf.DUMMYFUNCTION("""COMPUTED_VALUE"""),0.0)</f>
        <v>0</v>
      </c>
      <c r="M589" s="504">
        <f>IFERROR(__xludf.DUMMYFUNCTION("""COMPUTED_VALUE"""),0.0)</f>
        <v>0</v>
      </c>
      <c r="N589" s="504">
        <f>IFERROR(__xludf.DUMMYFUNCTION("""COMPUTED_VALUE"""),0.0)</f>
        <v>0</v>
      </c>
      <c r="O589" s="62"/>
      <c r="P589" s="62"/>
      <c r="Q589" s="62"/>
      <c r="R589" s="62"/>
      <c r="S589" s="62"/>
      <c r="T589" s="62"/>
      <c r="U589" s="62"/>
      <c r="V589" s="62"/>
      <c r="W589" s="62"/>
      <c r="X589" s="62"/>
      <c r="Y589" s="62"/>
      <c r="Z589" s="62"/>
    </row>
    <row r="590">
      <c r="A590" s="62"/>
      <c r="B590" s="62" t="str">
        <f>IFERROR(__xludf.DUMMYFUNCTION("""COMPUTED_VALUE"""),"合計")</f>
        <v>合計</v>
      </c>
      <c r="C590" s="62">
        <f>IFERROR(__xludf.DUMMYFUNCTION("""COMPUTED_VALUE"""),388.0)</f>
        <v>388</v>
      </c>
      <c r="D590" s="62">
        <f>IFERROR(__xludf.DUMMYFUNCTION("""COMPUTED_VALUE"""),30.0)</f>
        <v>30</v>
      </c>
      <c r="E590" s="62">
        <f>IFERROR(__xludf.DUMMYFUNCTION("""COMPUTED_VALUE"""),5.0)</f>
        <v>5</v>
      </c>
      <c r="F590" s="62">
        <f>IFERROR(__xludf.DUMMYFUNCTION("""COMPUTED_VALUE"""),26.0)</f>
        <v>26</v>
      </c>
      <c r="G590" s="504">
        <f>IFERROR(__xludf.DUMMYFUNCTION("""COMPUTED_VALUE"""),0.07731958762886598)</f>
        <v>0.07731958763</v>
      </c>
      <c r="H590" s="62">
        <f>IFERROR(__xludf.DUMMYFUNCTION("""COMPUTED_VALUE"""),1.0)</f>
        <v>1</v>
      </c>
      <c r="I590" s="62">
        <f>IFERROR(__xludf.DUMMYFUNCTION("""COMPUTED_VALUE"""),2.0)</f>
        <v>2</v>
      </c>
      <c r="J590" s="552">
        <f>IFERROR(__xludf.DUMMYFUNCTION("""COMPUTED_VALUE"""),80000.0)</f>
        <v>80000</v>
      </c>
      <c r="K590" s="62">
        <f>IFERROR(__xludf.DUMMYFUNCTION("""COMPUTED_VALUE"""),16.0)</f>
        <v>16</v>
      </c>
      <c r="L590" s="504">
        <f>IFERROR(__xludf.DUMMYFUNCTION("""COMPUTED_VALUE"""),0.002577319587628866)</f>
        <v>0.002577319588</v>
      </c>
      <c r="M590" s="504">
        <f>IFERROR(__xludf.DUMMYFUNCTION("""COMPUTED_VALUE"""),0.005154639175257732)</f>
        <v>0.005154639175</v>
      </c>
      <c r="N590" s="504">
        <f>IFERROR(__xludf.DUMMYFUNCTION("""COMPUTED_VALUE"""),2.0)</f>
        <v>2</v>
      </c>
      <c r="O590" s="62"/>
      <c r="P590" s="62"/>
      <c r="Q590" s="62"/>
      <c r="R590" s="62"/>
      <c r="S590" s="62"/>
      <c r="T590" s="62"/>
      <c r="U590" s="62"/>
      <c r="V590" s="62"/>
      <c r="W590" s="62"/>
      <c r="X590" s="62"/>
      <c r="Y590" s="62"/>
      <c r="Z590" s="62"/>
    </row>
    <row r="591">
      <c r="A591" s="62" t="str">
        <f>IFERROR(__xludf.DUMMYFUNCTION("""COMPUTED_VALUE"""),"日付")</f>
        <v>日付</v>
      </c>
      <c r="B591" s="62" t="str">
        <f>IFERROR(__xludf.DUMMYFUNCTION("""COMPUTED_VALUE"""),"名前")</f>
        <v>名前</v>
      </c>
      <c r="C591" s="62" t="str">
        <f>IFERROR(__xludf.DUMMYFUNCTION("""COMPUTED_VALUE"""),"打電件数")</f>
        <v>打電件数</v>
      </c>
      <c r="D591" s="62" t="str">
        <f>IFERROR(__xludf.DUMMYFUNCTION("""COMPUTED_VALUE"""),"着電件数")</f>
        <v>着電件数</v>
      </c>
      <c r="E591" s="62" t="str">
        <f>IFERROR(__xludf.DUMMYFUNCTION("""COMPUTED_VALUE"""),"折り返し件数")</f>
        <v>折り返し件数</v>
      </c>
      <c r="F591" s="62" t="str">
        <f>IFERROR(__xludf.DUMMYFUNCTION("""COMPUTED_VALUE"""),"拒否")</f>
        <v>拒否</v>
      </c>
      <c r="G591" s="62" t="str">
        <f>IFERROR(__xludf.DUMMYFUNCTION("""COMPUTED_VALUE"""),"着電率")</f>
        <v>着電率</v>
      </c>
      <c r="H591" s="62" t="str">
        <f>IFERROR(__xludf.DUMMYFUNCTION("""COMPUTED_VALUE"""),"LINE登録")</f>
        <v>LINE登録</v>
      </c>
      <c r="I591" s="62" t="str">
        <f>IFERROR(__xludf.DUMMYFUNCTION("""COMPUTED_VALUE"""),"アカウント作成")</f>
        <v>アカウント作成</v>
      </c>
      <c r="J591" s="552" t="str">
        <f>IFERROR(__xludf.DUMMYFUNCTION("""COMPUTED_VALUE"""),"新規信用枠額")</f>
        <v>新規信用枠額</v>
      </c>
      <c r="K591" s="62" t="str">
        <f>IFERROR(__xludf.DUMMYFUNCTION("""COMPUTED_VALUE"""),"リスト死回線数")</f>
        <v>リスト死回線数</v>
      </c>
      <c r="L591" s="62" t="str">
        <f>IFERROR(__xludf.DUMMYFUNCTION("""COMPUTED_VALUE"""),"LINE率(打電から)")</f>
        <v>LINE率(打電から)</v>
      </c>
      <c r="M591" s="62" t="str">
        <f>IFERROR(__xludf.DUMMYFUNCTION("""COMPUTED_VALUE"""),"アカウント作成率(打電から)")</f>
        <v>アカウント作成率(打電から)</v>
      </c>
      <c r="N591" s="62" t="str">
        <f>IFERROR(__xludf.DUMMYFUNCTION("""COMPUTED_VALUE"""),"アカウント作成率(LINEから)")</f>
        <v>アカウント作成率(LINEから)</v>
      </c>
      <c r="O591" s="62" t="str">
        <f>IFERROR(__xludf.DUMMYFUNCTION("""COMPUTED_VALUE"""),"リスト名")</f>
        <v>リスト名</v>
      </c>
      <c r="P591" s="553" t="str">
        <f>IFERROR(__xludf.DUMMYFUNCTION("""COMPUTED_VALUE"""),"日本基準")</f>
        <v>日本基準</v>
      </c>
      <c r="Q591" s="62"/>
      <c r="R591" s="62"/>
      <c r="S591" s="62"/>
      <c r="T591" s="62"/>
      <c r="U591" s="62"/>
      <c r="V591" s="62"/>
      <c r="W591" s="62"/>
      <c r="X591" s="62"/>
      <c r="Y591" s="62"/>
      <c r="Z591" s="62"/>
    </row>
    <row r="592">
      <c r="A592" s="556">
        <f>IFERROR(__xludf.DUMMYFUNCTION("""COMPUTED_VALUE"""),45929.0)</f>
        <v>45929</v>
      </c>
      <c r="B592" s="62" t="str">
        <f>IFERROR(__xludf.DUMMYFUNCTION("""COMPUTED_VALUE"""),"あり")</f>
        <v>あり</v>
      </c>
      <c r="C592" s="62">
        <f>IFERROR(__xludf.DUMMYFUNCTION("""COMPUTED_VALUE"""),105.0)</f>
        <v>105</v>
      </c>
      <c r="D592" s="62">
        <f>IFERROR(__xludf.DUMMYFUNCTION("""COMPUTED_VALUE"""),23.0)</f>
        <v>23</v>
      </c>
      <c r="E592" s="62">
        <f>IFERROR(__xludf.DUMMYFUNCTION("""COMPUTED_VALUE"""),1.0)</f>
        <v>1</v>
      </c>
      <c r="F592" s="62">
        <f>IFERROR(__xludf.DUMMYFUNCTION("""COMPUTED_VALUE"""),8.0)</f>
        <v>8</v>
      </c>
      <c r="G592" s="504">
        <f>IFERROR(__xludf.DUMMYFUNCTION("""COMPUTED_VALUE"""),0.21904761904761905)</f>
        <v>0.219047619</v>
      </c>
      <c r="H592" s="62">
        <f>IFERROR(__xludf.DUMMYFUNCTION("""COMPUTED_VALUE"""),2.0)</f>
        <v>2</v>
      </c>
      <c r="I592" s="62">
        <f>IFERROR(__xludf.DUMMYFUNCTION("""COMPUTED_VALUE"""),1.0)</f>
        <v>1</v>
      </c>
      <c r="J592" s="552">
        <f>IFERROR(__xludf.DUMMYFUNCTION("""COMPUTED_VALUE"""),0.0)</f>
        <v>0</v>
      </c>
      <c r="K592" s="62"/>
      <c r="L592" s="504">
        <f>IFERROR(__xludf.DUMMYFUNCTION("""COMPUTED_VALUE"""),0.01904761904761905)</f>
        <v>0.01904761905</v>
      </c>
      <c r="M592" s="504">
        <f>IFERROR(__xludf.DUMMYFUNCTION("""COMPUTED_VALUE"""),0.009523809523809525)</f>
        <v>0.009523809524</v>
      </c>
      <c r="N592" s="504">
        <f>IFERROR(__xludf.DUMMYFUNCTION("""COMPUTED_VALUE"""),0.5)</f>
        <v>0.5</v>
      </c>
      <c r="O592" s="62" t="str">
        <f>IFERROR(__xludf.DUMMYFUNCTION("""COMPUTED_VALUE"""),"リストC")</f>
        <v>リストC</v>
      </c>
      <c r="P592" s="553" t="str">
        <f>IFERROR(__xludf.DUMMYFUNCTION("""COMPUTED_VALUE"""),"平日")</f>
        <v>平日</v>
      </c>
      <c r="Q592" s="62"/>
      <c r="R592" s="62"/>
      <c r="S592" s="62"/>
      <c r="T592" s="62"/>
      <c r="U592" s="62"/>
      <c r="V592" s="62"/>
      <c r="W592" s="62"/>
      <c r="X592" s="62"/>
      <c r="Y592" s="62"/>
      <c r="Z592" s="62"/>
    </row>
    <row r="593">
      <c r="A593" s="62"/>
      <c r="B593" s="62" t="str">
        <f>IFERROR(__xludf.DUMMYFUNCTION("""COMPUTED_VALUE"""),"しょうま")</f>
        <v>しょうま</v>
      </c>
      <c r="C593" s="62">
        <f>IFERROR(__xludf.DUMMYFUNCTION("""COMPUTED_VALUE"""),362.0)</f>
        <v>362</v>
      </c>
      <c r="D593" s="62">
        <f>IFERROR(__xludf.DUMMYFUNCTION("""COMPUTED_VALUE"""),41.0)</f>
        <v>41</v>
      </c>
      <c r="E593" s="62">
        <f>IFERROR(__xludf.DUMMYFUNCTION("""COMPUTED_VALUE"""),4.0)</f>
        <v>4</v>
      </c>
      <c r="F593" s="62">
        <f>IFERROR(__xludf.DUMMYFUNCTION("""COMPUTED_VALUE"""),29.0)</f>
        <v>29</v>
      </c>
      <c r="G593" s="504">
        <f>IFERROR(__xludf.DUMMYFUNCTION("""COMPUTED_VALUE"""),0.1132596685082873)</f>
        <v>0.1132596685</v>
      </c>
      <c r="H593" s="62">
        <f>IFERROR(__xludf.DUMMYFUNCTION("""COMPUTED_VALUE"""),1.0)</f>
        <v>1</v>
      </c>
      <c r="I593" s="62">
        <f>IFERROR(__xludf.DUMMYFUNCTION("""COMPUTED_VALUE"""),1.0)</f>
        <v>1</v>
      </c>
      <c r="J593" s="552">
        <f>IFERROR(__xludf.DUMMYFUNCTION("""COMPUTED_VALUE"""),30000.0)</f>
        <v>30000</v>
      </c>
      <c r="K593" s="62">
        <f>IFERROR(__xludf.DUMMYFUNCTION("""COMPUTED_VALUE"""),8.0)</f>
        <v>8</v>
      </c>
      <c r="L593" s="504">
        <f>IFERROR(__xludf.DUMMYFUNCTION("""COMPUTED_VALUE"""),0.0027624309392265192)</f>
        <v>0.002762430939</v>
      </c>
      <c r="M593" s="504">
        <f>IFERROR(__xludf.DUMMYFUNCTION("""COMPUTED_VALUE"""),0.0027624309392265192)</f>
        <v>0.002762430939</v>
      </c>
      <c r="N593" s="504">
        <f>IFERROR(__xludf.DUMMYFUNCTION("""COMPUTED_VALUE"""),1.0)</f>
        <v>1</v>
      </c>
      <c r="O593" s="62" t="str">
        <f>IFERROR(__xludf.DUMMYFUNCTION("""COMPUTED_VALUE"""),"リストC")</f>
        <v>リストC</v>
      </c>
      <c r="P593" s="553" t="str">
        <f>IFERROR(__xludf.DUMMYFUNCTION("""COMPUTED_VALUE"""),"平日")</f>
        <v>平日</v>
      </c>
      <c r="Q593" s="62"/>
      <c r="R593" s="62"/>
      <c r="S593" s="62"/>
      <c r="T593" s="62"/>
      <c r="U593" s="62"/>
      <c r="V593" s="62"/>
      <c r="W593" s="62"/>
      <c r="X593" s="62"/>
      <c r="Y593" s="62"/>
      <c r="Z593" s="62"/>
    </row>
    <row r="594">
      <c r="A594" s="62"/>
      <c r="B594" s="62"/>
      <c r="C594" s="62"/>
      <c r="D594" s="62"/>
      <c r="E594" s="62"/>
      <c r="F594" s="62"/>
      <c r="G594" s="504">
        <f>IFERROR(__xludf.DUMMYFUNCTION("""COMPUTED_VALUE"""),0.0)</f>
        <v>0</v>
      </c>
      <c r="H594" s="62"/>
      <c r="I594" s="62"/>
      <c r="J594" s="62"/>
      <c r="K594" s="62"/>
      <c r="L594" s="504">
        <f>IFERROR(__xludf.DUMMYFUNCTION("""COMPUTED_VALUE"""),0.0)</f>
        <v>0</v>
      </c>
      <c r="M594" s="504">
        <f>IFERROR(__xludf.DUMMYFUNCTION("""COMPUTED_VALUE"""),0.0)</f>
        <v>0</v>
      </c>
      <c r="N594" s="504">
        <f>IFERROR(__xludf.DUMMYFUNCTION("""COMPUTED_VALUE"""),0.0)</f>
        <v>0</v>
      </c>
      <c r="O594" s="62"/>
      <c r="P594" s="62"/>
      <c r="Q594" s="62"/>
      <c r="R594" s="62"/>
      <c r="S594" s="62"/>
      <c r="T594" s="62"/>
      <c r="U594" s="62"/>
      <c r="V594" s="62"/>
      <c r="W594" s="62"/>
      <c r="X594" s="62"/>
      <c r="Y594" s="62"/>
      <c r="Z594" s="62"/>
    </row>
    <row r="595">
      <c r="A595" s="62"/>
      <c r="B595" s="62" t="str">
        <f>IFERROR(__xludf.DUMMYFUNCTION("""COMPUTED_VALUE"""),"ジョーナ")</f>
        <v>ジョーナ</v>
      </c>
      <c r="C595" s="62"/>
      <c r="D595" s="62"/>
      <c r="E595" s="62"/>
      <c r="F595" s="62"/>
      <c r="G595" s="504">
        <f>IFERROR(__xludf.DUMMYFUNCTION("""COMPUTED_VALUE"""),0.0)</f>
        <v>0</v>
      </c>
      <c r="H595" s="62"/>
      <c r="I595" s="62"/>
      <c r="J595" s="62"/>
      <c r="K595" s="62"/>
      <c r="L595" s="504">
        <f>IFERROR(__xludf.DUMMYFUNCTION("""COMPUTED_VALUE"""),0.0)</f>
        <v>0</v>
      </c>
      <c r="M595" s="504">
        <f>IFERROR(__xludf.DUMMYFUNCTION("""COMPUTED_VALUE"""),0.0)</f>
        <v>0</v>
      </c>
      <c r="N595" s="504">
        <f>IFERROR(__xludf.DUMMYFUNCTION("""COMPUTED_VALUE"""),0.0)</f>
        <v>0</v>
      </c>
      <c r="O595" s="62"/>
      <c r="P595" s="62"/>
      <c r="Q595" s="62"/>
      <c r="R595" s="62"/>
      <c r="S595" s="62"/>
      <c r="T595" s="62"/>
      <c r="U595" s="62"/>
      <c r="V595" s="62"/>
      <c r="W595" s="62"/>
      <c r="X595" s="62"/>
      <c r="Y595" s="62"/>
      <c r="Z595" s="62"/>
    </row>
    <row r="596">
      <c r="A596" s="62"/>
      <c r="B596" s="62" t="str">
        <f>IFERROR(__xludf.DUMMYFUNCTION("""COMPUTED_VALUE"""),"武田")</f>
        <v>武田</v>
      </c>
      <c r="C596" s="62"/>
      <c r="D596" s="62"/>
      <c r="E596" s="62"/>
      <c r="F596" s="62"/>
      <c r="G596" s="504">
        <f>IFERROR(__xludf.DUMMYFUNCTION("""COMPUTED_VALUE"""),0.0)</f>
        <v>0</v>
      </c>
      <c r="H596" s="62"/>
      <c r="I596" s="62"/>
      <c r="J596" s="62"/>
      <c r="K596" s="62"/>
      <c r="L596" s="504">
        <f>IFERROR(__xludf.DUMMYFUNCTION("""COMPUTED_VALUE"""),0.0)</f>
        <v>0</v>
      </c>
      <c r="M596" s="504">
        <f>IFERROR(__xludf.DUMMYFUNCTION("""COMPUTED_VALUE"""),0.0)</f>
        <v>0</v>
      </c>
      <c r="N596" s="504">
        <f>IFERROR(__xludf.DUMMYFUNCTION("""COMPUTED_VALUE"""),0.0)</f>
        <v>0</v>
      </c>
      <c r="O596" s="62"/>
      <c r="P596" s="62"/>
      <c r="Q596" s="62"/>
      <c r="R596" s="62"/>
      <c r="S596" s="62"/>
      <c r="T596" s="62"/>
      <c r="U596" s="62"/>
      <c r="V596" s="62"/>
      <c r="W596" s="62"/>
      <c r="X596" s="62"/>
      <c r="Y596" s="62"/>
      <c r="Z596" s="62"/>
    </row>
    <row r="597">
      <c r="A597" s="62"/>
      <c r="B597" s="62" t="str">
        <f>IFERROR(__xludf.DUMMYFUNCTION("""COMPUTED_VALUE"""),"高木")</f>
        <v>高木</v>
      </c>
      <c r="C597" s="62">
        <f>IFERROR(__xludf.DUMMYFUNCTION("""COMPUTED_VALUE"""),169.0)</f>
        <v>169</v>
      </c>
      <c r="D597" s="62">
        <f>IFERROR(__xludf.DUMMYFUNCTION("""COMPUTED_VALUE"""),47.0)</f>
        <v>47</v>
      </c>
      <c r="E597" s="62">
        <f>IFERROR(__xludf.DUMMYFUNCTION("""COMPUTED_VALUE"""),2.0)</f>
        <v>2</v>
      </c>
      <c r="F597" s="62">
        <f>IFERROR(__xludf.DUMMYFUNCTION("""COMPUTED_VALUE"""),32.0)</f>
        <v>32</v>
      </c>
      <c r="G597" s="504">
        <f>IFERROR(__xludf.DUMMYFUNCTION("""COMPUTED_VALUE"""),0.2781065088757396)</f>
        <v>0.2781065089</v>
      </c>
      <c r="H597" s="62"/>
      <c r="I597" s="62"/>
      <c r="J597" s="62"/>
      <c r="K597" s="62">
        <f>IFERROR(__xludf.DUMMYFUNCTION("""COMPUTED_VALUE"""),3.0)</f>
        <v>3</v>
      </c>
      <c r="L597" s="504">
        <f>IFERROR(__xludf.DUMMYFUNCTION("""COMPUTED_VALUE"""),0.0)</f>
        <v>0</v>
      </c>
      <c r="M597" s="504">
        <f>IFERROR(__xludf.DUMMYFUNCTION("""COMPUTED_VALUE"""),0.0)</f>
        <v>0</v>
      </c>
      <c r="N597" s="504">
        <f>IFERROR(__xludf.DUMMYFUNCTION("""COMPUTED_VALUE"""),0.0)</f>
        <v>0</v>
      </c>
      <c r="O597" s="62"/>
      <c r="P597" s="62"/>
      <c r="Q597" s="62"/>
      <c r="R597" s="62"/>
      <c r="S597" s="62"/>
      <c r="T597" s="62"/>
      <c r="U597" s="62"/>
      <c r="V597" s="62"/>
      <c r="W597" s="62"/>
      <c r="X597" s="62"/>
      <c r="Y597" s="62"/>
      <c r="Z597" s="62"/>
    </row>
    <row r="598">
      <c r="A598" s="62"/>
      <c r="B598" s="62"/>
      <c r="C598" s="62"/>
      <c r="D598" s="62"/>
      <c r="E598" s="62"/>
      <c r="F598" s="62"/>
      <c r="G598" s="504">
        <f>IFERROR(__xludf.DUMMYFUNCTION("""COMPUTED_VALUE"""),0.0)</f>
        <v>0</v>
      </c>
      <c r="H598" s="62"/>
      <c r="I598" s="62"/>
      <c r="J598" s="62"/>
      <c r="K598" s="62"/>
      <c r="L598" s="504">
        <f>IFERROR(__xludf.DUMMYFUNCTION("""COMPUTED_VALUE"""),0.0)</f>
        <v>0</v>
      </c>
      <c r="M598" s="504">
        <f>IFERROR(__xludf.DUMMYFUNCTION("""COMPUTED_VALUE"""),0.0)</f>
        <v>0</v>
      </c>
      <c r="N598" s="504">
        <f>IFERROR(__xludf.DUMMYFUNCTION("""COMPUTED_VALUE"""),0.0)</f>
        <v>0</v>
      </c>
      <c r="O598" s="62"/>
      <c r="P598" s="62"/>
      <c r="Q598" s="62"/>
      <c r="R598" s="62"/>
      <c r="S598" s="62"/>
      <c r="T598" s="62"/>
      <c r="U598" s="62"/>
      <c r="V598" s="62"/>
      <c r="W598" s="62"/>
      <c r="X598" s="62"/>
      <c r="Y598" s="62"/>
      <c r="Z598" s="62"/>
    </row>
    <row r="599">
      <c r="A599" s="62"/>
      <c r="B599" s="62" t="str">
        <f>IFERROR(__xludf.DUMMYFUNCTION("""COMPUTED_VALUE"""),"大谷")</f>
        <v>大谷</v>
      </c>
      <c r="C599" s="62"/>
      <c r="D599" s="62"/>
      <c r="E599" s="62"/>
      <c r="F599" s="62"/>
      <c r="G599" s="504">
        <f>IFERROR(__xludf.DUMMYFUNCTION("""COMPUTED_VALUE"""),0.0)</f>
        <v>0</v>
      </c>
      <c r="H599" s="62"/>
      <c r="I599" s="62"/>
      <c r="J599" s="62"/>
      <c r="K599" s="62"/>
      <c r="L599" s="504">
        <f>IFERROR(__xludf.DUMMYFUNCTION("""COMPUTED_VALUE"""),0.0)</f>
        <v>0</v>
      </c>
      <c r="M599" s="504">
        <f>IFERROR(__xludf.DUMMYFUNCTION("""COMPUTED_VALUE"""),0.0)</f>
        <v>0</v>
      </c>
      <c r="N599" s="504">
        <f>IFERROR(__xludf.DUMMYFUNCTION("""COMPUTED_VALUE"""),0.0)</f>
        <v>0</v>
      </c>
      <c r="O599" s="62"/>
      <c r="P599" s="62"/>
      <c r="Q599" s="62"/>
      <c r="R599" s="62"/>
      <c r="S599" s="62"/>
      <c r="T599" s="62"/>
      <c r="U599" s="62"/>
      <c r="V599" s="62"/>
      <c r="W599" s="62"/>
      <c r="X599" s="62"/>
      <c r="Y599" s="62"/>
      <c r="Z599" s="62"/>
    </row>
    <row r="600">
      <c r="A600" s="62"/>
      <c r="B600" s="62"/>
      <c r="C600" s="62"/>
      <c r="D600" s="62"/>
      <c r="E600" s="62"/>
      <c r="F600" s="62"/>
      <c r="G600" s="504">
        <f>IFERROR(__xludf.DUMMYFUNCTION("""COMPUTED_VALUE"""),0.0)</f>
        <v>0</v>
      </c>
      <c r="H600" s="62"/>
      <c r="I600" s="62"/>
      <c r="J600" s="62"/>
      <c r="K600" s="62"/>
      <c r="L600" s="504">
        <f>IFERROR(__xludf.DUMMYFUNCTION("""COMPUTED_VALUE"""),0.0)</f>
        <v>0</v>
      </c>
      <c r="M600" s="504">
        <f>IFERROR(__xludf.DUMMYFUNCTION("""COMPUTED_VALUE"""),0.0)</f>
        <v>0</v>
      </c>
      <c r="N600" s="504">
        <f>IFERROR(__xludf.DUMMYFUNCTION("""COMPUTED_VALUE"""),0.0)</f>
        <v>0</v>
      </c>
      <c r="O600" s="62"/>
      <c r="P600" s="62"/>
      <c r="Q600" s="62"/>
      <c r="R600" s="62"/>
      <c r="S600" s="62"/>
      <c r="T600" s="62"/>
      <c r="U600" s="62"/>
      <c r="V600" s="62"/>
      <c r="W600" s="62"/>
      <c r="X600" s="62"/>
      <c r="Y600" s="62"/>
      <c r="Z600" s="62"/>
    </row>
    <row r="601">
      <c r="A601" s="62"/>
      <c r="B601" s="62" t="str">
        <f>IFERROR(__xludf.DUMMYFUNCTION("""COMPUTED_VALUE"""),"森")</f>
        <v>森</v>
      </c>
      <c r="C601" s="62"/>
      <c r="D601" s="62"/>
      <c r="E601" s="62"/>
      <c r="F601" s="62"/>
      <c r="G601" s="504">
        <f>IFERROR(__xludf.DUMMYFUNCTION("""COMPUTED_VALUE"""),0.0)</f>
        <v>0</v>
      </c>
      <c r="H601" s="62"/>
      <c r="I601" s="62"/>
      <c r="J601" s="62"/>
      <c r="K601" s="62"/>
      <c r="L601" s="504">
        <f>IFERROR(__xludf.DUMMYFUNCTION("""COMPUTED_VALUE"""),0.0)</f>
        <v>0</v>
      </c>
      <c r="M601" s="504">
        <f>IFERROR(__xludf.DUMMYFUNCTION("""COMPUTED_VALUE"""),0.0)</f>
        <v>0</v>
      </c>
      <c r="N601" s="504">
        <f>IFERROR(__xludf.DUMMYFUNCTION("""COMPUTED_VALUE"""),0.0)</f>
        <v>0</v>
      </c>
      <c r="O601" s="62"/>
      <c r="P601" s="62"/>
      <c r="Q601" s="62"/>
      <c r="R601" s="62"/>
      <c r="S601" s="62"/>
      <c r="T601" s="62"/>
      <c r="U601" s="62"/>
      <c r="V601" s="62"/>
      <c r="W601" s="62"/>
      <c r="X601" s="62"/>
      <c r="Y601" s="62"/>
      <c r="Z601" s="62"/>
    </row>
    <row r="602">
      <c r="A602" s="62"/>
      <c r="B602" s="62"/>
      <c r="C602" s="62"/>
      <c r="D602" s="62"/>
      <c r="E602" s="62"/>
      <c r="F602" s="62"/>
      <c r="G602" s="504">
        <f>IFERROR(__xludf.DUMMYFUNCTION("""COMPUTED_VALUE"""),0.0)</f>
        <v>0</v>
      </c>
      <c r="H602" s="62"/>
      <c r="I602" s="62"/>
      <c r="J602" s="62"/>
      <c r="K602" s="62"/>
      <c r="L602" s="504">
        <f>IFERROR(__xludf.DUMMYFUNCTION("""COMPUTED_VALUE"""),0.0)</f>
        <v>0</v>
      </c>
      <c r="M602" s="504">
        <f>IFERROR(__xludf.DUMMYFUNCTION("""COMPUTED_VALUE"""),0.0)</f>
        <v>0</v>
      </c>
      <c r="N602" s="504">
        <f>IFERROR(__xludf.DUMMYFUNCTION("""COMPUTED_VALUE"""),0.0)</f>
        <v>0</v>
      </c>
      <c r="O602" s="62"/>
      <c r="P602" s="62"/>
      <c r="Q602" s="62"/>
      <c r="R602" s="62"/>
      <c r="S602" s="62"/>
      <c r="T602" s="62"/>
      <c r="U602" s="62"/>
      <c r="V602" s="62"/>
      <c r="W602" s="62"/>
      <c r="X602" s="62"/>
      <c r="Y602" s="62"/>
      <c r="Z602" s="62"/>
    </row>
    <row r="603">
      <c r="A603" s="62"/>
      <c r="B603" s="62" t="str">
        <f>IFERROR(__xludf.DUMMYFUNCTION("""COMPUTED_VALUE"""),"金子")</f>
        <v>金子</v>
      </c>
      <c r="C603" s="62"/>
      <c r="D603" s="62"/>
      <c r="E603" s="62"/>
      <c r="F603" s="62"/>
      <c r="G603" s="504">
        <f>IFERROR(__xludf.DUMMYFUNCTION("""COMPUTED_VALUE"""),0.0)</f>
        <v>0</v>
      </c>
      <c r="H603" s="62"/>
      <c r="I603" s="62"/>
      <c r="J603" s="62"/>
      <c r="K603" s="62"/>
      <c r="L603" s="504">
        <f>IFERROR(__xludf.DUMMYFUNCTION("""COMPUTED_VALUE"""),0.0)</f>
        <v>0</v>
      </c>
      <c r="M603" s="504">
        <f>IFERROR(__xludf.DUMMYFUNCTION("""COMPUTED_VALUE"""),0.0)</f>
        <v>0</v>
      </c>
      <c r="N603" s="504">
        <f>IFERROR(__xludf.DUMMYFUNCTION("""COMPUTED_VALUE"""),0.0)</f>
        <v>0</v>
      </c>
      <c r="O603" s="62"/>
      <c r="P603" s="62"/>
      <c r="Q603" s="62"/>
      <c r="R603" s="62"/>
      <c r="S603" s="62"/>
      <c r="T603" s="62"/>
      <c r="U603" s="62"/>
      <c r="V603" s="62"/>
      <c r="W603" s="62"/>
      <c r="X603" s="62"/>
      <c r="Y603" s="62"/>
      <c r="Z603" s="62"/>
    </row>
    <row r="604">
      <c r="A604" s="62"/>
      <c r="B604" s="62"/>
      <c r="C604" s="62"/>
      <c r="D604" s="62"/>
      <c r="E604" s="62"/>
      <c r="F604" s="62"/>
      <c r="G604" s="504">
        <f>IFERROR(__xludf.DUMMYFUNCTION("""COMPUTED_VALUE"""),0.0)</f>
        <v>0</v>
      </c>
      <c r="H604" s="62"/>
      <c r="I604" s="62"/>
      <c r="J604" s="62"/>
      <c r="K604" s="62"/>
      <c r="L604" s="504">
        <f>IFERROR(__xludf.DUMMYFUNCTION("""COMPUTED_VALUE"""),0.0)</f>
        <v>0</v>
      </c>
      <c r="M604" s="504">
        <f>IFERROR(__xludf.DUMMYFUNCTION("""COMPUTED_VALUE"""),0.0)</f>
        <v>0</v>
      </c>
      <c r="N604" s="504">
        <f>IFERROR(__xludf.DUMMYFUNCTION("""COMPUTED_VALUE"""),0.0)</f>
        <v>0</v>
      </c>
      <c r="O604" s="62"/>
      <c r="P604" s="62"/>
      <c r="Q604" s="62"/>
      <c r="R604" s="62"/>
      <c r="S604" s="62"/>
      <c r="T604" s="62"/>
      <c r="U604" s="62"/>
      <c r="V604" s="62"/>
      <c r="W604" s="62"/>
      <c r="X604" s="62"/>
      <c r="Y604" s="62"/>
      <c r="Z604" s="62"/>
    </row>
    <row r="605">
      <c r="A605" s="62"/>
      <c r="B605" s="552" t="str">
        <f>IFERROR(__xludf.DUMMYFUNCTION("""COMPUTED_VALUE"""),"SMS")</f>
        <v>SMS</v>
      </c>
      <c r="C605" s="62"/>
      <c r="D605" s="62"/>
      <c r="E605" s="62"/>
      <c r="F605" s="62"/>
      <c r="G605" s="504">
        <f>IFERROR(__xludf.DUMMYFUNCTION("""COMPUTED_VALUE"""),0.0)</f>
        <v>0</v>
      </c>
      <c r="H605" s="62"/>
      <c r="I605" s="62">
        <f>IFERROR(__xludf.DUMMYFUNCTION("""COMPUTED_VALUE"""),1.0)</f>
        <v>1</v>
      </c>
      <c r="J605" s="552">
        <f>IFERROR(__xludf.DUMMYFUNCTION("""COMPUTED_VALUE"""),50000.0)</f>
        <v>50000</v>
      </c>
      <c r="K605" s="62"/>
      <c r="L605" s="504">
        <f>IFERROR(__xludf.DUMMYFUNCTION("""COMPUTED_VALUE"""),0.0)</f>
        <v>0</v>
      </c>
      <c r="M605" s="504">
        <f>IFERROR(__xludf.DUMMYFUNCTION("""COMPUTED_VALUE"""),0.0)</f>
        <v>0</v>
      </c>
      <c r="N605" s="504">
        <f>IFERROR(__xludf.DUMMYFUNCTION("""COMPUTED_VALUE"""),0.0)</f>
        <v>0</v>
      </c>
      <c r="O605" s="62"/>
      <c r="P605" s="62"/>
      <c r="Q605" s="62"/>
      <c r="R605" s="62"/>
      <c r="S605" s="62"/>
      <c r="T605" s="62"/>
      <c r="U605" s="62"/>
      <c r="V605" s="62"/>
      <c r="W605" s="62"/>
      <c r="X605" s="62"/>
      <c r="Y605" s="62"/>
      <c r="Z605" s="62"/>
    </row>
    <row r="606">
      <c r="A606" s="62"/>
      <c r="B606" s="62" t="str">
        <f>IFERROR(__xludf.DUMMYFUNCTION("""COMPUTED_VALUE"""),"紹介")</f>
        <v>紹介</v>
      </c>
      <c r="C606" s="62"/>
      <c r="D606" s="62"/>
      <c r="E606" s="62"/>
      <c r="F606" s="62"/>
      <c r="G606" s="504">
        <f>IFERROR(__xludf.DUMMYFUNCTION("""COMPUTED_VALUE"""),0.0)</f>
        <v>0</v>
      </c>
      <c r="H606" s="62"/>
      <c r="I606" s="62"/>
      <c r="J606" s="62"/>
      <c r="K606" s="62"/>
      <c r="L606" s="504">
        <f>IFERROR(__xludf.DUMMYFUNCTION("""COMPUTED_VALUE"""),0.0)</f>
        <v>0</v>
      </c>
      <c r="M606" s="504">
        <f>IFERROR(__xludf.DUMMYFUNCTION("""COMPUTED_VALUE"""),0.0)</f>
        <v>0</v>
      </c>
      <c r="N606" s="504">
        <f>IFERROR(__xludf.DUMMYFUNCTION("""COMPUTED_VALUE"""),0.0)</f>
        <v>0</v>
      </c>
      <c r="O606" s="62"/>
      <c r="P606" s="62"/>
      <c r="Q606" s="62"/>
      <c r="R606" s="62"/>
      <c r="S606" s="62"/>
      <c r="T606" s="62"/>
      <c r="U606" s="62"/>
      <c r="V606" s="62"/>
      <c r="W606" s="62"/>
      <c r="X606" s="62"/>
      <c r="Y606" s="62"/>
      <c r="Z606" s="62"/>
    </row>
    <row r="607">
      <c r="A607" s="62"/>
      <c r="B607" s="62" t="str">
        <f>IFERROR(__xludf.DUMMYFUNCTION("""COMPUTED_VALUE"""),"仁子")</f>
        <v>仁子</v>
      </c>
      <c r="C607" s="62"/>
      <c r="D607" s="62"/>
      <c r="E607" s="62"/>
      <c r="F607" s="62"/>
      <c r="G607" s="504">
        <f>IFERROR(__xludf.DUMMYFUNCTION("""COMPUTED_VALUE"""),0.0)</f>
        <v>0</v>
      </c>
      <c r="H607" s="62"/>
      <c r="I607" s="62"/>
      <c r="J607" s="62"/>
      <c r="K607" s="62"/>
      <c r="L607" s="504">
        <f>IFERROR(__xludf.DUMMYFUNCTION("""COMPUTED_VALUE"""),0.0)</f>
        <v>0</v>
      </c>
      <c r="M607" s="504">
        <f>IFERROR(__xludf.DUMMYFUNCTION("""COMPUTED_VALUE"""),0.0)</f>
        <v>0</v>
      </c>
      <c r="N607" s="504">
        <f>IFERROR(__xludf.DUMMYFUNCTION("""COMPUTED_VALUE"""),0.0)</f>
        <v>0</v>
      </c>
      <c r="O607" s="62"/>
      <c r="P607" s="62"/>
      <c r="Q607" s="62"/>
      <c r="R607" s="62"/>
      <c r="S607" s="62"/>
      <c r="T607" s="62"/>
      <c r="U607" s="62"/>
      <c r="V607" s="62"/>
      <c r="W607" s="62"/>
      <c r="X607" s="62"/>
      <c r="Y607" s="62"/>
      <c r="Z607" s="62"/>
    </row>
    <row r="608">
      <c r="A608" s="62"/>
      <c r="B608" s="62" t="str">
        <f>IFERROR(__xludf.DUMMYFUNCTION("""COMPUTED_VALUE"""),"鈴木")</f>
        <v>鈴木</v>
      </c>
      <c r="C608" s="62">
        <f>IFERROR(__xludf.DUMMYFUNCTION("""COMPUTED_VALUE"""),222.0)</f>
        <v>222</v>
      </c>
      <c r="D608" s="62">
        <f>IFERROR(__xludf.DUMMYFUNCTION("""COMPUTED_VALUE"""),56.0)</f>
        <v>56</v>
      </c>
      <c r="E608" s="62"/>
      <c r="F608" s="62">
        <f>IFERROR(__xludf.DUMMYFUNCTION("""COMPUTED_VALUE"""),53.0)</f>
        <v>53</v>
      </c>
      <c r="G608" s="504">
        <f>IFERROR(__xludf.DUMMYFUNCTION("""COMPUTED_VALUE"""),0.25225225225225223)</f>
        <v>0.2522522523</v>
      </c>
      <c r="H608" s="62">
        <f>IFERROR(__xludf.DUMMYFUNCTION("""COMPUTED_VALUE"""),1.0)</f>
        <v>1</v>
      </c>
      <c r="I608" s="62"/>
      <c r="J608" s="62"/>
      <c r="K608" s="62"/>
      <c r="L608" s="504">
        <f>IFERROR(__xludf.DUMMYFUNCTION("""COMPUTED_VALUE"""),0.0045045045045045045)</f>
        <v>0.004504504505</v>
      </c>
      <c r="M608" s="504">
        <f>IFERROR(__xludf.DUMMYFUNCTION("""COMPUTED_VALUE"""),0.0)</f>
        <v>0</v>
      </c>
      <c r="N608" s="504">
        <f>IFERROR(__xludf.DUMMYFUNCTION("""COMPUTED_VALUE"""),0.0)</f>
        <v>0</v>
      </c>
      <c r="O608" s="62" t="str">
        <f>IFERROR(__xludf.DUMMYFUNCTION("""COMPUTED_VALUE"""),"リストC")</f>
        <v>リストC</v>
      </c>
      <c r="P608" s="62"/>
      <c r="Q608" s="62"/>
      <c r="R608" s="62"/>
      <c r="S608" s="62"/>
      <c r="T608" s="62"/>
      <c r="U608" s="62"/>
      <c r="V608" s="62"/>
      <c r="W608" s="62"/>
      <c r="X608" s="62"/>
      <c r="Y608" s="62"/>
      <c r="Z608" s="62"/>
    </row>
    <row r="609">
      <c r="A609" s="62"/>
      <c r="B609" s="62" t="str">
        <f>IFERROR(__xludf.DUMMYFUNCTION("""COMPUTED_VALUE"""),"仲間")</f>
        <v>仲間</v>
      </c>
      <c r="C609" s="62">
        <f>IFERROR(__xludf.DUMMYFUNCTION("""COMPUTED_VALUE"""),215.0)</f>
        <v>215</v>
      </c>
      <c r="D609" s="62">
        <f>IFERROR(__xludf.DUMMYFUNCTION("""COMPUTED_VALUE"""),30.0)</f>
        <v>30</v>
      </c>
      <c r="E609" s="62"/>
      <c r="F609" s="62">
        <f>IFERROR(__xludf.DUMMYFUNCTION("""COMPUTED_VALUE"""),23.0)</f>
        <v>23</v>
      </c>
      <c r="G609" s="504">
        <f>IFERROR(__xludf.DUMMYFUNCTION("""COMPUTED_VALUE"""),0.13953488372093023)</f>
        <v>0.1395348837</v>
      </c>
      <c r="H609" s="62">
        <f>IFERROR(__xludf.DUMMYFUNCTION("""COMPUTED_VALUE"""),1.0)</f>
        <v>1</v>
      </c>
      <c r="I609" s="62"/>
      <c r="J609" s="62"/>
      <c r="K609" s="62"/>
      <c r="L609" s="504">
        <f>IFERROR(__xludf.DUMMYFUNCTION("""COMPUTED_VALUE"""),0.004651162790697674)</f>
        <v>0.004651162791</v>
      </c>
      <c r="M609" s="504">
        <f>IFERROR(__xludf.DUMMYFUNCTION("""COMPUTED_VALUE"""),0.0)</f>
        <v>0</v>
      </c>
      <c r="N609" s="504">
        <f>IFERROR(__xludf.DUMMYFUNCTION("""COMPUTED_VALUE"""),0.0)</f>
        <v>0</v>
      </c>
      <c r="O609" s="62" t="str">
        <f>IFERROR(__xludf.DUMMYFUNCTION("""COMPUTED_VALUE"""),"リストC")</f>
        <v>リストC</v>
      </c>
      <c r="P609" s="553" t="str">
        <f>IFERROR(__xludf.DUMMYFUNCTION("""COMPUTED_VALUE"""),"平日")</f>
        <v>平日</v>
      </c>
      <c r="Q609" s="62"/>
      <c r="R609" s="62"/>
      <c r="S609" s="62"/>
      <c r="T609" s="62"/>
      <c r="U609" s="62"/>
      <c r="V609" s="62"/>
      <c r="W609" s="62"/>
      <c r="X609" s="62"/>
      <c r="Y609" s="62"/>
      <c r="Z609" s="62"/>
    </row>
    <row r="610">
      <c r="A610" s="62"/>
      <c r="B610" s="62"/>
      <c r="C610" s="62"/>
      <c r="D610" s="62"/>
      <c r="E610" s="62"/>
      <c r="F610" s="62"/>
      <c r="G610" s="504">
        <f>IFERROR(__xludf.DUMMYFUNCTION("""COMPUTED_VALUE"""),0.0)</f>
        <v>0</v>
      </c>
      <c r="H610" s="62"/>
      <c r="I610" s="62"/>
      <c r="J610" s="62"/>
      <c r="K610" s="62"/>
      <c r="L610" s="504">
        <f>IFERROR(__xludf.DUMMYFUNCTION("""COMPUTED_VALUE"""),0.0)</f>
        <v>0</v>
      </c>
      <c r="M610" s="504">
        <f>IFERROR(__xludf.DUMMYFUNCTION("""COMPUTED_VALUE"""),0.0)</f>
        <v>0</v>
      </c>
      <c r="N610" s="504">
        <f>IFERROR(__xludf.DUMMYFUNCTION("""COMPUTED_VALUE"""),0.0)</f>
        <v>0</v>
      </c>
      <c r="O610" s="62"/>
      <c r="P610" s="62"/>
      <c r="Q610" s="62"/>
      <c r="R610" s="62"/>
      <c r="S610" s="62"/>
      <c r="T610" s="62"/>
      <c r="U610" s="62"/>
      <c r="V610" s="62"/>
      <c r="W610" s="62"/>
      <c r="X610" s="62"/>
      <c r="Y610" s="62"/>
      <c r="Z610" s="62"/>
    </row>
    <row r="611">
      <c r="A611" s="62"/>
      <c r="B611" s="62" t="str">
        <f>IFERROR(__xludf.DUMMYFUNCTION("""COMPUTED_VALUE"""),"合計")</f>
        <v>合計</v>
      </c>
      <c r="C611" s="62">
        <f>IFERROR(__xludf.DUMMYFUNCTION("""COMPUTED_VALUE"""),1073.0)</f>
        <v>1073</v>
      </c>
      <c r="D611" s="62">
        <f>IFERROR(__xludf.DUMMYFUNCTION("""COMPUTED_VALUE"""),197.0)</f>
        <v>197</v>
      </c>
      <c r="E611" s="62">
        <f>IFERROR(__xludf.DUMMYFUNCTION("""COMPUTED_VALUE"""),7.0)</f>
        <v>7</v>
      </c>
      <c r="F611" s="62">
        <f>IFERROR(__xludf.DUMMYFUNCTION("""COMPUTED_VALUE"""),145.0)</f>
        <v>145</v>
      </c>
      <c r="G611" s="504">
        <f>IFERROR(__xludf.DUMMYFUNCTION("""COMPUTED_VALUE"""),0.18359739049394222)</f>
        <v>0.1835973905</v>
      </c>
      <c r="H611" s="62">
        <f>IFERROR(__xludf.DUMMYFUNCTION("""COMPUTED_VALUE"""),5.0)</f>
        <v>5</v>
      </c>
      <c r="I611" s="62">
        <f>IFERROR(__xludf.DUMMYFUNCTION("""COMPUTED_VALUE"""),3.0)</f>
        <v>3</v>
      </c>
      <c r="J611" s="552">
        <f>IFERROR(__xludf.DUMMYFUNCTION("""COMPUTED_VALUE"""),80000.0)</f>
        <v>80000</v>
      </c>
      <c r="K611" s="62">
        <f>IFERROR(__xludf.DUMMYFUNCTION("""COMPUTED_VALUE"""),11.0)</f>
        <v>11</v>
      </c>
      <c r="L611" s="504">
        <f>IFERROR(__xludf.DUMMYFUNCTION("""COMPUTED_VALUE"""),0.004659832246039142)</f>
        <v>0.004659832246</v>
      </c>
      <c r="M611" s="504">
        <f>IFERROR(__xludf.DUMMYFUNCTION("""COMPUTED_VALUE"""),0.0027958993476234857)</f>
        <v>0.002795899348</v>
      </c>
      <c r="N611" s="504">
        <f>IFERROR(__xludf.DUMMYFUNCTION("""COMPUTED_VALUE"""),0.6)</f>
        <v>0.6</v>
      </c>
      <c r="O611" s="62"/>
      <c r="P611" s="62"/>
      <c r="Q611" s="62"/>
      <c r="R611" s="62"/>
      <c r="S611" s="62"/>
      <c r="T611" s="62"/>
      <c r="U611" s="62"/>
      <c r="V611" s="62"/>
      <c r="W611" s="62"/>
      <c r="X611" s="62"/>
      <c r="Y611" s="62"/>
      <c r="Z611" s="62"/>
    </row>
    <row r="612">
      <c r="A612" s="62" t="str">
        <f>IFERROR(__xludf.DUMMYFUNCTION("""COMPUTED_VALUE"""),"日付")</f>
        <v>日付</v>
      </c>
      <c r="B612" s="62" t="str">
        <f>IFERROR(__xludf.DUMMYFUNCTION("""COMPUTED_VALUE"""),"名前")</f>
        <v>名前</v>
      </c>
      <c r="C612" s="62" t="str">
        <f>IFERROR(__xludf.DUMMYFUNCTION("""COMPUTED_VALUE"""),"打電件数")</f>
        <v>打電件数</v>
      </c>
      <c r="D612" s="62" t="str">
        <f>IFERROR(__xludf.DUMMYFUNCTION("""COMPUTED_VALUE"""),"着電件数")</f>
        <v>着電件数</v>
      </c>
      <c r="E612" s="62" t="str">
        <f>IFERROR(__xludf.DUMMYFUNCTION("""COMPUTED_VALUE"""),"折り返し件数")</f>
        <v>折り返し件数</v>
      </c>
      <c r="F612" s="62" t="str">
        <f>IFERROR(__xludf.DUMMYFUNCTION("""COMPUTED_VALUE"""),"拒否")</f>
        <v>拒否</v>
      </c>
      <c r="G612" s="62" t="str">
        <f>IFERROR(__xludf.DUMMYFUNCTION("""COMPUTED_VALUE"""),"着電率")</f>
        <v>着電率</v>
      </c>
      <c r="H612" s="62" t="str">
        <f>IFERROR(__xludf.DUMMYFUNCTION("""COMPUTED_VALUE"""),"LINE登録")</f>
        <v>LINE登録</v>
      </c>
      <c r="I612" s="62" t="str">
        <f>IFERROR(__xludf.DUMMYFUNCTION("""COMPUTED_VALUE"""),"アカウント作成")</f>
        <v>アカウント作成</v>
      </c>
      <c r="J612" s="552" t="str">
        <f>IFERROR(__xludf.DUMMYFUNCTION("""COMPUTED_VALUE"""),"新規信用枠額")</f>
        <v>新規信用枠額</v>
      </c>
      <c r="K612" s="62" t="str">
        <f>IFERROR(__xludf.DUMMYFUNCTION("""COMPUTED_VALUE"""),"リスト死回線数")</f>
        <v>リスト死回線数</v>
      </c>
      <c r="L612" s="62" t="str">
        <f>IFERROR(__xludf.DUMMYFUNCTION("""COMPUTED_VALUE"""),"LINE率(打電から)")</f>
        <v>LINE率(打電から)</v>
      </c>
      <c r="M612" s="62" t="str">
        <f>IFERROR(__xludf.DUMMYFUNCTION("""COMPUTED_VALUE"""),"アカウント作成率(打電から)")</f>
        <v>アカウント作成率(打電から)</v>
      </c>
      <c r="N612" s="62" t="str">
        <f>IFERROR(__xludf.DUMMYFUNCTION("""COMPUTED_VALUE"""),"アカウント作成率(LINEから)")</f>
        <v>アカウント作成率(LINEから)</v>
      </c>
      <c r="O612" s="62" t="str">
        <f>IFERROR(__xludf.DUMMYFUNCTION("""COMPUTED_VALUE"""),"リスト名")</f>
        <v>リスト名</v>
      </c>
      <c r="P612" s="553" t="str">
        <f>IFERROR(__xludf.DUMMYFUNCTION("""COMPUTED_VALUE"""),"日本基準")</f>
        <v>日本基準</v>
      </c>
      <c r="Q612" s="62"/>
      <c r="R612" s="62"/>
      <c r="S612" s="62"/>
      <c r="T612" s="62"/>
      <c r="U612" s="62"/>
      <c r="V612" s="62"/>
      <c r="W612" s="62"/>
      <c r="X612" s="62"/>
      <c r="Y612" s="62"/>
      <c r="Z612" s="62"/>
    </row>
    <row r="613">
      <c r="A613" s="556">
        <f>IFERROR(__xludf.DUMMYFUNCTION("""COMPUTED_VALUE"""),45930.0)</f>
        <v>45930</v>
      </c>
      <c r="B613" s="62" t="str">
        <f>IFERROR(__xludf.DUMMYFUNCTION("""COMPUTED_VALUE"""),"あり")</f>
        <v>あり</v>
      </c>
      <c r="C613" s="62">
        <f>IFERROR(__xludf.DUMMYFUNCTION("""COMPUTED_VALUE"""),31.0)</f>
        <v>31</v>
      </c>
      <c r="D613" s="62"/>
      <c r="E613" s="62"/>
      <c r="F613" s="62"/>
      <c r="G613" s="504">
        <f>IFERROR(__xludf.DUMMYFUNCTION("""COMPUTED_VALUE"""),0.0)</f>
        <v>0</v>
      </c>
      <c r="H613" s="62">
        <f>IFERROR(__xludf.DUMMYFUNCTION("""COMPUTED_VALUE"""),3.0)</f>
        <v>3</v>
      </c>
      <c r="I613" s="62">
        <f>IFERROR(__xludf.DUMMYFUNCTION("""COMPUTED_VALUE"""),6.0)</f>
        <v>6</v>
      </c>
      <c r="J613" s="552">
        <f>IFERROR(__xludf.DUMMYFUNCTION("""COMPUTED_VALUE"""),860000.0)</f>
        <v>860000</v>
      </c>
      <c r="K613" s="62"/>
      <c r="L613" s="504">
        <f>IFERROR(__xludf.DUMMYFUNCTION("""COMPUTED_VALUE"""),0.0967741935483871)</f>
        <v>0.09677419355</v>
      </c>
      <c r="M613" s="504">
        <f>IFERROR(__xludf.DUMMYFUNCTION("""COMPUTED_VALUE"""),0.1935483870967742)</f>
        <v>0.1935483871</v>
      </c>
      <c r="N613" s="504">
        <f>IFERROR(__xludf.DUMMYFUNCTION("""COMPUTED_VALUE"""),2.0)</f>
        <v>2</v>
      </c>
      <c r="O613" s="62" t="str">
        <f>IFERROR(__xludf.DUMMYFUNCTION("""COMPUTED_VALUE"""),"リストS")</f>
        <v>リストS</v>
      </c>
      <c r="P613" s="553" t="str">
        <f>IFERROR(__xludf.DUMMYFUNCTION("""COMPUTED_VALUE"""),"平日")</f>
        <v>平日</v>
      </c>
      <c r="Q613" s="62"/>
      <c r="R613" s="62"/>
      <c r="S613" s="62"/>
      <c r="T613" s="62"/>
      <c r="U613" s="62"/>
      <c r="V613" s="62"/>
      <c r="W613" s="62"/>
      <c r="X613" s="62"/>
      <c r="Y613" s="62"/>
      <c r="Z613" s="62"/>
    </row>
    <row r="614">
      <c r="A614" s="62"/>
      <c r="B614" s="62" t="str">
        <f>IFERROR(__xludf.DUMMYFUNCTION("""COMPUTED_VALUE"""),"しょうま")</f>
        <v>しょうま</v>
      </c>
      <c r="C614" s="62">
        <f>IFERROR(__xludf.DUMMYFUNCTION("""COMPUTED_VALUE"""),380.0)</f>
        <v>380</v>
      </c>
      <c r="D614" s="62">
        <f>IFERROR(__xludf.DUMMYFUNCTION("""COMPUTED_VALUE"""),36.0)</f>
        <v>36</v>
      </c>
      <c r="E614" s="62">
        <f>IFERROR(__xludf.DUMMYFUNCTION("""COMPUTED_VALUE"""),4.0)</f>
        <v>4</v>
      </c>
      <c r="F614" s="62">
        <f>IFERROR(__xludf.DUMMYFUNCTION("""COMPUTED_VALUE"""),27.0)</f>
        <v>27</v>
      </c>
      <c r="G614" s="504">
        <f>IFERROR(__xludf.DUMMYFUNCTION("""COMPUTED_VALUE"""),0.09473684210526316)</f>
        <v>0.09473684211</v>
      </c>
      <c r="H614" s="62">
        <f>IFERROR(__xludf.DUMMYFUNCTION("""COMPUTED_VALUE"""),1.0)</f>
        <v>1</v>
      </c>
      <c r="I614" s="62">
        <f>IFERROR(__xludf.DUMMYFUNCTION("""COMPUTED_VALUE"""),1.0)</f>
        <v>1</v>
      </c>
      <c r="J614" s="552">
        <f>IFERROR(__xludf.DUMMYFUNCTION("""COMPUTED_VALUE"""),100000.0)</f>
        <v>100000</v>
      </c>
      <c r="K614" s="62"/>
      <c r="L614" s="504">
        <f>IFERROR(__xludf.DUMMYFUNCTION("""COMPUTED_VALUE"""),0.002631578947368421)</f>
        <v>0.002631578947</v>
      </c>
      <c r="M614" s="504">
        <f>IFERROR(__xludf.DUMMYFUNCTION("""COMPUTED_VALUE"""),0.002631578947368421)</f>
        <v>0.002631578947</v>
      </c>
      <c r="N614" s="504">
        <f>IFERROR(__xludf.DUMMYFUNCTION("""COMPUTED_VALUE"""),1.0)</f>
        <v>1</v>
      </c>
      <c r="O614" s="62" t="str">
        <f>IFERROR(__xludf.DUMMYFUNCTION("""COMPUTED_VALUE"""),"リストC")</f>
        <v>リストC</v>
      </c>
      <c r="P614" s="553" t="str">
        <f>IFERROR(__xludf.DUMMYFUNCTION("""COMPUTED_VALUE"""),"平日")</f>
        <v>平日</v>
      </c>
      <c r="Q614" s="62"/>
      <c r="R614" s="62"/>
      <c r="S614" s="62"/>
      <c r="T614" s="62"/>
      <c r="U614" s="62"/>
      <c r="V614" s="62"/>
      <c r="W614" s="62"/>
      <c r="X614" s="62"/>
      <c r="Y614" s="62"/>
      <c r="Z614" s="62"/>
    </row>
    <row r="615">
      <c r="A615" s="62"/>
      <c r="B615" s="62"/>
      <c r="C615" s="62"/>
      <c r="D615" s="62"/>
      <c r="E615" s="62"/>
      <c r="F615" s="62"/>
      <c r="G615" s="504">
        <f>IFERROR(__xludf.DUMMYFUNCTION("""COMPUTED_VALUE"""),0.0)</f>
        <v>0</v>
      </c>
      <c r="H615" s="62"/>
      <c r="I615" s="62"/>
      <c r="J615" s="62"/>
      <c r="K615" s="62"/>
      <c r="L615" s="504">
        <f>IFERROR(__xludf.DUMMYFUNCTION("""COMPUTED_VALUE"""),0.0)</f>
        <v>0</v>
      </c>
      <c r="M615" s="504">
        <f>IFERROR(__xludf.DUMMYFUNCTION("""COMPUTED_VALUE"""),0.0)</f>
        <v>0</v>
      </c>
      <c r="N615" s="504">
        <f>IFERROR(__xludf.DUMMYFUNCTION("""COMPUTED_VALUE"""),0.0)</f>
        <v>0</v>
      </c>
      <c r="O615" s="62"/>
      <c r="P615" s="62"/>
      <c r="Q615" s="62"/>
      <c r="R615" s="62"/>
      <c r="S615" s="62"/>
      <c r="T615" s="62"/>
      <c r="U615" s="62"/>
      <c r="V615" s="62"/>
      <c r="W615" s="62"/>
      <c r="X615" s="62"/>
      <c r="Y615" s="62"/>
      <c r="Z615" s="62"/>
    </row>
    <row r="616">
      <c r="A616" s="62"/>
      <c r="B616" s="62" t="str">
        <f>IFERROR(__xludf.DUMMYFUNCTION("""COMPUTED_VALUE"""),"ジョーナ")</f>
        <v>ジョーナ</v>
      </c>
      <c r="C616" s="62"/>
      <c r="D616" s="62"/>
      <c r="E616" s="62"/>
      <c r="F616" s="62"/>
      <c r="G616" s="504">
        <f>IFERROR(__xludf.DUMMYFUNCTION("""COMPUTED_VALUE"""),0.0)</f>
        <v>0</v>
      </c>
      <c r="H616" s="62"/>
      <c r="I616" s="62"/>
      <c r="J616" s="62"/>
      <c r="K616" s="62"/>
      <c r="L616" s="504">
        <f>IFERROR(__xludf.DUMMYFUNCTION("""COMPUTED_VALUE"""),0.0)</f>
        <v>0</v>
      </c>
      <c r="M616" s="504">
        <f>IFERROR(__xludf.DUMMYFUNCTION("""COMPUTED_VALUE"""),0.0)</f>
        <v>0</v>
      </c>
      <c r="N616" s="504">
        <f>IFERROR(__xludf.DUMMYFUNCTION("""COMPUTED_VALUE"""),0.0)</f>
        <v>0</v>
      </c>
      <c r="O616" s="62"/>
      <c r="P616" s="62"/>
      <c r="Q616" s="62"/>
      <c r="R616" s="62"/>
      <c r="S616" s="62"/>
      <c r="T616" s="62"/>
      <c r="U616" s="62"/>
      <c r="V616" s="62"/>
      <c r="W616" s="62"/>
      <c r="X616" s="62"/>
      <c r="Y616" s="62"/>
      <c r="Z616" s="62"/>
    </row>
    <row r="617">
      <c r="A617" s="62"/>
      <c r="B617" s="62" t="str">
        <f>IFERROR(__xludf.DUMMYFUNCTION("""COMPUTED_VALUE"""),"武田")</f>
        <v>武田</v>
      </c>
      <c r="C617" s="62"/>
      <c r="D617" s="62"/>
      <c r="E617" s="62"/>
      <c r="F617" s="62"/>
      <c r="G617" s="504">
        <f>IFERROR(__xludf.DUMMYFUNCTION("""COMPUTED_VALUE"""),0.0)</f>
        <v>0</v>
      </c>
      <c r="H617" s="62"/>
      <c r="I617" s="62"/>
      <c r="J617" s="62"/>
      <c r="K617" s="62"/>
      <c r="L617" s="504">
        <f>IFERROR(__xludf.DUMMYFUNCTION("""COMPUTED_VALUE"""),0.0)</f>
        <v>0</v>
      </c>
      <c r="M617" s="504">
        <f>IFERROR(__xludf.DUMMYFUNCTION("""COMPUTED_VALUE"""),0.0)</f>
        <v>0</v>
      </c>
      <c r="N617" s="504">
        <f>IFERROR(__xludf.DUMMYFUNCTION("""COMPUTED_VALUE"""),0.0)</f>
        <v>0</v>
      </c>
      <c r="O617" s="62"/>
      <c r="P617" s="62"/>
      <c r="Q617" s="62"/>
      <c r="R617" s="62"/>
      <c r="S617" s="62"/>
      <c r="T617" s="62"/>
      <c r="U617" s="62"/>
      <c r="V617" s="62"/>
      <c r="W617" s="62"/>
      <c r="X617" s="62"/>
      <c r="Y617" s="62"/>
      <c r="Z617" s="62"/>
    </row>
    <row r="618">
      <c r="A618" s="62"/>
      <c r="B618" s="62" t="str">
        <f>IFERROR(__xludf.DUMMYFUNCTION("""COMPUTED_VALUE"""),"高木")</f>
        <v>高木</v>
      </c>
      <c r="C618" s="62">
        <f>IFERROR(__xludf.DUMMYFUNCTION("""COMPUTED_VALUE"""),219.0)</f>
        <v>219</v>
      </c>
      <c r="D618" s="62">
        <f>IFERROR(__xludf.DUMMYFUNCTION("""COMPUTED_VALUE"""),24.0)</f>
        <v>24</v>
      </c>
      <c r="E618" s="62">
        <f>IFERROR(__xludf.DUMMYFUNCTION("""COMPUTED_VALUE"""),1.0)</f>
        <v>1</v>
      </c>
      <c r="F618" s="62">
        <f>IFERROR(__xludf.DUMMYFUNCTION("""COMPUTED_VALUE"""),20.0)</f>
        <v>20</v>
      </c>
      <c r="G618" s="504">
        <f>IFERROR(__xludf.DUMMYFUNCTION("""COMPUTED_VALUE"""),0.1095890410958904)</f>
        <v>0.1095890411</v>
      </c>
      <c r="H618" s="62"/>
      <c r="I618" s="62">
        <f>IFERROR(__xludf.DUMMYFUNCTION("""COMPUTED_VALUE"""),1.0)</f>
        <v>1</v>
      </c>
      <c r="J618" s="552">
        <f>IFERROR(__xludf.DUMMYFUNCTION("""COMPUTED_VALUE"""),500000.0)</f>
        <v>500000</v>
      </c>
      <c r="K618" s="62"/>
      <c r="L618" s="504">
        <f>IFERROR(__xludf.DUMMYFUNCTION("""COMPUTED_VALUE"""),0.0)</f>
        <v>0</v>
      </c>
      <c r="M618" s="504">
        <f>IFERROR(__xludf.DUMMYFUNCTION("""COMPUTED_VALUE"""),0.0045662100456621)</f>
        <v>0.004566210046</v>
      </c>
      <c r="N618" s="504">
        <f>IFERROR(__xludf.DUMMYFUNCTION("""COMPUTED_VALUE"""),0.0)</f>
        <v>0</v>
      </c>
      <c r="O618" s="62"/>
      <c r="P618" s="62"/>
      <c r="Q618" s="62"/>
      <c r="R618" s="62"/>
      <c r="S618" s="62"/>
      <c r="T618" s="62"/>
      <c r="U618" s="62"/>
      <c r="V618" s="62"/>
      <c r="W618" s="62"/>
      <c r="X618" s="62"/>
      <c r="Y618" s="62"/>
      <c r="Z618" s="62"/>
    </row>
    <row r="619">
      <c r="A619" s="62"/>
      <c r="B619" s="62"/>
      <c r="C619" s="62"/>
      <c r="D619" s="62"/>
      <c r="E619" s="62"/>
      <c r="F619" s="62"/>
      <c r="G619" s="504">
        <f>IFERROR(__xludf.DUMMYFUNCTION("""COMPUTED_VALUE"""),0.0)</f>
        <v>0</v>
      </c>
      <c r="H619" s="62"/>
      <c r="I619" s="62"/>
      <c r="J619" s="62"/>
      <c r="K619" s="62"/>
      <c r="L619" s="504">
        <f>IFERROR(__xludf.DUMMYFUNCTION("""COMPUTED_VALUE"""),0.0)</f>
        <v>0</v>
      </c>
      <c r="M619" s="504">
        <f>IFERROR(__xludf.DUMMYFUNCTION("""COMPUTED_VALUE"""),0.0)</f>
        <v>0</v>
      </c>
      <c r="N619" s="504">
        <f>IFERROR(__xludf.DUMMYFUNCTION("""COMPUTED_VALUE"""),0.0)</f>
        <v>0</v>
      </c>
      <c r="O619" s="62"/>
      <c r="P619" s="62"/>
      <c r="Q619" s="62"/>
      <c r="R619" s="62"/>
      <c r="S619" s="62"/>
      <c r="T619" s="62"/>
      <c r="U619" s="62"/>
      <c r="V619" s="62"/>
      <c r="W619" s="62"/>
      <c r="X619" s="62"/>
      <c r="Y619" s="62"/>
      <c r="Z619" s="62"/>
    </row>
    <row r="620">
      <c r="A620" s="62"/>
      <c r="B620" s="62" t="str">
        <f>IFERROR(__xludf.DUMMYFUNCTION("""COMPUTED_VALUE"""),"大谷")</f>
        <v>大谷</v>
      </c>
      <c r="C620" s="62"/>
      <c r="D620" s="62"/>
      <c r="E620" s="62"/>
      <c r="F620" s="62"/>
      <c r="G620" s="504">
        <f>IFERROR(__xludf.DUMMYFUNCTION("""COMPUTED_VALUE"""),0.0)</f>
        <v>0</v>
      </c>
      <c r="H620" s="62"/>
      <c r="I620" s="62"/>
      <c r="J620" s="62"/>
      <c r="K620" s="62"/>
      <c r="L620" s="504">
        <f>IFERROR(__xludf.DUMMYFUNCTION("""COMPUTED_VALUE"""),0.0)</f>
        <v>0</v>
      </c>
      <c r="M620" s="504">
        <f>IFERROR(__xludf.DUMMYFUNCTION("""COMPUTED_VALUE"""),0.0)</f>
        <v>0</v>
      </c>
      <c r="N620" s="504">
        <f>IFERROR(__xludf.DUMMYFUNCTION("""COMPUTED_VALUE"""),0.0)</f>
        <v>0</v>
      </c>
      <c r="O620" s="62"/>
      <c r="P620" s="62"/>
      <c r="Q620" s="62"/>
      <c r="R620" s="62"/>
      <c r="S620" s="62"/>
      <c r="T620" s="62"/>
      <c r="U620" s="62"/>
      <c r="V620" s="62"/>
      <c r="W620" s="62"/>
      <c r="X620" s="62"/>
      <c r="Y620" s="62"/>
      <c r="Z620" s="62"/>
    </row>
    <row r="621">
      <c r="A621" s="62"/>
      <c r="B621" s="62"/>
      <c r="C621" s="62"/>
      <c r="D621" s="62"/>
      <c r="E621" s="62"/>
      <c r="F621" s="62"/>
      <c r="G621" s="504">
        <f>IFERROR(__xludf.DUMMYFUNCTION("""COMPUTED_VALUE"""),0.0)</f>
        <v>0</v>
      </c>
      <c r="H621" s="62"/>
      <c r="I621" s="62"/>
      <c r="J621" s="62"/>
      <c r="K621" s="62"/>
      <c r="L621" s="504">
        <f>IFERROR(__xludf.DUMMYFUNCTION("""COMPUTED_VALUE"""),0.0)</f>
        <v>0</v>
      </c>
      <c r="M621" s="504">
        <f>IFERROR(__xludf.DUMMYFUNCTION("""COMPUTED_VALUE"""),0.0)</f>
        <v>0</v>
      </c>
      <c r="N621" s="504">
        <f>IFERROR(__xludf.DUMMYFUNCTION("""COMPUTED_VALUE"""),0.0)</f>
        <v>0</v>
      </c>
      <c r="O621" s="62"/>
      <c r="P621" s="62"/>
      <c r="Q621" s="62"/>
      <c r="R621" s="62"/>
      <c r="S621" s="62"/>
      <c r="T621" s="62"/>
      <c r="U621" s="62"/>
      <c r="V621" s="62"/>
      <c r="W621" s="62"/>
      <c r="X621" s="62"/>
      <c r="Y621" s="62"/>
      <c r="Z621" s="62"/>
    </row>
    <row r="622">
      <c r="A622" s="62"/>
      <c r="B622" s="62" t="str">
        <f>IFERROR(__xludf.DUMMYFUNCTION("""COMPUTED_VALUE"""),"森")</f>
        <v>森</v>
      </c>
      <c r="C622" s="62"/>
      <c r="D622" s="62"/>
      <c r="E622" s="62"/>
      <c r="F622" s="62"/>
      <c r="G622" s="504">
        <f>IFERROR(__xludf.DUMMYFUNCTION("""COMPUTED_VALUE"""),0.0)</f>
        <v>0</v>
      </c>
      <c r="H622" s="62"/>
      <c r="I622" s="62"/>
      <c r="J622" s="62"/>
      <c r="K622" s="62"/>
      <c r="L622" s="504">
        <f>IFERROR(__xludf.DUMMYFUNCTION("""COMPUTED_VALUE"""),0.0)</f>
        <v>0</v>
      </c>
      <c r="M622" s="504">
        <f>IFERROR(__xludf.DUMMYFUNCTION("""COMPUTED_VALUE"""),0.0)</f>
        <v>0</v>
      </c>
      <c r="N622" s="504">
        <f>IFERROR(__xludf.DUMMYFUNCTION("""COMPUTED_VALUE"""),0.0)</f>
        <v>0</v>
      </c>
      <c r="O622" s="62"/>
      <c r="P622" s="62"/>
      <c r="Q622" s="62"/>
      <c r="R622" s="62"/>
      <c r="S622" s="62"/>
      <c r="T622" s="62"/>
      <c r="U622" s="62"/>
      <c r="V622" s="62"/>
      <c r="W622" s="62"/>
      <c r="X622" s="62"/>
      <c r="Y622" s="62"/>
      <c r="Z622" s="62"/>
    </row>
    <row r="623">
      <c r="A623" s="62"/>
      <c r="B623" s="62"/>
      <c r="C623" s="62"/>
      <c r="D623" s="62"/>
      <c r="E623" s="62"/>
      <c r="F623" s="62"/>
      <c r="G623" s="504">
        <f>IFERROR(__xludf.DUMMYFUNCTION("""COMPUTED_VALUE"""),0.0)</f>
        <v>0</v>
      </c>
      <c r="H623" s="62"/>
      <c r="I623" s="62"/>
      <c r="J623" s="62"/>
      <c r="K623" s="62"/>
      <c r="L623" s="504">
        <f>IFERROR(__xludf.DUMMYFUNCTION("""COMPUTED_VALUE"""),0.0)</f>
        <v>0</v>
      </c>
      <c r="M623" s="504">
        <f>IFERROR(__xludf.DUMMYFUNCTION("""COMPUTED_VALUE"""),0.0)</f>
        <v>0</v>
      </c>
      <c r="N623" s="504">
        <f>IFERROR(__xludf.DUMMYFUNCTION("""COMPUTED_VALUE"""),0.0)</f>
        <v>0</v>
      </c>
      <c r="O623" s="62"/>
      <c r="P623" s="62"/>
      <c r="Q623" s="62"/>
      <c r="R623" s="62"/>
      <c r="S623" s="62"/>
      <c r="T623" s="62"/>
      <c r="U623" s="62"/>
      <c r="V623" s="62"/>
      <c r="W623" s="62"/>
      <c r="X623" s="62"/>
      <c r="Y623" s="62"/>
      <c r="Z623" s="62"/>
    </row>
    <row r="624">
      <c r="A624" s="62"/>
      <c r="B624" s="62" t="str">
        <f>IFERROR(__xludf.DUMMYFUNCTION("""COMPUTED_VALUE"""),"金子")</f>
        <v>金子</v>
      </c>
      <c r="C624" s="62"/>
      <c r="D624" s="62"/>
      <c r="E624" s="62"/>
      <c r="F624" s="62"/>
      <c r="G624" s="504">
        <f>IFERROR(__xludf.DUMMYFUNCTION("""COMPUTED_VALUE"""),0.0)</f>
        <v>0</v>
      </c>
      <c r="H624" s="62"/>
      <c r="I624" s="62"/>
      <c r="J624" s="62"/>
      <c r="K624" s="62"/>
      <c r="L624" s="504">
        <f>IFERROR(__xludf.DUMMYFUNCTION("""COMPUTED_VALUE"""),0.0)</f>
        <v>0</v>
      </c>
      <c r="M624" s="504">
        <f>IFERROR(__xludf.DUMMYFUNCTION("""COMPUTED_VALUE"""),0.0)</f>
        <v>0</v>
      </c>
      <c r="N624" s="504">
        <f>IFERROR(__xludf.DUMMYFUNCTION("""COMPUTED_VALUE"""),0.0)</f>
        <v>0</v>
      </c>
      <c r="O624" s="62"/>
      <c r="P624" s="62"/>
      <c r="Q624" s="62"/>
      <c r="R624" s="62"/>
      <c r="S624" s="62"/>
      <c r="T624" s="62"/>
      <c r="U624" s="62"/>
      <c r="V624" s="62"/>
      <c r="W624" s="62"/>
      <c r="X624" s="62"/>
      <c r="Y624" s="62"/>
      <c r="Z624" s="62"/>
    </row>
    <row r="625">
      <c r="A625" s="62"/>
      <c r="B625" s="62"/>
      <c r="C625" s="62"/>
      <c r="D625" s="62"/>
      <c r="E625" s="62"/>
      <c r="F625" s="62"/>
      <c r="G625" s="504">
        <f>IFERROR(__xludf.DUMMYFUNCTION("""COMPUTED_VALUE"""),0.0)</f>
        <v>0</v>
      </c>
      <c r="H625" s="62"/>
      <c r="I625" s="62"/>
      <c r="J625" s="62"/>
      <c r="K625" s="62"/>
      <c r="L625" s="504">
        <f>IFERROR(__xludf.DUMMYFUNCTION("""COMPUTED_VALUE"""),0.0)</f>
        <v>0</v>
      </c>
      <c r="M625" s="504">
        <f>IFERROR(__xludf.DUMMYFUNCTION("""COMPUTED_VALUE"""),0.0)</f>
        <v>0</v>
      </c>
      <c r="N625" s="504">
        <f>IFERROR(__xludf.DUMMYFUNCTION("""COMPUTED_VALUE"""),0.0)</f>
        <v>0</v>
      </c>
      <c r="O625" s="62"/>
      <c r="P625" s="62"/>
      <c r="Q625" s="62"/>
      <c r="R625" s="62"/>
      <c r="S625" s="62"/>
      <c r="T625" s="62"/>
      <c r="U625" s="62"/>
      <c r="V625" s="62"/>
      <c r="W625" s="62"/>
      <c r="X625" s="62"/>
      <c r="Y625" s="62"/>
      <c r="Z625" s="62"/>
    </row>
    <row r="626">
      <c r="A626" s="62"/>
      <c r="B626" s="552" t="str">
        <f>IFERROR(__xludf.DUMMYFUNCTION("""COMPUTED_VALUE"""),"SMS")</f>
        <v>SMS</v>
      </c>
      <c r="C626" s="62"/>
      <c r="D626" s="62"/>
      <c r="E626" s="62"/>
      <c r="F626" s="62"/>
      <c r="G626" s="504">
        <f>IFERROR(__xludf.DUMMYFUNCTION("""COMPUTED_VALUE"""),0.0)</f>
        <v>0</v>
      </c>
      <c r="H626" s="62"/>
      <c r="I626" s="62"/>
      <c r="J626" s="62"/>
      <c r="K626" s="62"/>
      <c r="L626" s="504">
        <f>IFERROR(__xludf.DUMMYFUNCTION("""COMPUTED_VALUE"""),0.0)</f>
        <v>0</v>
      </c>
      <c r="M626" s="504">
        <f>IFERROR(__xludf.DUMMYFUNCTION("""COMPUTED_VALUE"""),0.0)</f>
        <v>0</v>
      </c>
      <c r="N626" s="504">
        <f>IFERROR(__xludf.DUMMYFUNCTION("""COMPUTED_VALUE"""),0.0)</f>
        <v>0</v>
      </c>
      <c r="O626" s="62"/>
      <c r="P626" s="62"/>
      <c r="Q626" s="62"/>
      <c r="R626" s="62"/>
      <c r="S626" s="62"/>
      <c r="T626" s="62"/>
      <c r="U626" s="62"/>
      <c r="V626" s="62"/>
      <c r="W626" s="62"/>
      <c r="X626" s="62"/>
      <c r="Y626" s="62"/>
      <c r="Z626" s="62"/>
    </row>
    <row r="627">
      <c r="A627" s="62"/>
      <c r="B627" s="62" t="str">
        <f>IFERROR(__xludf.DUMMYFUNCTION("""COMPUTED_VALUE"""),"紹介")</f>
        <v>紹介</v>
      </c>
      <c r="C627" s="62"/>
      <c r="D627" s="62"/>
      <c r="E627" s="62"/>
      <c r="F627" s="62"/>
      <c r="G627" s="504">
        <f>IFERROR(__xludf.DUMMYFUNCTION("""COMPUTED_VALUE"""),0.0)</f>
        <v>0</v>
      </c>
      <c r="H627" s="62"/>
      <c r="I627" s="62"/>
      <c r="J627" s="62"/>
      <c r="K627" s="62"/>
      <c r="L627" s="504">
        <f>IFERROR(__xludf.DUMMYFUNCTION("""COMPUTED_VALUE"""),0.0)</f>
        <v>0</v>
      </c>
      <c r="M627" s="504">
        <f>IFERROR(__xludf.DUMMYFUNCTION("""COMPUTED_VALUE"""),0.0)</f>
        <v>0</v>
      </c>
      <c r="N627" s="504">
        <f>IFERROR(__xludf.DUMMYFUNCTION("""COMPUTED_VALUE"""),0.0)</f>
        <v>0</v>
      </c>
      <c r="O627" s="62"/>
      <c r="P627" s="62"/>
      <c r="Q627" s="62"/>
      <c r="R627" s="62"/>
      <c r="S627" s="62"/>
      <c r="T627" s="62"/>
      <c r="U627" s="62"/>
      <c r="V627" s="62"/>
      <c r="W627" s="62"/>
      <c r="X627" s="62"/>
      <c r="Y627" s="62"/>
      <c r="Z627" s="62"/>
    </row>
    <row r="628">
      <c r="A628" s="62"/>
      <c r="B628" s="62" t="str">
        <f>IFERROR(__xludf.DUMMYFUNCTION("""COMPUTED_VALUE"""),"仁子")</f>
        <v>仁子</v>
      </c>
      <c r="C628" s="62"/>
      <c r="D628" s="62"/>
      <c r="E628" s="62"/>
      <c r="F628" s="62"/>
      <c r="G628" s="504">
        <f>IFERROR(__xludf.DUMMYFUNCTION("""COMPUTED_VALUE"""),0.0)</f>
        <v>0</v>
      </c>
      <c r="H628" s="62"/>
      <c r="I628" s="62"/>
      <c r="J628" s="62"/>
      <c r="K628" s="62"/>
      <c r="L628" s="504">
        <f>IFERROR(__xludf.DUMMYFUNCTION("""COMPUTED_VALUE"""),0.0)</f>
        <v>0</v>
      </c>
      <c r="M628" s="504">
        <f>IFERROR(__xludf.DUMMYFUNCTION("""COMPUTED_VALUE"""),0.0)</f>
        <v>0</v>
      </c>
      <c r="N628" s="504">
        <f>IFERROR(__xludf.DUMMYFUNCTION("""COMPUTED_VALUE"""),0.0)</f>
        <v>0</v>
      </c>
      <c r="O628" s="62"/>
      <c r="P628" s="62"/>
      <c r="Q628" s="62"/>
      <c r="R628" s="62"/>
      <c r="S628" s="62"/>
      <c r="T628" s="62"/>
      <c r="U628" s="62"/>
      <c r="V628" s="62"/>
      <c r="W628" s="62"/>
      <c r="X628" s="62"/>
      <c r="Y628" s="62"/>
      <c r="Z628" s="62"/>
    </row>
    <row r="629">
      <c r="A629" s="62"/>
      <c r="B629" s="62" t="str">
        <f>IFERROR(__xludf.DUMMYFUNCTION("""COMPUTED_VALUE"""),"鈴木")</f>
        <v>鈴木</v>
      </c>
      <c r="C629" s="62">
        <f>IFERROR(__xludf.DUMMYFUNCTION("""COMPUTED_VALUE"""),63.0)</f>
        <v>63</v>
      </c>
      <c r="D629" s="62">
        <f>IFERROR(__xludf.DUMMYFUNCTION("""COMPUTED_VALUE"""),12.0)</f>
        <v>12</v>
      </c>
      <c r="E629" s="62"/>
      <c r="F629" s="62">
        <f>IFERROR(__xludf.DUMMYFUNCTION("""COMPUTED_VALUE"""),8.0)</f>
        <v>8</v>
      </c>
      <c r="G629" s="504">
        <f>IFERROR(__xludf.DUMMYFUNCTION("""COMPUTED_VALUE"""),0.19047619047619047)</f>
        <v>0.1904761905</v>
      </c>
      <c r="H629" s="62">
        <f>IFERROR(__xludf.DUMMYFUNCTION("""COMPUTED_VALUE"""),2.0)</f>
        <v>2</v>
      </c>
      <c r="I629" s="62">
        <f>IFERROR(__xludf.DUMMYFUNCTION("""COMPUTED_VALUE"""),1.0)</f>
        <v>1</v>
      </c>
      <c r="J629" s="552">
        <f>IFERROR(__xludf.DUMMYFUNCTION("""COMPUTED_VALUE"""),50000.0)</f>
        <v>50000</v>
      </c>
      <c r="K629" s="62"/>
      <c r="L629" s="504">
        <f>IFERROR(__xludf.DUMMYFUNCTION("""COMPUTED_VALUE"""),0.031746031746031744)</f>
        <v>0.03174603175</v>
      </c>
      <c r="M629" s="504">
        <f>IFERROR(__xludf.DUMMYFUNCTION("""COMPUTED_VALUE"""),0.015873015873015872)</f>
        <v>0.01587301587</v>
      </c>
      <c r="N629" s="504">
        <f>IFERROR(__xludf.DUMMYFUNCTION("""COMPUTED_VALUE"""),0.5)</f>
        <v>0.5</v>
      </c>
      <c r="O629" s="62" t="str">
        <f>IFERROR(__xludf.DUMMYFUNCTION("""COMPUTED_VALUE"""),"リストC")</f>
        <v>リストC</v>
      </c>
      <c r="P629" s="62"/>
      <c r="Q629" s="62"/>
      <c r="R629" s="62"/>
      <c r="S629" s="62"/>
      <c r="T629" s="62"/>
      <c r="U629" s="62"/>
      <c r="V629" s="62"/>
      <c r="W629" s="62"/>
      <c r="X629" s="62"/>
      <c r="Y629" s="62"/>
      <c r="Z629" s="62"/>
    </row>
    <row r="630">
      <c r="A630" s="62"/>
      <c r="B630" s="62" t="str">
        <f>IFERROR(__xludf.DUMMYFUNCTION("""COMPUTED_VALUE"""),"仲間")</f>
        <v>仲間</v>
      </c>
      <c r="C630" s="62">
        <f>IFERROR(__xludf.DUMMYFUNCTION("""COMPUTED_VALUE"""),395.0)</f>
        <v>395</v>
      </c>
      <c r="D630" s="62">
        <f>IFERROR(__xludf.DUMMYFUNCTION("""COMPUTED_VALUE"""),52.0)</f>
        <v>52</v>
      </c>
      <c r="E630" s="62"/>
      <c r="F630" s="62">
        <f>IFERROR(__xludf.DUMMYFUNCTION("""COMPUTED_VALUE"""),41.0)</f>
        <v>41</v>
      </c>
      <c r="G630" s="504">
        <f>IFERROR(__xludf.DUMMYFUNCTION("""COMPUTED_VALUE"""),0.13164556962025317)</f>
        <v>0.1316455696</v>
      </c>
      <c r="H630" s="62"/>
      <c r="I630" s="62"/>
      <c r="J630" s="62"/>
      <c r="K630" s="62"/>
      <c r="L630" s="504">
        <f>IFERROR(__xludf.DUMMYFUNCTION("""COMPUTED_VALUE"""),0.0)</f>
        <v>0</v>
      </c>
      <c r="M630" s="504">
        <f>IFERROR(__xludf.DUMMYFUNCTION("""COMPUTED_VALUE"""),0.0)</f>
        <v>0</v>
      </c>
      <c r="N630" s="504">
        <f>IFERROR(__xludf.DUMMYFUNCTION("""COMPUTED_VALUE"""),0.0)</f>
        <v>0</v>
      </c>
      <c r="O630" s="62" t="str">
        <f>IFERROR(__xludf.DUMMYFUNCTION("""COMPUTED_VALUE"""),"リストC")</f>
        <v>リストC</v>
      </c>
      <c r="P630" s="62"/>
      <c r="Q630" s="62"/>
      <c r="R630" s="62"/>
      <c r="S630" s="62"/>
      <c r="T630" s="62"/>
      <c r="U630" s="62"/>
      <c r="V630" s="62"/>
      <c r="W630" s="62"/>
      <c r="X630" s="62"/>
      <c r="Y630" s="62"/>
      <c r="Z630" s="62"/>
    </row>
    <row r="631">
      <c r="A631" s="62"/>
      <c r="B631" s="62"/>
      <c r="C631" s="62"/>
      <c r="D631" s="62"/>
      <c r="E631" s="62"/>
      <c r="F631" s="62"/>
      <c r="G631" s="504">
        <f>IFERROR(__xludf.DUMMYFUNCTION("""COMPUTED_VALUE"""),0.0)</f>
        <v>0</v>
      </c>
      <c r="H631" s="62"/>
      <c r="I631" s="62"/>
      <c r="J631" s="62"/>
      <c r="K631" s="62"/>
      <c r="L631" s="504">
        <f>IFERROR(__xludf.DUMMYFUNCTION("""COMPUTED_VALUE"""),0.0)</f>
        <v>0</v>
      </c>
      <c r="M631" s="504">
        <f>IFERROR(__xludf.DUMMYFUNCTION("""COMPUTED_VALUE"""),0.0)</f>
        <v>0</v>
      </c>
      <c r="N631" s="504">
        <f>IFERROR(__xludf.DUMMYFUNCTION("""COMPUTED_VALUE"""),0.0)</f>
        <v>0</v>
      </c>
      <c r="O631" s="62"/>
      <c r="P631" s="62"/>
      <c r="Q631" s="62"/>
      <c r="R631" s="62"/>
      <c r="S631" s="62"/>
      <c r="T631" s="62"/>
      <c r="U631" s="62"/>
      <c r="V631" s="62"/>
      <c r="W631" s="62"/>
      <c r="X631" s="62"/>
      <c r="Y631" s="62"/>
      <c r="Z631" s="62"/>
    </row>
    <row r="632">
      <c r="A632" s="62"/>
      <c r="B632" s="62" t="str">
        <f>IFERROR(__xludf.DUMMYFUNCTION("""COMPUTED_VALUE"""),"合計")</f>
        <v>合計</v>
      </c>
      <c r="C632" s="62">
        <f>IFERROR(__xludf.DUMMYFUNCTION("""COMPUTED_VALUE"""),1088.0)</f>
        <v>1088</v>
      </c>
      <c r="D632" s="62">
        <f>IFERROR(__xludf.DUMMYFUNCTION("""COMPUTED_VALUE"""),124.0)</f>
        <v>124</v>
      </c>
      <c r="E632" s="62">
        <f>IFERROR(__xludf.DUMMYFUNCTION("""COMPUTED_VALUE"""),5.0)</f>
        <v>5</v>
      </c>
      <c r="F632" s="62">
        <f>IFERROR(__xludf.DUMMYFUNCTION("""COMPUTED_VALUE"""),96.0)</f>
        <v>96</v>
      </c>
      <c r="G632" s="504">
        <f>IFERROR(__xludf.DUMMYFUNCTION("""COMPUTED_VALUE"""),0.11397058823529412)</f>
        <v>0.1139705882</v>
      </c>
      <c r="H632" s="62">
        <f>IFERROR(__xludf.DUMMYFUNCTION("""COMPUTED_VALUE"""),6.0)</f>
        <v>6</v>
      </c>
      <c r="I632" s="62">
        <f>IFERROR(__xludf.DUMMYFUNCTION("""COMPUTED_VALUE"""),9.0)</f>
        <v>9</v>
      </c>
      <c r="J632" s="552">
        <f>IFERROR(__xludf.DUMMYFUNCTION("""COMPUTED_VALUE"""),1510000.0)</f>
        <v>1510000</v>
      </c>
      <c r="K632" s="62">
        <f>IFERROR(__xludf.DUMMYFUNCTION("""COMPUTED_VALUE"""),0.0)</f>
        <v>0</v>
      </c>
      <c r="L632" s="504">
        <f>IFERROR(__xludf.DUMMYFUNCTION("""COMPUTED_VALUE"""),0.0055147058823529415)</f>
        <v>0.005514705882</v>
      </c>
      <c r="M632" s="504">
        <f>IFERROR(__xludf.DUMMYFUNCTION("""COMPUTED_VALUE"""),0.008272058823529412)</f>
        <v>0.008272058824</v>
      </c>
      <c r="N632" s="504">
        <f>IFERROR(__xludf.DUMMYFUNCTION("""COMPUTED_VALUE"""),1.5)</f>
        <v>1.5</v>
      </c>
      <c r="O632" s="62"/>
      <c r="P632" s="62"/>
      <c r="Q632" s="62"/>
      <c r="R632" s="62"/>
      <c r="S632" s="62"/>
      <c r="T632" s="62"/>
      <c r="U632" s="62"/>
      <c r="V632" s="62"/>
      <c r="W632" s="62"/>
      <c r="X632" s="62"/>
      <c r="Y632" s="62"/>
      <c r="Z632" s="62"/>
    </row>
    <row r="633">
      <c r="A633" s="62" t="str">
        <f>IFERROR(__xludf.DUMMYFUNCTION("""COMPUTED_VALUE"""),"日付")</f>
        <v>日付</v>
      </c>
      <c r="B633" s="62" t="str">
        <f>IFERROR(__xludf.DUMMYFUNCTION("""COMPUTED_VALUE"""),"名前")</f>
        <v>名前</v>
      </c>
      <c r="C633" s="62" t="str">
        <f>IFERROR(__xludf.DUMMYFUNCTION("""COMPUTED_VALUE"""),"打電件数")</f>
        <v>打電件数</v>
      </c>
      <c r="D633" s="62" t="str">
        <f>IFERROR(__xludf.DUMMYFUNCTION("""COMPUTED_VALUE"""),"着電件数")</f>
        <v>着電件数</v>
      </c>
      <c r="E633" s="62" t="str">
        <f>IFERROR(__xludf.DUMMYFUNCTION("""COMPUTED_VALUE"""),"折り返し件数")</f>
        <v>折り返し件数</v>
      </c>
      <c r="F633" s="62" t="str">
        <f>IFERROR(__xludf.DUMMYFUNCTION("""COMPUTED_VALUE"""),"拒否")</f>
        <v>拒否</v>
      </c>
      <c r="G633" s="62" t="str">
        <f>IFERROR(__xludf.DUMMYFUNCTION("""COMPUTED_VALUE"""),"着電率")</f>
        <v>着電率</v>
      </c>
      <c r="H633" s="62" t="str">
        <f>IFERROR(__xludf.DUMMYFUNCTION("""COMPUTED_VALUE"""),"LINE登録")</f>
        <v>LINE登録</v>
      </c>
      <c r="I633" s="62" t="str">
        <f>IFERROR(__xludf.DUMMYFUNCTION("""COMPUTED_VALUE"""),"アカウント作成")</f>
        <v>アカウント作成</v>
      </c>
      <c r="J633" s="552" t="str">
        <f>IFERROR(__xludf.DUMMYFUNCTION("""COMPUTED_VALUE"""),"新規信用枠額")</f>
        <v>新規信用枠額</v>
      </c>
      <c r="K633" s="62" t="str">
        <f>IFERROR(__xludf.DUMMYFUNCTION("""COMPUTED_VALUE"""),"リスト死回線数")</f>
        <v>リスト死回線数</v>
      </c>
      <c r="L633" s="62" t="str">
        <f>IFERROR(__xludf.DUMMYFUNCTION("""COMPUTED_VALUE"""),"LINE率(打電から)")</f>
        <v>LINE率(打電から)</v>
      </c>
      <c r="M633" s="62" t="str">
        <f>IFERROR(__xludf.DUMMYFUNCTION("""COMPUTED_VALUE"""),"アカウント作成率(打電から)")</f>
        <v>アカウント作成率(打電から)</v>
      </c>
      <c r="N633" s="62" t="str">
        <f>IFERROR(__xludf.DUMMYFUNCTION("""COMPUTED_VALUE"""),"アカウント作成率(LINEから)")</f>
        <v>アカウント作成率(LINEから)</v>
      </c>
      <c r="O633" s="62" t="str">
        <f>IFERROR(__xludf.DUMMYFUNCTION("""COMPUTED_VALUE"""),"リスト名")</f>
        <v>リスト名</v>
      </c>
      <c r="P633" s="553" t="str">
        <f>IFERROR(__xludf.DUMMYFUNCTION("""COMPUTED_VALUE"""),"日本基準")</f>
        <v>日本基準</v>
      </c>
      <c r="Q633" s="62"/>
      <c r="R633" s="62"/>
      <c r="S633" s="62"/>
      <c r="T633" s="62"/>
      <c r="U633" s="62"/>
      <c r="V633" s="62"/>
      <c r="W633" s="62"/>
      <c r="X633" s="62"/>
      <c r="Y633" s="62"/>
      <c r="Z633" s="62"/>
    </row>
    <row r="634">
      <c r="A634" s="62"/>
      <c r="B634" s="62" t="str">
        <f>IFERROR(__xludf.DUMMYFUNCTION("""COMPUTED_VALUE"""),"あり")</f>
        <v>あり</v>
      </c>
      <c r="C634" s="62"/>
      <c r="D634" s="62"/>
      <c r="E634" s="62"/>
      <c r="F634" s="62"/>
      <c r="G634" s="504">
        <f>IFERROR(__xludf.DUMMYFUNCTION("""COMPUTED_VALUE"""),0.0)</f>
        <v>0</v>
      </c>
      <c r="H634" s="62"/>
      <c r="I634" s="62"/>
      <c r="J634" s="62"/>
      <c r="K634" s="62"/>
      <c r="L634" s="504">
        <f>IFERROR(__xludf.DUMMYFUNCTION("""COMPUTED_VALUE"""),0.0)</f>
        <v>0</v>
      </c>
      <c r="M634" s="504">
        <f>IFERROR(__xludf.DUMMYFUNCTION("""COMPUTED_VALUE"""),0.0)</f>
        <v>0</v>
      </c>
      <c r="N634" s="504">
        <f>IFERROR(__xludf.DUMMYFUNCTION("""COMPUTED_VALUE"""),0.0)</f>
        <v>0</v>
      </c>
      <c r="O634" s="62"/>
      <c r="P634" s="62"/>
      <c r="Q634" s="62"/>
      <c r="R634" s="62"/>
      <c r="S634" s="62"/>
      <c r="T634" s="62"/>
      <c r="U634" s="62"/>
      <c r="V634" s="62"/>
      <c r="W634" s="62"/>
      <c r="X634" s="62"/>
      <c r="Y634" s="62"/>
      <c r="Z634" s="62"/>
    </row>
    <row r="635">
      <c r="A635" s="62"/>
      <c r="B635" s="62" t="str">
        <f>IFERROR(__xludf.DUMMYFUNCTION("""COMPUTED_VALUE"""),"しょうま")</f>
        <v>しょうま</v>
      </c>
      <c r="C635" s="62"/>
      <c r="D635" s="62"/>
      <c r="E635" s="62"/>
      <c r="F635" s="62"/>
      <c r="G635" s="504">
        <f>IFERROR(__xludf.DUMMYFUNCTION("""COMPUTED_VALUE"""),0.0)</f>
        <v>0</v>
      </c>
      <c r="H635" s="62"/>
      <c r="I635" s="62"/>
      <c r="J635" s="62"/>
      <c r="K635" s="62"/>
      <c r="L635" s="504">
        <f>IFERROR(__xludf.DUMMYFUNCTION("""COMPUTED_VALUE"""),0.0)</f>
        <v>0</v>
      </c>
      <c r="M635" s="504">
        <f>IFERROR(__xludf.DUMMYFUNCTION("""COMPUTED_VALUE"""),0.0)</f>
        <v>0</v>
      </c>
      <c r="N635" s="504">
        <f>IFERROR(__xludf.DUMMYFUNCTION("""COMPUTED_VALUE"""),0.0)</f>
        <v>0</v>
      </c>
      <c r="O635" s="62"/>
      <c r="P635" s="62"/>
      <c r="Q635" s="62"/>
      <c r="R635" s="62"/>
      <c r="S635" s="62"/>
      <c r="T635" s="62"/>
      <c r="U635" s="62"/>
      <c r="V635" s="62"/>
      <c r="W635" s="62"/>
      <c r="X635" s="62"/>
      <c r="Y635" s="62"/>
      <c r="Z635" s="62"/>
    </row>
    <row r="636">
      <c r="A636" s="62"/>
      <c r="B636" s="62"/>
      <c r="C636" s="62"/>
      <c r="D636" s="62"/>
      <c r="E636" s="62"/>
      <c r="F636" s="62"/>
      <c r="G636" s="504">
        <f>IFERROR(__xludf.DUMMYFUNCTION("""COMPUTED_VALUE"""),0.0)</f>
        <v>0</v>
      </c>
      <c r="H636" s="62"/>
      <c r="I636" s="62"/>
      <c r="J636" s="62"/>
      <c r="K636" s="62"/>
      <c r="L636" s="504">
        <f>IFERROR(__xludf.DUMMYFUNCTION("""COMPUTED_VALUE"""),0.0)</f>
        <v>0</v>
      </c>
      <c r="M636" s="504">
        <f>IFERROR(__xludf.DUMMYFUNCTION("""COMPUTED_VALUE"""),0.0)</f>
        <v>0</v>
      </c>
      <c r="N636" s="504">
        <f>IFERROR(__xludf.DUMMYFUNCTION("""COMPUTED_VALUE"""),0.0)</f>
        <v>0</v>
      </c>
      <c r="O636" s="62"/>
      <c r="P636" s="62"/>
      <c r="Q636" s="62"/>
      <c r="R636" s="62"/>
      <c r="S636" s="62"/>
      <c r="T636" s="62"/>
      <c r="U636" s="62"/>
      <c r="V636" s="62"/>
      <c r="W636" s="62"/>
      <c r="X636" s="62"/>
      <c r="Y636" s="62"/>
      <c r="Z636" s="62"/>
    </row>
    <row r="637">
      <c r="A637" s="62"/>
      <c r="B637" s="62" t="str">
        <f>IFERROR(__xludf.DUMMYFUNCTION("""COMPUTED_VALUE"""),"ジョーナ")</f>
        <v>ジョーナ</v>
      </c>
      <c r="C637" s="62"/>
      <c r="D637" s="62"/>
      <c r="E637" s="62"/>
      <c r="F637" s="62"/>
      <c r="G637" s="504">
        <f>IFERROR(__xludf.DUMMYFUNCTION("""COMPUTED_VALUE"""),0.0)</f>
        <v>0</v>
      </c>
      <c r="H637" s="62"/>
      <c r="I637" s="62"/>
      <c r="J637" s="62"/>
      <c r="K637" s="62"/>
      <c r="L637" s="504">
        <f>IFERROR(__xludf.DUMMYFUNCTION("""COMPUTED_VALUE"""),0.0)</f>
        <v>0</v>
      </c>
      <c r="M637" s="504">
        <f>IFERROR(__xludf.DUMMYFUNCTION("""COMPUTED_VALUE"""),0.0)</f>
        <v>0</v>
      </c>
      <c r="N637" s="504">
        <f>IFERROR(__xludf.DUMMYFUNCTION("""COMPUTED_VALUE"""),0.0)</f>
        <v>0</v>
      </c>
      <c r="O637" s="62"/>
      <c r="P637" s="62"/>
      <c r="Q637" s="62"/>
      <c r="R637" s="62"/>
      <c r="S637" s="62"/>
      <c r="T637" s="62"/>
      <c r="U637" s="62"/>
      <c r="V637" s="62"/>
      <c r="W637" s="62"/>
      <c r="X637" s="62"/>
      <c r="Y637" s="62"/>
      <c r="Z637" s="62"/>
    </row>
    <row r="638">
      <c r="A638" s="62"/>
      <c r="B638" s="62" t="str">
        <f>IFERROR(__xludf.DUMMYFUNCTION("""COMPUTED_VALUE"""),"武田")</f>
        <v>武田</v>
      </c>
      <c r="C638" s="62"/>
      <c r="D638" s="62"/>
      <c r="E638" s="62"/>
      <c r="F638" s="62"/>
      <c r="G638" s="504">
        <f>IFERROR(__xludf.DUMMYFUNCTION("""COMPUTED_VALUE"""),0.0)</f>
        <v>0</v>
      </c>
      <c r="H638" s="62"/>
      <c r="I638" s="62"/>
      <c r="J638" s="62"/>
      <c r="K638" s="62"/>
      <c r="L638" s="504">
        <f>IFERROR(__xludf.DUMMYFUNCTION("""COMPUTED_VALUE"""),0.0)</f>
        <v>0</v>
      </c>
      <c r="M638" s="504">
        <f>IFERROR(__xludf.DUMMYFUNCTION("""COMPUTED_VALUE"""),0.0)</f>
        <v>0</v>
      </c>
      <c r="N638" s="504">
        <f>IFERROR(__xludf.DUMMYFUNCTION("""COMPUTED_VALUE"""),0.0)</f>
        <v>0</v>
      </c>
      <c r="O638" s="62"/>
      <c r="P638" s="62"/>
      <c r="Q638" s="62"/>
      <c r="R638" s="62"/>
      <c r="S638" s="62"/>
      <c r="T638" s="62"/>
      <c r="U638" s="62"/>
      <c r="V638" s="62"/>
      <c r="W638" s="62"/>
      <c r="X638" s="62"/>
      <c r="Y638" s="62"/>
      <c r="Z638" s="62"/>
    </row>
    <row r="639">
      <c r="A639" s="62"/>
      <c r="B639" s="62" t="str">
        <f>IFERROR(__xludf.DUMMYFUNCTION("""COMPUTED_VALUE"""),"高木")</f>
        <v>高木</v>
      </c>
      <c r="C639" s="62"/>
      <c r="D639" s="62"/>
      <c r="E639" s="62"/>
      <c r="F639" s="62"/>
      <c r="G639" s="504">
        <f>IFERROR(__xludf.DUMMYFUNCTION("""COMPUTED_VALUE"""),0.0)</f>
        <v>0</v>
      </c>
      <c r="H639" s="62"/>
      <c r="I639" s="62"/>
      <c r="J639" s="62"/>
      <c r="K639" s="62"/>
      <c r="L639" s="504">
        <f>IFERROR(__xludf.DUMMYFUNCTION("""COMPUTED_VALUE"""),0.0)</f>
        <v>0</v>
      </c>
      <c r="M639" s="504">
        <f>IFERROR(__xludf.DUMMYFUNCTION("""COMPUTED_VALUE"""),0.0)</f>
        <v>0</v>
      </c>
      <c r="N639" s="504">
        <f>IFERROR(__xludf.DUMMYFUNCTION("""COMPUTED_VALUE"""),0.0)</f>
        <v>0</v>
      </c>
      <c r="O639" s="62"/>
      <c r="P639" s="62"/>
      <c r="Q639" s="62"/>
      <c r="R639" s="62"/>
      <c r="S639" s="62"/>
      <c r="T639" s="62"/>
      <c r="U639" s="62"/>
      <c r="V639" s="62"/>
      <c r="W639" s="62"/>
      <c r="X639" s="62"/>
      <c r="Y639" s="62"/>
      <c r="Z639" s="62"/>
    </row>
    <row r="640">
      <c r="A640" s="62"/>
      <c r="B640" s="62"/>
      <c r="C640" s="62"/>
      <c r="D640" s="62"/>
      <c r="E640" s="62"/>
      <c r="F640" s="62"/>
      <c r="G640" s="504">
        <f>IFERROR(__xludf.DUMMYFUNCTION("""COMPUTED_VALUE"""),0.0)</f>
        <v>0</v>
      </c>
      <c r="H640" s="62"/>
      <c r="I640" s="62"/>
      <c r="J640" s="62"/>
      <c r="K640" s="62"/>
      <c r="L640" s="504">
        <f>IFERROR(__xludf.DUMMYFUNCTION("""COMPUTED_VALUE"""),0.0)</f>
        <v>0</v>
      </c>
      <c r="M640" s="504">
        <f>IFERROR(__xludf.DUMMYFUNCTION("""COMPUTED_VALUE"""),0.0)</f>
        <v>0</v>
      </c>
      <c r="N640" s="504">
        <f>IFERROR(__xludf.DUMMYFUNCTION("""COMPUTED_VALUE"""),0.0)</f>
        <v>0</v>
      </c>
      <c r="O640" s="62"/>
      <c r="P640" s="62"/>
      <c r="Q640" s="62"/>
      <c r="R640" s="62"/>
      <c r="S640" s="62"/>
      <c r="T640" s="62"/>
      <c r="U640" s="62"/>
      <c r="V640" s="62"/>
      <c r="W640" s="62"/>
      <c r="X640" s="62"/>
      <c r="Y640" s="62"/>
      <c r="Z640" s="62"/>
    </row>
    <row r="641">
      <c r="A641" s="62"/>
      <c r="B641" s="62" t="str">
        <f>IFERROR(__xludf.DUMMYFUNCTION("""COMPUTED_VALUE"""),"大谷")</f>
        <v>大谷</v>
      </c>
      <c r="C641" s="62"/>
      <c r="D641" s="62"/>
      <c r="E641" s="62"/>
      <c r="F641" s="62"/>
      <c r="G641" s="504">
        <f>IFERROR(__xludf.DUMMYFUNCTION("""COMPUTED_VALUE"""),0.0)</f>
        <v>0</v>
      </c>
      <c r="H641" s="62"/>
      <c r="I641" s="62"/>
      <c r="J641" s="62"/>
      <c r="K641" s="62"/>
      <c r="L641" s="504">
        <f>IFERROR(__xludf.DUMMYFUNCTION("""COMPUTED_VALUE"""),0.0)</f>
        <v>0</v>
      </c>
      <c r="M641" s="504">
        <f>IFERROR(__xludf.DUMMYFUNCTION("""COMPUTED_VALUE"""),0.0)</f>
        <v>0</v>
      </c>
      <c r="N641" s="504">
        <f>IFERROR(__xludf.DUMMYFUNCTION("""COMPUTED_VALUE"""),0.0)</f>
        <v>0</v>
      </c>
      <c r="O641" s="62"/>
      <c r="P641" s="62"/>
      <c r="Q641" s="62"/>
      <c r="R641" s="62"/>
      <c r="S641" s="62"/>
      <c r="T641" s="62"/>
      <c r="U641" s="62"/>
      <c r="V641" s="62"/>
      <c r="W641" s="62"/>
      <c r="X641" s="62"/>
      <c r="Y641" s="62"/>
      <c r="Z641" s="62"/>
    </row>
    <row r="642">
      <c r="A642" s="62"/>
      <c r="B642" s="62"/>
      <c r="C642" s="62"/>
      <c r="D642" s="62"/>
      <c r="E642" s="62"/>
      <c r="F642" s="62"/>
      <c r="G642" s="504">
        <f>IFERROR(__xludf.DUMMYFUNCTION("""COMPUTED_VALUE"""),0.0)</f>
        <v>0</v>
      </c>
      <c r="H642" s="62"/>
      <c r="I642" s="62"/>
      <c r="J642" s="62"/>
      <c r="K642" s="62"/>
      <c r="L642" s="504">
        <f>IFERROR(__xludf.DUMMYFUNCTION("""COMPUTED_VALUE"""),0.0)</f>
        <v>0</v>
      </c>
      <c r="M642" s="504">
        <f>IFERROR(__xludf.DUMMYFUNCTION("""COMPUTED_VALUE"""),0.0)</f>
        <v>0</v>
      </c>
      <c r="N642" s="504">
        <f>IFERROR(__xludf.DUMMYFUNCTION("""COMPUTED_VALUE"""),0.0)</f>
        <v>0</v>
      </c>
      <c r="O642" s="62"/>
      <c r="P642" s="62"/>
      <c r="Q642" s="62"/>
      <c r="R642" s="62"/>
      <c r="S642" s="62"/>
      <c r="T642" s="62"/>
      <c r="U642" s="62"/>
      <c r="V642" s="62"/>
      <c r="W642" s="62"/>
      <c r="X642" s="62"/>
      <c r="Y642" s="62"/>
      <c r="Z642" s="62"/>
    </row>
    <row r="643">
      <c r="A643" s="62"/>
      <c r="B643" s="62" t="str">
        <f>IFERROR(__xludf.DUMMYFUNCTION("""COMPUTED_VALUE"""),"森")</f>
        <v>森</v>
      </c>
      <c r="C643" s="62"/>
      <c r="D643" s="62"/>
      <c r="E643" s="62"/>
      <c r="F643" s="62"/>
      <c r="G643" s="504">
        <f>IFERROR(__xludf.DUMMYFUNCTION("""COMPUTED_VALUE"""),0.0)</f>
        <v>0</v>
      </c>
      <c r="H643" s="62"/>
      <c r="I643" s="62"/>
      <c r="J643" s="62"/>
      <c r="K643" s="62"/>
      <c r="L643" s="504">
        <f>IFERROR(__xludf.DUMMYFUNCTION("""COMPUTED_VALUE"""),0.0)</f>
        <v>0</v>
      </c>
      <c r="M643" s="504">
        <f>IFERROR(__xludf.DUMMYFUNCTION("""COMPUTED_VALUE"""),0.0)</f>
        <v>0</v>
      </c>
      <c r="N643" s="504">
        <f>IFERROR(__xludf.DUMMYFUNCTION("""COMPUTED_VALUE"""),0.0)</f>
        <v>0</v>
      </c>
      <c r="O643" s="62"/>
      <c r="P643" s="62"/>
      <c r="Q643" s="62"/>
      <c r="R643" s="62"/>
      <c r="S643" s="62"/>
      <c r="T643" s="62"/>
      <c r="U643" s="62"/>
      <c r="V643" s="62"/>
      <c r="W643" s="62"/>
      <c r="X643" s="62"/>
      <c r="Y643" s="62"/>
      <c r="Z643" s="62"/>
    </row>
    <row r="644">
      <c r="A644" s="62"/>
      <c r="B644" s="62"/>
      <c r="C644" s="62"/>
      <c r="D644" s="62"/>
      <c r="E644" s="62"/>
      <c r="F644" s="62"/>
      <c r="G644" s="504">
        <f>IFERROR(__xludf.DUMMYFUNCTION("""COMPUTED_VALUE"""),0.0)</f>
        <v>0</v>
      </c>
      <c r="H644" s="62"/>
      <c r="I644" s="62"/>
      <c r="J644" s="62"/>
      <c r="K644" s="62"/>
      <c r="L644" s="504">
        <f>IFERROR(__xludf.DUMMYFUNCTION("""COMPUTED_VALUE"""),0.0)</f>
        <v>0</v>
      </c>
      <c r="M644" s="504">
        <f>IFERROR(__xludf.DUMMYFUNCTION("""COMPUTED_VALUE"""),0.0)</f>
        <v>0</v>
      </c>
      <c r="N644" s="504">
        <f>IFERROR(__xludf.DUMMYFUNCTION("""COMPUTED_VALUE"""),0.0)</f>
        <v>0</v>
      </c>
      <c r="O644" s="62"/>
      <c r="P644" s="62"/>
      <c r="Q644" s="62"/>
      <c r="R644" s="62"/>
      <c r="S644" s="62"/>
      <c r="T644" s="62"/>
      <c r="U644" s="62"/>
      <c r="V644" s="62"/>
      <c r="W644" s="62"/>
      <c r="X644" s="62"/>
      <c r="Y644" s="62"/>
      <c r="Z644" s="62"/>
    </row>
    <row r="645">
      <c r="A645" s="62"/>
      <c r="B645" s="62" t="str">
        <f>IFERROR(__xludf.DUMMYFUNCTION("""COMPUTED_VALUE"""),"金子")</f>
        <v>金子</v>
      </c>
      <c r="C645" s="62"/>
      <c r="D645" s="62"/>
      <c r="E645" s="62"/>
      <c r="F645" s="62"/>
      <c r="G645" s="504">
        <f>IFERROR(__xludf.DUMMYFUNCTION("""COMPUTED_VALUE"""),0.0)</f>
        <v>0</v>
      </c>
      <c r="H645" s="62"/>
      <c r="I645" s="62"/>
      <c r="J645" s="62"/>
      <c r="K645" s="62"/>
      <c r="L645" s="504">
        <f>IFERROR(__xludf.DUMMYFUNCTION("""COMPUTED_VALUE"""),0.0)</f>
        <v>0</v>
      </c>
      <c r="M645" s="504">
        <f>IFERROR(__xludf.DUMMYFUNCTION("""COMPUTED_VALUE"""),0.0)</f>
        <v>0</v>
      </c>
      <c r="N645" s="504">
        <f>IFERROR(__xludf.DUMMYFUNCTION("""COMPUTED_VALUE"""),0.0)</f>
        <v>0</v>
      </c>
      <c r="O645" s="62"/>
      <c r="P645" s="62"/>
      <c r="Q645" s="62"/>
      <c r="R645" s="62"/>
      <c r="S645" s="62"/>
      <c r="T645" s="62"/>
      <c r="U645" s="62"/>
      <c r="V645" s="62"/>
      <c r="W645" s="62"/>
      <c r="X645" s="62"/>
      <c r="Y645" s="62"/>
      <c r="Z645" s="62"/>
    </row>
    <row r="646">
      <c r="A646" s="62"/>
      <c r="B646" s="62"/>
      <c r="C646" s="62"/>
      <c r="D646" s="62"/>
      <c r="E646" s="62"/>
      <c r="F646" s="62"/>
      <c r="G646" s="504">
        <f>IFERROR(__xludf.DUMMYFUNCTION("""COMPUTED_VALUE"""),0.0)</f>
        <v>0</v>
      </c>
      <c r="H646" s="62"/>
      <c r="I646" s="62"/>
      <c r="J646" s="62"/>
      <c r="K646" s="62"/>
      <c r="L646" s="504">
        <f>IFERROR(__xludf.DUMMYFUNCTION("""COMPUTED_VALUE"""),0.0)</f>
        <v>0</v>
      </c>
      <c r="M646" s="504">
        <f>IFERROR(__xludf.DUMMYFUNCTION("""COMPUTED_VALUE"""),0.0)</f>
        <v>0</v>
      </c>
      <c r="N646" s="504">
        <f>IFERROR(__xludf.DUMMYFUNCTION("""COMPUTED_VALUE"""),0.0)</f>
        <v>0</v>
      </c>
      <c r="O646" s="62"/>
      <c r="P646" s="62"/>
      <c r="Q646" s="62"/>
      <c r="R646" s="62"/>
      <c r="S646" s="62"/>
      <c r="T646" s="62"/>
      <c r="U646" s="62"/>
      <c r="V646" s="62"/>
      <c r="W646" s="62"/>
      <c r="X646" s="62"/>
      <c r="Y646" s="62"/>
      <c r="Z646" s="62"/>
    </row>
    <row r="647">
      <c r="A647" s="62"/>
      <c r="B647" s="552" t="str">
        <f>IFERROR(__xludf.DUMMYFUNCTION("""COMPUTED_VALUE"""),"SMS")</f>
        <v>SMS</v>
      </c>
      <c r="C647" s="62"/>
      <c r="D647" s="62"/>
      <c r="E647" s="62"/>
      <c r="F647" s="62"/>
      <c r="G647" s="504">
        <f>IFERROR(__xludf.DUMMYFUNCTION("""COMPUTED_VALUE"""),0.0)</f>
        <v>0</v>
      </c>
      <c r="H647" s="62"/>
      <c r="I647" s="62"/>
      <c r="J647" s="62"/>
      <c r="K647" s="62"/>
      <c r="L647" s="504">
        <f>IFERROR(__xludf.DUMMYFUNCTION("""COMPUTED_VALUE"""),0.0)</f>
        <v>0</v>
      </c>
      <c r="M647" s="504">
        <f>IFERROR(__xludf.DUMMYFUNCTION("""COMPUTED_VALUE"""),0.0)</f>
        <v>0</v>
      </c>
      <c r="N647" s="504">
        <f>IFERROR(__xludf.DUMMYFUNCTION("""COMPUTED_VALUE"""),0.0)</f>
        <v>0</v>
      </c>
      <c r="O647" s="62"/>
      <c r="P647" s="62"/>
      <c r="Q647" s="62"/>
      <c r="R647" s="62"/>
      <c r="S647" s="62"/>
      <c r="T647" s="62"/>
      <c r="U647" s="62"/>
      <c r="V647" s="62"/>
      <c r="W647" s="62"/>
      <c r="X647" s="62"/>
      <c r="Y647" s="62"/>
      <c r="Z647" s="62"/>
    </row>
    <row r="648">
      <c r="A648" s="62"/>
      <c r="B648" s="62" t="str">
        <f>IFERROR(__xludf.DUMMYFUNCTION("""COMPUTED_VALUE"""),"紹介")</f>
        <v>紹介</v>
      </c>
      <c r="C648" s="62"/>
      <c r="D648" s="62"/>
      <c r="E648" s="62"/>
      <c r="F648" s="62"/>
      <c r="G648" s="504">
        <f>IFERROR(__xludf.DUMMYFUNCTION("""COMPUTED_VALUE"""),0.0)</f>
        <v>0</v>
      </c>
      <c r="H648" s="62"/>
      <c r="I648" s="62"/>
      <c r="J648" s="62"/>
      <c r="K648" s="62"/>
      <c r="L648" s="504">
        <f>IFERROR(__xludf.DUMMYFUNCTION("""COMPUTED_VALUE"""),0.0)</f>
        <v>0</v>
      </c>
      <c r="M648" s="504">
        <f>IFERROR(__xludf.DUMMYFUNCTION("""COMPUTED_VALUE"""),0.0)</f>
        <v>0</v>
      </c>
      <c r="N648" s="504">
        <f>IFERROR(__xludf.DUMMYFUNCTION("""COMPUTED_VALUE"""),0.0)</f>
        <v>0</v>
      </c>
      <c r="O648" s="62"/>
      <c r="P648" s="62"/>
      <c r="Q648" s="62"/>
      <c r="R648" s="62"/>
      <c r="S648" s="62"/>
      <c r="T648" s="62"/>
      <c r="U648" s="62"/>
      <c r="V648" s="62"/>
      <c r="W648" s="62"/>
      <c r="X648" s="62"/>
      <c r="Y648" s="62"/>
      <c r="Z648" s="62"/>
    </row>
    <row r="649">
      <c r="A649" s="62"/>
      <c r="B649" s="62" t="str">
        <f>IFERROR(__xludf.DUMMYFUNCTION("""COMPUTED_VALUE"""),"仁子")</f>
        <v>仁子</v>
      </c>
      <c r="C649" s="62"/>
      <c r="D649" s="62"/>
      <c r="E649" s="62"/>
      <c r="F649" s="62"/>
      <c r="G649" s="504">
        <f>IFERROR(__xludf.DUMMYFUNCTION("""COMPUTED_VALUE"""),0.0)</f>
        <v>0</v>
      </c>
      <c r="H649" s="62"/>
      <c r="I649" s="62"/>
      <c r="J649" s="62"/>
      <c r="K649" s="62"/>
      <c r="L649" s="504">
        <f>IFERROR(__xludf.DUMMYFUNCTION("""COMPUTED_VALUE"""),0.0)</f>
        <v>0</v>
      </c>
      <c r="M649" s="504">
        <f>IFERROR(__xludf.DUMMYFUNCTION("""COMPUTED_VALUE"""),0.0)</f>
        <v>0</v>
      </c>
      <c r="N649" s="504">
        <f>IFERROR(__xludf.DUMMYFUNCTION("""COMPUTED_VALUE"""),0.0)</f>
        <v>0</v>
      </c>
      <c r="O649" s="62"/>
      <c r="P649" s="62"/>
      <c r="Q649" s="62"/>
      <c r="R649" s="62"/>
      <c r="S649" s="62"/>
      <c r="T649" s="62"/>
      <c r="U649" s="62"/>
      <c r="V649" s="62"/>
      <c r="W649" s="62"/>
      <c r="X649" s="62"/>
      <c r="Y649" s="62"/>
      <c r="Z649" s="62"/>
    </row>
    <row r="650">
      <c r="A650" s="62"/>
      <c r="B650" s="62" t="str">
        <f>IFERROR(__xludf.DUMMYFUNCTION("""COMPUTED_VALUE"""),"鈴木")</f>
        <v>鈴木</v>
      </c>
      <c r="C650" s="62"/>
      <c r="D650" s="62"/>
      <c r="E650" s="62"/>
      <c r="F650" s="62"/>
      <c r="G650" s="504">
        <f>IFERROR(__xludf.DUMMYFUNCTION("""COMPUTED_VALUE"""),0.0)</f>
        <v>0</v>
      </c>
      <c r="H650" s="62"/>
      <c r="I650" s="62"/>
      <c r="J650" s="62"/>
      <c r="K650" s="62"/>
      <c r="L650" s="504">
        <f>IFERROR(__xludf.DUMMYFUNCTION("""COMPUTED_VALUE"""),0.0)</f>
        <v>0</v>
      </c>
      <c r="M650" s="504">
        <f>IFERROR(__xludf.DUMMYFUNCTION("""COMPUTED_VALUE"""),0.0)</f>
        <v>0</v>
      </c>
      <c r="N650" s="504">
        <f>IFERROR(__xludf.DUMMYFUNCTION("""COMPUTED_VALUE"""),0.0)</f>
        <v>0</v>
      </c>
      <c r="O650" s="62"/>
      <c r="P650" s="62"/>
      <c r="Q650" s="62"/>
      <c r="R650" s="62"/>
      <c r="S650" s="62"/>
      <c r="T650" s="62"/>
      <c r="U650" s="62"/>
      <c r="V650" s="62"/>
      <c r="W650" s="62"/>
      <c r="X650" s="62"/>
      <c r="Y650" s="62"/>
      <c r="Z650" s="62"/>
    </row>
    <row r="651">
      <c r="A651" s="62"/>
      <c r="B651" s="62" t="str">
        <f>IFERROR(__xludf.DUMMYFUNCTION("""COMPUTED_VALUE"""),"仲間")</f>
        <v>仲間</v>
      </c>
      <c r="C651" s="62"/>
      <c r="D651" s="62"/>
      <c r="E651" s="62"/>
      <c r="F651" s="62"/>
      <c r="G651" s="504">
        <f>IFERROR(__xludf.DUMMYFUNCTION("""COMPUTED_VALUE"""),0.0)</f>
        <v>0</v>
      </c>
      <c r="H651" s="62"/>
      <c r="I651" s="62"/>
      <c r="J651" s="62"/>
      <c r="K651" s="62"/>
      <c r="L651" s="504">
        <f>IFERROR(__xludf.DUMMYFUNCTION("""COMPUTED_VALUE"""),0.0)</f>
        <v>0</v>
      </c>
      <c r="M651" s="504">
        <f>IFERROR(__xludf.DUMMYFUNCTION("""COMPUTED_VALUE"""),0.0)</f>
        <v>0</v>
      </c>
      <c r="N651" s="504">
        <f>IFERROR(__xludf.DUMMYFUNCTION("""COMPUTED_VALUE"""),0.0)</f>
        <v>0</v>
      </c>
      <c r="O651" s="62"/>
      <c r="P651" s="62"/>
      <c r="Q651" s="62"/>
      <c r="R651" s="62"/>
      <c r="S651" s="62"/>
      <c r="T651" s="62"/>
      <c r="U651" s="62"/>
      <c r="V651" s="62"/>
      <c r="W651" s="62"/>
      <c r="X651" s="62"/>
      <c r="Y651" s="62"/>
      <c r="Z651" s="62"/>
    </row>
    <row r="652">
      <c r="A652" s="62"/>
      <c r="B652" s="62"/>
      <c r="C652" s="62"/>
      <c r="D652" s="62"/>
      <c r="E652" s="62"/>
      <c r="F652" s="62"/>
      <c r="G652" s="504">
        <f>IFERROR(__xludf.DUMMYFUNCTION("""COMPUTED_VALUE"""),0.0)</f>
        <v>0</v>
      </c>
      <c r="H652" s="62"/>
      <c r="I652" s="62"/>
      <c r="J652" s="62"/>
      <c r="K652" s="62"/>
      <c r="L652" s="504">
        <f>IFERROR(__xludf.DUMMYFUNCTION("""COMPUTED_VALUE"""),0.0)</f>
        <v>0</v>
      </c>
      <c r="M652" s="504">
        <f>IFERROR(__xludf.DUMMYFUNCTION("""COMPUTED_VALUE"""),0.0)</f>
        <v>0</v>
      </c>
      <c r="N652" s="504">
        <f>IFERROR(__xludf.DUMMYFUNCTION("""COMPUTED_VALUE"""),0.0)</f>
        <v>0</v>
      </c>
      <c r="O652" s="62"/>
      <c r="P652" s="62"/>
      <c r="Q652" s="62"/>
      <c r="R652" s="62"/>
      <c r="S652" s="62"/>
      <c r="T652" s="62"/>
      <c r="U652" s="62"/>
      <c r="V652" s="62"/>
      <c r="W652" s="62"/>
      <c r="X652" s="62"/>
      <c r="Y652" s="62"/>
      <c r="Z652" s="62"/>
    </row>
    <row r="653">
      <c r="A653" s="62"/>
      <c r="B653" s="62" t="str">
        <f>IFERROR(__xludf.DUMMYFUNCTION("""COMPUTED_VALUE"""),"合計")</f>
        <v>合計</v>
      </c>
      <c r="C653" s="62">
        <f>IFERROR(__xludf.DUMMYFUNCTION("""COMPUTED_VALUE"""),0.0)</f>
        <v>0</v>
      </c>
      <c r="D653" s="62">
        <f>IFERROR(__xludf.DUMMYFUNCTION("""COMPUTED_VALUE"""),0.0)</f>
        <v>0</v>
      </c>
      <c r="E653" s="62">
        <f>IFERROR(__xludf.DUMMYFUNCTION("""COMPUTED_VALUE"""),0.0)</f>
        <v>0</v>
      </c>
      <c r="F653" s="62">
        <f>IFERROR(__xludf.DUMMYFUNCTION("""COMPUTED_VALUE"""),0.0)</f>
        <v>0</v>
      </c>
      <c r="G653" s="504">
        <f>IFERROR(__xludf.DUMMYFUNCTION("""COMPUTED_VALUE"""),0.0)</f>
        <v>0</v>
      </c>
      <c r="H653" s="62">
        <f>IFERROR(__xludf.DUMMYFUNCTION("""COMPUTED_VALUE"""),0.0)</f>
        <v>0</v>
      </c>
      <c r="I653" s="62">
        <f>IFERROR(__xludf.DUMMYFUNCTION("""COMPUTED_VALUE"""),0.0)</f>
        <v>0</v>
      </c>
      <c r="J653" s="552">
        <f>IFERROR(__xludf.DUMMYFUNCTION("""COMPUTED_VALUE"""),0.0)</f>
        <v>0</v>
      </c>
      <c r="K653" s="62">
        <f>IFERROR(__xludf.DUMMYFUNCTION("""COMPUTED_VALUE"""),0.0)</f>
        <v>0</v>
      </c>
      <c r="L653" s="504">
        <f>IFERROR(__xludf.DUMMYFUNCTION("""COMPUTED_VALUE"""),0.0)</f>
        <v>0</v>
      </c>
      <c r="M653" s="504">
        <f>IFERROR(__xludf.DUMMYFUNCTION("""COMPUTED_VALUE"""),0.0)</f>
        <v>0</v>
      </c>
      <c r="N653" s="504">
        <f>IFERROR(__xludf.DUMMYFUNCTION("""COMPUTED_VALUE"""),0.0)</f>
        <v>0</v>
      </c>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tr">
        <f>IFERROR(__xludf.DUMMYFUNCTION("IMPORTRANGE(""1vYc4iTJ16E7R6SUnGhwdB4aOJULuweZOJUwnvK3B2Ug"", ""2025年9月D!A1:Z3000"")"),"#REF!")</f>
        <v>#REF!</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tr">
        <f>IFERROR(__xludf.DUMMYFUNCTION("IMPORTRANGE(""1vYc4iTJ16E7R6SUnGhwdB4aOJULuweZOJUwnvK3B2Ug"", ""顧客リストD!A1:AP5000"")"),"#REF!")</f>
        <v>#REF!</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c r="H1" s="9"/>
      <c r="I1" s="9"/>
      <c r="J1" s="9"/>
    </row>
    <row r="2">
      <c r="A2" s="514"/>
      <c r="B2" s="512" t="s">
        <v>257</v>
      </c>
      <c r="C2" s="512">
        <v>9997.0</v>
      </c>
      <c r="D2" s="511"/>
      <c r="E2" s="511"/>
      <c r="F2" s="511"/>
      <c r="G2" s="6"/>
      <c r="H2" s="6"/>
      <c r="I2" s="6"/>
      <c r="J2" s="6"/>
    </row>
    <row r="3">
      <c r="A3" s="514"/>
      <c r="B3" s="512" t="s">
        <v>260</v>
      </c>
      <c r="C3" s="512">
        <v>9829.0</v>
      </c>
      <c r="D3" s="515">
        <f>C3/C2</f>
        <v>0.9831949585</v>
      </c>
      <c r="E3" s="511"/>
      <c r="F3" s="511"/>
      <c r="G3" s="6"/>
      <c r="H3" s="6"/>
      <c r="I3" s="6"/>
      <c r="J3" s="6"/>
    </row>
    <row r="4">
      <c r="A4" s="514"/>
      <c r="B4" s="512" t="s">
        <v>261</v>
      </c>
      <c r="C4" s="512">
        <v>3810.0</v>
      </c>
      <c r="D4" s="515">
        <f>C4/C2</f>
        <v>0.3811143343</v>
      </c>
      <c r="E4" s="515">
        <f>C4/C3</f>
        <v>0.3876284464</v>
      </c>
      <c r="F4" s="511"/>
      <c r="G4" s="6"/>
      <c r="H4" s="6"/>
      <c r="I4" s="6"/>
      <c r="J4" s="6"/>
    </row>
    <row r="5">
      <c r="A5" s="514"/>
      <c r="B5" s="512" t="s">
        <v>266</v>
      </c>
      <c r="C5" s="512">
        <v>48.0</v>
      </c>
      <c r="D5" s="515">
        <f>C5/C2</f>
        <v>0.004801440432</v>
      </c>
      <c r="E5" s="515">
        <f>C5/C3</f>
        <v>0.004883507987</v>
      </c>
      <c r="F5" s="515">
        <f>C5/C4</f>
        <v>0.0125984252</v>
      </c>
      <c r="G5" s="6"/>
      <c r="H5" s="6"/>
      <c r="I5" s="6"/>
      <c r="J5" s="6"/>
    </row>
    <row r="6">
      <c r="A6" s="514"/>
      <c r="B6" s="512" t="s">
        <v>267</v>
      </c>
      <c r="C6" s="517">
        <v>78.0</v>
      </c>
      <c r="D6" s="515">
        <f>C6/C2</f>
        <v>0.007802340702</v>
      </c>
      <c r="E6" s="515">
        <f>C6/C3</f>
        <v>0.007935700478</v>
      </c>
      <c r="F6" s="515">
        <f>C6/C4</f>
        <v>0.02047244094</v>
      </c>
      <c r="G6" s="517"/>
      <c r="H6" s="518"/>
      <c r="I6" s="6"/>
      <c r="J6" s="6"/>
    </row>
    <row r="7">
      <c r="A7" s="514"/>
      <c r="B7" s="512" t="s">
        <v>319</v>
      </c>
      <c r="C7" s="517">
        <v>60.0</v>
      </c>
      <c r="D7" s="515">
        <f>C7/C2</f>
        <v>0.00600180054</v>
      </c>
      <c r="E7" s="515">
        <f>C7/C3</f>
        <v>0.006104384983</v>
      </c>
      <c r="F7" s="515">
        <f>C7/C4</f>
        <v>0.0157480315</v>
      </c>
      <c r="G7" s="6"/>
      <c r="H7" s="6"/>
      <c r="I7" s="6"/>
      <c r="J7" s="544"/>
    </row>
    <row r="8">
      <c r="A8" s="519"/>
      <c r="B8" s="512" t="s">
        <v>320</v>
      </c>
      <c r="C8" s="520">
        <v>0.7676</v>
      </c>
      <c r="D8" s="515"/>
      <c r="E8" s="515"/>
      <c r="F8" s="515"/>
      <c r="G8" s="6"/>
      <c r="H8" s="6"/>
      <c r="I8" s="6"/>
      <c r="J8" s="544"/>
    </row>
    <row r="9">
      <c r="A9" s="514"/>
      <c r="B9" s="512" t="s">
        <v>269</v>
      </c>
      <c r="C9" s="517">
        <v>12.0</v>
      </c>
      <c r="D9" s="515">
        <f>C9/C2</f>
        <v>0.001200360108</v>
      </c>
      <c r="E9" s="515">
        <f>C9/C3</f>
        <v>0.001220876997</v>
      </c>
      <c r="F9" s="515">
        <f>C9/C4</f>
        <v>0.003149606299</v>
      </c>
      <c r="G9" s="6"/>
      <c r="H9" s="6"/>
      <c r="I9" s="6"/>
      <c r="J9" s="544"/>
    </row>
    <row r="10">
      <c r="A10" s="519"/>
      <c r="B10" s="512" t="s">
        <v>321</v>
      </c>
      <c r="C10" s="520">
        <v>0.2044</v>
      </c>
      <c r="D10" s="515"/>
      <c r="E10" s="515"/>
      <c r="F10" s="515"/>
      <c r="G10" s="6"/>
      <c r="H10" s="6"/>
      <c r="I10" s="6"/>
      <c r="J10" s="544"/>
    </row>
    <row r="11">
      <c r="A11" s="516"/>
      <c r="B11" s="512" t="s">
        <v>322</v>
      </c>
      <c r="C11" s="549" t="s">
        <v>344</v>
      </c>
      <c r="D11" s="515">
        <f>C11/C2</f>
        <v>0.001200360108</v>
      </c>
      <c r="E11" s="515">
        <f>C11/C3</f>
        <v>0.001220876997</v>
      </c>
      <c r="F11" s="515">
        <f>C11/C4</f>
        <v>0.003149606299</v>
      </c>
      <c r="G11" s="6"/>
      <c r="H11" s="6"/>
      <c r="I11" s="6"/>
      <c r="J11" s="544"/>
    </row>
    <row r="12">
      <c r="A12" s="519"/>
      <c r="B12" s="512" t="s">
        <v>323</v>
      </c>
      <c r="C12" s="520">
        <v>0.0984</v>
      </c>
      <c r="D12" s="515"/>
      <c r="E12" s="515"/>
      <c r="F12" s="515"/>
      <c r="G12" s="6"/>
      <c r="H12" s="6"/>
      <c r="I12" s="6"/>
      <c r="J12" s="544"/>
    </row>
    <row r="13">
      <c r="A13" s="516"/>
      <c r="B13" s="512" t="s">
        <v>324</v>
      </c>
      <c r="C13" s="549" t="s">
        <v>345</v>
      </c>
      <c r="D13" s="515">
        <f>C13/C2</f>
        <v>0.003100930279</v>
      </c>
      <c r="E13" s="515">
        <f>C13/C3</f>
        <v>0.003153932241</v>
      </c>
      <c r="F13" s="515">
        <f>C11/C4</f>
        <v>0.003149606299</v>
      </c>
      <c r="G13" s="6"/>
      <c r="H13" s="6"/>
      <c r="I13" s="6"/>
      <c r="J13" s="544"/>
    </row>
    <row r="14">
      <c r="A14" s="519"/>
      <c r="B14" s="512" t="s">
        <v>325</v>
      </c>
      <c r="C14" s="520">
        <v>0.5087</v>
      </c>
      <c r="D14" s="515"/>
      <c r="E14" s="515"/>
      <c r="F14" s="515"/>
      <c r="G14" s="6"/>
      <c r="H14" s="6"/>
      <c r="I14" s="6"/>
      <c r="J14" s="544"/>
    </row>
    <row r="15">
      <c r="A15" s="514"/>
      <c r="B15" s="512" t="s">
        <v>273</v>
      </c>
      <c r="C15" s="517">
        <v>88.0</v>
      </c>
      <c r="D15" s="511"/>
      <c r="E15" s="511"/>
      <c r="F15" s="515"/>
      <c r="G15" s="6"/>
      <c r="H15" s="6"/>
      <c r="I15" s="6"/>
      <c r="J15" s="544"/>
    </row>
    <row r="16">
      <c r="A16" s="514"/>
      <c r="B16" s="512" t="s">
        <v>282</v>
      </c>
      <c r="C16" s="517">
        <v>206.0</v>
      </c>
      <c r="D16" s="511"/>
      <c r="E16" s="511"/>
      <c r="F16" s="511"/>
      <c r="G16" s="6"/>
      <c r="H16" s="6"/>
      <c r="I16" s="6"/>
      <c r="J16" s="544"/>
    </row>
    <row r="17">
      <c r="A17" s="514"/>
      <c r="B17" s="512" t="s">
        <v>283</v>
      </c>
      <c r="C17" s="517">
        <v>284.0</v>
      </c>
      <c r="D17" s="511"/>
      <c r="E17" s="511"/>
      <c r="F17" s="511"/>
      <c r="G17" s="6"/>
      <c r="H17" s="6"/>
      <c r="I17" s="6"/>
      <c r="J17" s="544"/>
    </row>
    <row r="18">
      <c r="A18" s="521"/>
      <c r="B18" s="512" t="s">
        <v>291</v>
      </c>
      <c r="C18" s="522">
        <v>1.910465086E9</v>
      </c>
      <c r="D18" s="523"/>
      <c r="E18" s="523"/>
      <c r="F18" s="523"/>
      <c r="G18" s="6"/>
      <c r="H18" s="6"/>
      <c r="I18" s="6"/>
      <c r="J18" s="544"/>
    </row>
    <row r="19">
      <c r="A19" s="521"/>
      <c r="B19" s="512" t="s">
        <v>292</v>
      </c>
      <c r="C19" s="522">
        <v>1.853512419E9</v>
      </c>
      <c r="D19" s="523"/>
      <c r="E19" s="523"/>
      <c r="F19" s="523"/>
      <c r="G19" s="6"/>
      <c r="H19" s="6"/>
      <c r="I19" s="6"/>
      <c r="J19" s="544"/>
    </row>
    <row r="20">
      <c r="A20" s="519"/>
      <c r="B20" s="512" t="s">
        <v>293</v>
      </c>
      <c r="C20" s="524">
        <v>0.9735</v>
      </c>
      <c r="D20" s="511"/>
      <c r="E20" s="511"/>
      <c r="F20" s="511"/>
      <c r="G20" s="6"/>
      <c r="H20" s="6"/>
      <c r="I20" s="6"/>
      <c r="J20" s="544"/>
    </row>
    <row r="21">
      <c r="A21" s="521"/>
      <c r="B21" s="512" t="s">
        <v>326</v>
      </c>
      <c r="C21" s="522">
        <v>5.6952667E7</v>
      </c>
      <c r="D21" s="511"/>
      <c r="E21" s="511"/>
      <c r="F21" s="511"/>
      <c r="G21" s="6"/>
      <c r="H21" s="6"/>
      <c r="I21" s="6"/>
      <c r="J21" s="544"/>
    </row>
    <row r="22">
      <c r="A22" s="521"/>
      <c r="B22" s="512" t="s">
        <v>295</v>
      </c>
      <c r="C22" s="522">
        <v>389548.0</v>
      </c>
      <c r="D22" s="511"/>
      <c r="E22" s="511"/>
      <c r="F22" s="511"/>
      <c r="G22" s="6"/>
      <c r="H22" s="6"/>
      <c r="I22" s="6"/>
      <c r="J22" s="544"/>
    </row>
    <row r="23">
      <c r="A23" s="526"/>
      <c r="B23" s="512" t="s">
        <v>296</v>
      </c>
      <c r="C23" s="525">
        <v>5.6467301E7</v>
      </c>
      <c r="D23" s="511"/>
      <c r="E23" s="511"/>
      <c r="F23" s="511"/>
      <c r="G23" s="6"/>
      <c r="H23" s="6"/>
      <c r="I23" s="6"/>
      <c r="J23" s="544"/>
    </row>
    <row r="24">
      <c r="A24" s="526"/>
      <c r="B24" s="512" t="s">
        <v>297</v>
      </c>
      <c r="C24" s="525">
        <v>4.1786755E7</v>
      </c>
      <c r="D24" s="511"/>
      <c r="E24" s="511"/>
      <c r="F24" s="511"/>
      <c r="G24" s="6"/>
      <c r="H24" s="6"/>
      <c r="I24" s="6"/>
      <c r="J24" s="544"/>
    </row>
    <row r="25">
      <c r="A25" s="519"/>
      <c r="B25" s="512" t="s">
        <v>327</v>
      </c>
      <c r="C25" s="524">
        <v>0.7400168639191733</v>
      </c>
      <c r="D25" s="513" t="s">
        <v>328</v>
      </c>
      <c r="E25" s="524">
        <v>0.7759</v>
      </c>
      <c r="F25" s="511"/>
      <c r="G25" s="6"/>
      <c r="H25" s="6"/>
      <c r="I25" s="6"/>
      <c r="J25" s="544"/>
    </row>
    <row r="26">
      <c r="A26" s="526"/>
      <c r="B26" s="512" t="s">
        <v>299</v>
      </c>
      <c r="C26" s="525">
        <v>1.3154437E7</v>
      </c>
      <c r="D26" s="512" t="s">
        <v>329</v>
      </c>
      <c r="E26" s="525">
        <v>1396616.0</v>
      </c>
      <c r="F26" s="511"/>
      <c r="G26" s="6"/>
      <c r="H26" s="6"/>
      <c r="I26" s="6"/>
      <c r="J26" s="544"/>
    </row>
    <row r="27">
      <c r="A27" s="527"/>
      <c r="B27" s="512" t="s">
        <v>330</v>
      </c>
      <c r="C27" s="525">
        <f>C24-C26-1612843</f>
        <v>27019475</v>
      </c>
      <c r="D27" s="512" t="s">
        <v>331</v>
      </c>
      <c r="E27" s="504">
        <v>0.030072299778184534</v>
      </c>
      <c r="F27" s="511"/>
      <c r="G27" s="6"/>
      <c r="H27" s="6"/>
      <c r="I27" s="6"/>
      <c r="J27" s="544"/>
    </row>
    <row r="28">
      <c r="A28" s="557"/>
      <c r="B28" s="512" t="s">
        <v>301</v>
      </c>
      <c r="C28" s="522">
        <v>92276.37323943662</v>
      </c>
      <c r="D28" s="512" t="s">
        <v>332</v>
      </c>
      <c r="E28" s="515">
        <v>0.047452013062167064</v>
      </c>
      <c r="F28" s="511"/>
      <c r="G28" s="6"/>
      <c r="H28" s="6"/>
      <c r="I28" s="6"/>
      <c r="J28" s="544"/>
    </row>
    <row r="29">
      <c r="B29" s="512" t="s">
        <v>302</v>
      </c>
      <c r="C29" s="522">
        <v>3559976.0</v>
      </c>
      <c r="D29" s="512" t="s">
        <v>333</v>
      </c>
      <c r="E29" s="515">
        <v>0.0010859991798596426</v>
      </c>
      <c r="F29" s="511"/>
      <c r="G29" s="6"/>
      <c r="H29" s="6"/>
      <c r="I29" s="6"/>
      <c r="J29" s="6"/>
    </row>
    <row r="30">
      <c r="A30" s="527"/>
      <c r="B30" s="512" t="s">
        <v>303</v>
      </c>
      <c r="C30" s="525">
        <f>C27-C29</f>
        <v>23459499</v>
      </c>
      <c r="D30" s="511"/>
      <c r="E30" s="511"/>
      <c r="F30" s="511"/>
      <c r="G30" s="6"/>
      <c r="H30" s="6"/>
      <c r="I30" s="6"/>
      <c r="J30" s="6"/>
    </row>
    <row r="31">
      <c r="B31" s="530" t="s">
        <v>304</v>
      </c>
      <c r="C31" s="546">
        <v>5174440.0</v>
      </c>
      <c r="D31" s="531"/>
      <c r="E31" s="531"/>
      <c r="F31" s="531"/>
      <c r="G31" s="6"/>
      <c r="H31" s="6"/>
      <c r="I31" s="6"/>
      <c r="J31" s="6"/>
    </row>
    <row r="32">
      <c r="B32" s="532" t="s">
        <v>305</v>
      </c>
      <c r="C32" s="540">
        <v>5821245.0</v>
      </c>
      <c r="D32" s="533"/>
      <c r="E32" s="533"/>
      <c r="F32" s="533"/>
      <c r="G32" s="6"/>
      <c r="H32" s="6"/>
      <c r="I32" s="6"/>
      <c r="J32" s="6"/>
    </row>
    <row r="33">
      <c r="B33" s="532" t="s">
        <v>343</v>
      </c>
      <c r="C33" s="533"/>
      <c r="D33" s="533"/>
      <c r="E33" s="533"/>
      <c r="F33" s="533"/>
      <c r="G33" s="6"/>
      <c r="H33" s="6"/>
      <c r="I33" s="6"/>
      <c r="J33" s="6"/>
    </row>
    <row r="34">
      <c r="B34" s="547" t="s">
        <v>131</v>
      </c>
      <c r="C34" s="534"/>
      <c r="D34" s="533"/>
      <c r="E34" s="533"/>
      <c r="F34" s="533"/>
      <c r="G34" s="6"/>
      <c r="H34" s="6"/>
      <c r="I34" s="6"/>
      <c r="J34" s="6"/>
    </row>
    <row r="35">
      <c r="B35" s="536" t="s">
        <v>135</v>
      </c>
      <c r="C35" s="543">
        <f>IFERROR(__xludf.DUMMYFUNCTION("IMPORTRANGE(""1-7D4xn7jPVWxK4Hv_jQ4ruRle9vkJvezFGDqi1GFnd4"", ""MONTHLY !H27"")"),9282938.399999999)</f>
        <v>9282938.4</v>
      </c>
      <c r="D35" s="537"/>
      <c r="E35" s="537"/>
      <c r="F35" s="537"/>
      <c r="G35" s="6"/>
      <c r="H35" s="6"/>
      <c r="I35" s="6"/>
      <c r="J35" s="6"/>
    </row>
    <row r="36">
      <c r="B36" s="538" t="s">
        <v>129</v>
      </c>
      <c r="C36" s="522">
        <v>598292.4885714286</v>
      </c>
      <c r="D36" s="511"/>
      <c r="E36" s="511"/>
      <c r="F36" s="511"/>
      <c r="G36" s="6"/>
      <c r="H36" s="6"/>
      <c r="I36" s="6"/>
      <c r="J36" s="6"/>
    </row>
    <row r="37">
      <c r="B37" s="538" t="s">
        <v>127</v>
      </c>
      <c r="C37" s="522">
        <v>1318555.9710000001</v>
      </c>
      <c r="D37" s="511"/>
      <c r="E37" s="511"/>
      <c r="F37" s="511"/>
      <c r="G37" s="6"/>
      <c r="H37" s="6"/>
      <c r="I37" s="6"/>
      <c r="J37" s="6"/>
    </row>
    <row r="38">
      <c r="B38" s="538" t="s">
        <v>336</v>
      </c>
      <c r="C38" s="522">
        <v>2215288.0</v>
      </c>
      <c r="D38" s="511"/>
      <c r="E38" s="511"/>
      <c r="F38" s="511"/>
      <c r="G38" s="6"/>
      <c r="H38" s="6"/>
      <c r="I38" s="6"/>
      <c r="J38" s="6"/>
    </row>
    <row r="39">
      <c r="B39" s="538" t="s">
        <v>337</v>
      </c>
      <c r="C39" s="522">
        <v>962870.0549999998</v>
      </c>
      <c r="D39" s="511"/>
      <c r="E39" s="511"/>
      <c r="F39" s="511"/>
      <c r="G39" s="6"/>
      <c r="H39" s="6"/>
      <c r="I39" s="6"/>
      <c r="J39" s="6"/>
    </row>
    <row r="40">
      <c r="B40" s="512" t="s">
        <v>307</v>
      </c>
      <c r="C40" s="522">
        <v>7321812.716850938</v>
      </c>
      <c r="D40" s="511"/>
      <c r="E40" s="511"/>
      <c r="F40" s="511"/>
      <c r="G40" s="6"/>
      <c r="H40" s="6"/>
      <c r="I40" s="6"/>
      <c r="J40" s="6"/>
    </row>
    <row r="41">
      <c r="B41" s="532" t="s">
        <v>311</v>
      </c>
      <c r="C41" s="534">
        <v>7114855.000000001</v>
      </c>
      <c r="D41" s="532"/>
      <c r="E41" s="533"/>
      <c r="F41" s="533"/>
      <c r="G41" s="6"/>
      <c r="H41" s="6"/>
      <c r="I41" s="6"/>
      <c r="J41" s="6"/>
    </row>
    <row r="42">
      <c r="B42" s="532" t="s">
        <v>338</v>
      </c>
      <c r="C42" s="540">
        <v>2386980.283149061</v>
      </c>
      <c r="D42" s="533"/>
      <c r="E42" s="533"/>
      <c r="F42" s="533"/>
      <c r="G42" s="6"/>
      <c r="H42" s="6"/>
      <c r="I42" s="6"/>
      <c r="J42" s="6"/>
    </row>
    <row r="43">
      <c r="B43" s="532" t="s">
        <v>339</v>
      </c>
      <c r="C43" s="539">
        <v>782985.0</v>
      </c>
      <c r="D43" s="532" t="s">
        <v>340</v>
      </c>
      <c r="E43" s="533"/>
      <c r="F43" s="533"/>
      <c r="G43" s="6"/>
      <c r="H43" s="6"/>
      <c r="I43" s="6"/>
      <c r="J43" s="6"/>
    </row>
    <row r="44">
      <c r="B44" s="532" t="s">
        <v>341</v>
      </c>
      <c r="C44" s="539">
        <v>30000.0</v>
      </c>
      <c r="D44" s="540">
        <f>C24-C43-C44</f>
        <v>40973770</v>
      </c>
      <c r="E44" s="533"/>
      <c r="F44" s="533"/>
      <c r="G44" s="6"/>
      <c r="H44" s="6"/>
      <c r="I44" s="6"/>
      <c r="J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row>
    <row r="2">
      <c r="B2" s="512" t="s">
        <v>257</v>
      </c>
      <c r="C2" s="512">
        <v>9997.0</v>
      </c>
      <c r="D2" s="511"/>
      <c r="E2" s="511"/>
      <c r="F2" s="511"/>
      <c r="G2" s="6"/>
    </row>
    <row r="3">
      <c r="B3" s="512" t="s">
        <v>260</v>
      </c>
      <c r="C3" s="512">
        <v>0.0</v>
      </c>
      <c r="D3" s="515">
        <f>C3/C2</f>
        <v>0</v>
      </c>
      <c r="E3" s="511"/>
      <c r="F3" s="511"/>
      <c r="G3" s="6"/>
    </row>
    <row r="4">
      <c r="B4" s="512" t="s">
        <v>261</v>
      </c>
      <c r="C4" s="512">
        <v>56.0</v>
      </c>
      <c r="D4" s="515">
        <f>C4/C2</f>
        <v>0.005601680504</v>
      </c>
      <c r="E4" s="515" t="str">
        <f>C4/C3</f>
        <v>#DIV/0!</v>
      </c>
      <c r="F4" s="511"/>
      <c r="G4" s="6"/>
    </row>
    <row r="5">
      <c r="B5" s="512" t="s">
        <v>266</v>
      </c>
      <c r="C5" s="512">
        <v>9.0</v>
      </c>
      <c r="D5" s="515">
        <f>C5/C2</f>
        <v>0.000900270081</v>
      </c>
      <c r="E5" s="515" t="str">
        <f>C5/C3</f>
        <v>#DIV/0!</v>
      </c>
      <c r="F5" s="515">
        <f>C5/C4</f>
        <v>0.1607142857</v>
      </c>
      <c r="G5" s="6"/>
    </row>
    <row r="6">
      <c r="B6" s="512" t="s">
        <v>267</v>
      </c>
      <c r="C6" s="517">
        <v>61.0</v>
      </c>
      <c r="D6" s="515">
        <f>C6/C2</f>
        <v>0.006101830549</v>
      </c>
      <c r="E6" s="515" t="str">
        <f>C6/C3</f>
        <v>#DIV/0!</v>
      </c>
      <c r="F6" s="515">
        <f>C6/C4</f>
        <v>1.089285714</v>
      </c>
      <c r="G6" s="517"/>
    </row>
    <row r="7">
      <c r="B7" s="512" t="s">
        <v>319</v>
      </c>
      <c r="C7" s="517">
        <v>47.0</v>
      </c>
      <c r="D7" s="515">
        <f>C7/C2</f>
        <v>0.004701410423</v>
      </c>
      <c r="E7" s="515" t="str">
        <f>C7/C3</f>
        <v>#DIV/0!</v>
      </c>
      <c r="F7" s="515">
        <f>C7/C4</f>
        <v>0.8392857143</v>
      </c>
      <c r="G7" s="6"/>
    </row>
    <row r="8">
      <c r="B8" s="512" t="s">
        <v>320</v>
      </c>
      <c r="C8" s="520">
        <v>0.7704918032786885</v>
      </c>
      <c r="D8" s="515"/>
      <c r="E8" s="515"/>
      <c r="F8" s="515"/>
      <c r="G8" s="6"/>
    </row>
    <row r="9">
      <c r="B9" s="512" t="s">
        <v>269</v>
      </c>
      <c r="C9" s="517">
        <v>7.0</v>
      </c>
      <c r="D9" s="515">
        <f>C9/C2</f>
        <v>0.000700210063</v>
      </c>
      <c r="E9" s="515" t="str">
        <f>C9/C3</f>
        <v>#DIV/0!</v>
      </c>
      <c r="F9" s="515">
        <f>C9/C4</f>
        <v>0.125</v>
      </c>
      <c r="G9" s="6"/>
    </row>
    <row r="10">
      <c r="B10" s="512" t="s">
        <v>321</v>
      </c>
      <c r="C10" s="520">
        <v>0.11475409836065574</v>
      </c>
      <c r="D10" s="515"/>
      <c r="E10" s="515"/>
      <c r="F10" s="515"/>
      <c r="G10" s="6"/>
    </row>
    <row r="11">
      <c r="B11" s="512" t="s">
        <v>322</v>
      </c>
      <c r="C11" s="549" t="s">
        <v>344</v>
      </c>
      <c r="D11" s="515">
        <f>C11/C2</f>
        <v>0.001200360108</v>
      </c>
      <c r="E11" s="515" t="str">
        <f>C11/C3</f>
        <v>#DIV/0!</v>
      </c>
      <c r="F11" s="515">
        <f>C11/C4</f>
        <v>0.2142857143</v>
      </c>
      <c r="G11" s="6"/>
    </row>
    <row r="12">
      <c r="B12" s="512" t="s">
        <v>323</v>
      </c>
      <c r="C12" s="520">
        <v>0.19672131147540983</v>
      </c>
      <c r="D12" s="515"/>
      <c r="E12" s="515"/>
      <c r="F12" s="515"/>
      <c r="G12" s="6"/>
    </row>
    <row r="13">
      <c r="B13" s="512" t="s">
        <v>324</v>
      </c>
      <c r="C13" s="549" t="s">
        <v>346</v>
      </c>
      <c r="D13" s="515">
        <f>C13/C2</f>
        <v>0.001900570171</v>
      </c>
      <c r="E13" s="515" t="str">
        <f>C13/C3</f>
        <v>#DIV/0!</v>
      </c>
      <c r="F13" s="515">
        <f>C11/C4</f>
        <v>0.2142857143</v>
      </c>
      <c r="G13" s="6"/>
    </row>
    <row r="14">
      <c r="B14" s="512" t="s">
        <v>325</v>
      </c>
      <c r="C14" s="520">
        <v>0.3114754098360656</v>
      </c>
      <c r="D14" s="515"/>
      <c r="E14" s="515"/>
      <c r="F14" s="515"/>
      <c r="G14" s="6"/>
    </row>
    <row r="15">
      <c r="B15" s="512" t="s">
        <v>273</v>
      </c>
      <c r="C15" s="517">
        <v>85.0</v>
      </c>
      <c r="D15" s="511"/>
      <c r="E15" s="511"/>
      <c r="F15" s="515"/>
      <c r="G15" s="6"/>
    </row>
    <row r="16">
      <c r="B16" s="512" t="s">
        <v>282</v>
      </c>
      <c r="C16" s="517">
        <v>74.0</v>
      </c>
      <c r="D16" s="511"/>
      <c r="E16" s="511"/>
      <c r="F16" s="511"/>
      <c r="G16" s="6"/>
    </row>
    <row r="17">
      <c r="B17" s="512" t="s">
        <v>283</v>
      </c>
      <c r="C17" s="517">
        <v>135.0</v>
      </c>
      <c r="D17" s="511"/>
      <c r="E17" s="511"/>
      <c r="F17" s="511"/>
      <c r="G17" s="6"/>
    </row>
    <row r="18">
      <c r="B18" s="512" t="s">
        <v>291</v>
      </c>
      <c r="C18" s="522">
        <v>6.244456981E8</v>
      </c>
      <c r="D18" s="523"/>
      <c r="E18" s="523"/>
      <c r="F18" s="523"/>
      <c r="G18" s="6"/>
    </row>
    <row r="19">
      <c r="B19" s="512" t="s">
        <v>292</v>
      </c>
      <c r="C19" s="522">
        <v>6.1393497317E8</v>
      </c>
      <c r="D19" s="523"/>
      <c r="E19" s="523"/>
      <c r="F19" s="523"/>
      <c r="G19" s="6"/>
    </row>
    <row r="20">
      <c r="B20" s="512" t="s">
        <v>293</v>
      </c>
      <c r="C20" s="524">
        <v>0.9831679120186414</v>
      </c>
      <c r="D20" s="511"/>
      <c r="E20" s="511"/>
      <c r="F20" s="511"/>
      <c r="G20" s="6"/>
    </row>
    <row r="21">
      <c r="B21" s="512" t="s">
        <v>326</v>
      </c>
      <c r="C21" s="522">
        <v>1.0510724930000067E7</v>
      </c>
      <c r="D21" s="511"/>
      <c r="E21" s="511"/>
      <c r="F21" s="511"/>
      <c r="G21" s="6"/>
    </row>
    <row r="22">
      <c r="B22" s="512" t="s">
        <v>295</v>
      </c>
      <c r="C22" s="522">
        <v>77857.2217037042</v>
      </c>
      <c r="D22" s="511"/>
      <c r="E22" s="511"/>
      <c r="F22" s="511"/>
      <c r="G22" s="6"/>
    </row>
    <row r="23">
      <c r="B23" s="512" t="s">
        <v>296</v>
      </c>
      <c r="C23" s="525">
        <v>1.0279262E7</v>
      </c>
      <c r="D23" s="511"/>
      <c r="E23" s="511"/>
      <c r="F23" s="511"/>
      <c r="G23" s="6"/>
    </row>
    <row r="24">
      <c r="B24" s="512" t="s">
        <v>297</v>
      </c>
      <c r="C24" s="525">
        <v>2209611.0</v>
      </c>
      <c r="D24" s="511"/>
      <c r="E24" s="511"/>
      <c r="F24" s="511"/>
      <c r="G24" s="6"/>
    </row>
    <row r="25">
      <c r="B25" s="512" t="s">
        <v>327</v>
      </c>
      <c r="C25" s="524">
        <v>0.21495813609965383</v>
      </c>
      <c r="D25" s="513" t="s">
        <v>328</v>
      </c>
      <c r="E25" s="524">
        <v>0.21495813609965383</v>
      </c>
      <c r="F25" s="511"/>
      <c r="G25" s="6"/>
    </row>
    <row r="26">
      <c r="B26" s="512" t="s">
        <v>299</v>
      </c>
      <c r="C26" s="525">
        <v>3822454.0</v>
      </c>
      <c r="D26" s="512" t="s">
        <v>329</v>
      </c>
      <c r="E26" s="523">
        <v>835960.0</v>
      </c>
      <c r="F26" s="511"/>
      <c r="G26" s="6"/>
    </row>
    <row r="27">
      <c r="B27" s="512" t="s">
        <v>330</v>
      </c>
      <c r="C27" s="525">
        <v>-1612843.0</v>
      </c>
      <c r="D27" s="512" t="s">
        <v>331</v>
      </c>
      <c r="E27" s="504">
        <v>0.07953400032513216</v>
      </c>
      <c r="F27" s="511"/>
      <c r="G27" s="6"/>
    </row>
    <row r="28">
      <c r="B28" s="512" t="s">
        <v>301</v>
      </c>
      <c r="C28" s="522">
        <v>-11946.985185185185</v>
      </c>
      <c r="D28" s="512" t="s">
        <v>332</v>
      </c>
      <c r="E28" s="515">
        <v>-0.5183145538654413</v>
      </c>
      <c r="F28" s="511"/>
      <c r="G28" s="6"/>
    </row>
    <row r="29">
      <c r="B29" s="512" t="s">
        <v>302</v>
      </c>
      <c r="C29" s="512"/>
      <c r="D29" s="512" t="s">
        <v>333</v>
      </c>
      <c r="E29" s="515">
        <v>0.001338723290982025</v>
      </c>
      <c r="F29" s="511"/>
      <c r="G29" s="6"/>
    </row>
    <row r="30">
      <c r="B30" s="512" t="s">
        <v>303</v>
      </c>
      <c r="C30" s="525">
        <v>-1612843.0</v>
      </c>
      <c r="D30" s="511"/>
      <c r="E30" s="511"/>
      <c r="F30" s="511"/>
      <c r="G30" s="6"/>
    </row>
    <row r="31">
      <c r="B31" s="530" t="s">
        <v>304</v>
      </c>
      <c r="C31" s="530"/>
      <c r="D31" s="531"/>
      <c r="E31" s="531"/>
      <c r="F31" s="531"/>
      <c r="G31" s="6"/>
    </row>
    <row r="32">
      <c r="B32" s="532" t="s">
        <v>305</v>
      </c>
      <c r="C32" s="533"/>
      <c r="D32" s="533"/>
      <c r="E32" s="533"/>
      <c r="F32" s="533"/>
      <c r="G32" s="6"/>
    </row>
    <row r="33">
      <c r="B33" s="532" t="s">
        <v>343</v>
      </c>
      <c r="C33" s="533"/>
      <c r="D33" s="533"/>
      <c r="E33" s="533"/>
      <c r="F33" s="533"/>
      <c r="G33" s="6"/>
    </row>
    <row r="34">
      <c r="B34" s="547" t="s">
        <v>131</v>
      </c>
      <c r="C34" s="534" t="str">
        <f>IFERROR(__xludf.DUMMYFUNCTION("IMPORTRANGE(""1DTUC32YJHSyBa8CTkg1se2r2AQ3xxkB4dVQorqRF3gM"", ""広告費!I8"")"),"")</f>
        <v/>
      </c>
      <c r="D34" s="533"/>
      <c r="E34" s="533"/>
      <c r="F34" s="533"/>
      <c r="G34" s="6"/>
    </row>
    <row r="35">
      <c r="B35" s="536" t="s">
        <v>135</v>
      </c>
      <c r="C35" s="543"/>
      <c r="D35" s="537"/>
      <c r="E35" s="537"/>
      <c r="F35" s="537"/>
      <c r="G35" s="6"/>
    </row>
    <row r="36">
      <c r="B36" s="538" t="s">
        <v>129</v>
      </c>
      <c r="C36" s="522"/>
      <c r="D36" s="511"/>
      <c r="E36" s="511"/>
      <c r="F36" s="511"/>
      <c r="G36" s="6"/>
    </row>
    <row r="37">
      <c r="B37" s="538" t="s">
        <v>127</v>
      </c>
      <c r="C37" s="522"/>
      <c r="D37" s="511"/>
      <c r="E37" s="511"/>
      <c r="F37" s="511"/>
      <c r="G37" s="6"/>
    </row>
    <row r="38">
      <c r="B38" s="538" t="s">
        <v>336</v>
      </c>
      <c r="C38" s="522"/>
      <c r="D38" s="511"/>
      <c r="E38" s="511"/>
      <c r="F38" s="511"/>
      <c r="G38" s="6"/>
    </row>
    <row r="39">
      <c r="B39" s="538" t="s">
        <v>337</v>
      </c>
      <c r="C39" s="522"/>
      <c r="D39" s="511"/>
      <c r="E39" s="511"/>
      <c r="F39" s="511"/>
      <c r="G39" s="6"/>
    </row>
    <row r="40">
      <c r="B40" s="512" t="s">
        <v>307</v>
      </c>
      <c r="C40" s="522">
        <f>SUM(C34:C39)</f>
        <v>0</v>
      </c>
      <c r="D40" s="511"/>
      <c r="E40" s="511"/>
      <c r="F40" s="511"/>
      <c r="G40" s="6"/>
    </row>
    <row r="41">
      <c r="B41" s="532" t="s">
        <v>311</v>
      </c>
      <c r="C41" s="534"/>
      <c r="D41" s="532"/>
      <c r="E41" s="533"/>
      <c r="F41" s="533"/>
      <c r="G41" s="6"/>
    </row>
    <row r="42">
      <c r="B42" s="532" t="s">
        <v>338</v>
      </c>
      <c r="C42" s="540">
        <f>C30-C31-C32-C40-C41</f>
        <v>-1612843</v>
      </c>
      <c r="D42" s="533"/>
      <c r="E42" s="533"/>
      <c r="F42" s="533"/>
      <c r="G42" s="6"/>
    </row>
    <row r="43">
      <c r="B43" s="532" t="s">
        <v>339</v>
      </c>
      <c r="C43" s="539">
        <f>IFERROR(__xludf.DUMMYFUNCTION("IMPORTRANGE(""14XIjmVcs8qf6tS7n0A5FnYSYOV-msbbCaARCRnN4wc0"", ""2025/7月!H5"")"),0.0)</f>
        <v>0</v>
      </c>
      <c r="D43" s="532" t="s">
        <v>340</v>
      </c>
      <c r="E43" s="533"/>
      <c r="F43" s="533"/>
      <c r="G43" s="6"/>
    </row>
    <row r="44">
      <c r="B44" s="532" t="s">
        <v>341</v>
      </c>
      <c r="C44" s="539"/>
      <c r="D44" s="540">
        <f>C24-C43-C44</f>
        <v>2209611</v>
      </c>
      <c r="E44" s="533"/>
      <c r="F44" s="533"/>
      <c r="G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row>
    <row r="2">
      <c r="B2" s="512" t="s">
        <v>257</v>
      </c>
      <c r="C2" s="512">
        <v>9957.0</v>
      </c>
      <c r="D2" s="511"/>
      <c r="E2" s="511"/>
      <c r="F2" s="511"/>
      <c r="G2" s="6"/>
    </row>
    <row r="3">
      <c r="B3" s="512" t="s">
        <v>260</v>
      </c>
      <c r="C3" s="512">
        <v>100011.0</v>
      </c>
      <c r="D3" s="515">
        <v>10.0442904489304</v>
      </c>
      <c r="E3" s="511"/>
      <c r="F3" s="511"/>
      <c r="G3" s="6"/>
    </row>
    <row r="4">
      <c r="B4" s="512" t="s">
        <v>261</v>
      </c>
      <c r="C4" s="512">
        <v>3839.0</v>
      </c>
      <c r="D4" s="515">
        <v>0.38555789896555187</v>
      </c>
      <c r="E4" s="515">
        <v>0.038385777564467906</v>
      </c>
      <c r="F4" s="511"/>
      <c r="G4" s="6"/>
    </row>
    <row r="5">
      <c r="B5" s="512" t="s">
        <v>266</v>
      </c>
      <c r="C5" s="512">
        <v>51.0</v>
      </c>
      <c r="D5" s="515">
        <v>0.005122024706236818</v>
      </c>
      <c r="E5" s="515">
        <v>5.099439061703213E-4</v>
      </c>
      <c r="F5" s="515">
        <v>0.013284709559781192</v>
      </c>
      <c r="G5" s="6"/>
    </row>
    <row r="6">
      <c r="B6" s="512" t="s">
        <v>267</v>
      </c>
      <c r="C6" s="549">
        <v>67.0</v>
      </c>
      <c r="D6" s="515">
        <v>0.006728934417997389</v>
      </c>
      <c r="E6" s="515">
        <v>6.699263081061083E-4</v>
      </c>
      <c r="F6" s="515">
        <v>0.017452461578536076</v>
      </c>
      <c r="G6" s="517"/>
    </row>
    <row r="7">
      <c r="B7" s="512" t="s">
        <v>319</v>
      </c>
      <c r="C7" s="549">
        <v>39.0</v>
      </c>
      <c r="D7" s="515">
        <v>0.00391684242241639</v>
      </c>
      <c r="E7" s="515">
        <v>3.89957104718481E-4</v>
      </c>
      <c r="F7" s="515">
        <v>0.01015889554571503</v>
      </c>
      <c r="G7" s="6"/>
    </row>
    <row r="8">
      <c r="B8" s="512" t="s">
        <v>320</v>
      </c>
      <c r="C8" s="520">
        <v>0.582089552238806</v>
      </c>
      <c r="D8" s="515"/>
      <c r="E8" s="515"/>
      <c r="F8" s="515"/>
      <c r="G8" s="6"/>
    </row>
    <row r="9">
      <c r="B9" s="512" t="s">
        <v>269</v>
      </c>
      <c r="C9" s="549">
        <v>11.0</v>
      </c>
      <c r="D9" s="515">
        <v>0.0011047504268353922</v>
      </c>
      <c r="E9" s="515">
        <v>1.0998790133085361E-4</v>
      </c>
      <c r="F9" s="515">
        <v>0.0028653295128939827</v>
      </c>
      <c r="G9" s="6"/>
    </row>
    <row r="10">
      <c r="B10" s="512" t="s">
        <v>321</v>
      </c>
      <c r="C10" s="520">
        <v>0.16417910447761194</v>
      </c>
      <c r="D10" s="515"/>
      <c r="E10" s="515"/>
      <c r="F10" s="515"/>
      <c r="G10" s="6"/>
    </row>
    <row r="11">
      <c r="B11" s="512" t="s">
        <v>322</v>
      </c>
      <c r="C11" s="549">
        <v>3.0</v>
      </c>
      <c r="D11" s="515">
        <v>3.0129557095510696E-4</v>
      </c>
      <c r="E11" s="515">
        <v>2.9996700362960076E-5</v>
      </c>
      <c r="F11" s="515">
        <v>7.814535035165407E-4</v>
      </c>
      <c r="G11" s="6"/>
    </row>
    <row r="12">
      <c r="B12" s="512" t="s">
        <v>323</v>
      </c>
      <c r="C12" s="520">
        <v>0.04477611940298507</v>
      </c>
      <c r="D12" s="515"/>
      <c r="E12" s="515"/>
      <c r="F12" s="515"/>
      <c r="G12" s="6"/>
    </row>
    <row r="13">
      <c r="B13" s="512" t="s">
        <v>324</v>
      </c>
      <c r="C13" s="549">
        <v>14.0</v>
      </c>
      <c r="D13" s="515">
        <v>0.0014060459977904992</v>
      </c>
      <c r="E13" s="515">
        <v>1.3998460169381368E-4</v>
      </c>
      <c r="F13" s="515">
        <v>7.814535035165407E-4</v>
      </c>
      <c r="G13" s="6"/>
    </row>
    <row r="14">
      <c r="B14" s="512" t="s">
        <v>325</v>
      </c>
      <c r="C14" s="520">
        <v>0.208955223880597</v>
      </c>
      <c r="D14" s="515"/>
      <c r="E14" s="515"/>
      <c r="F14" s="515"/>
      <c r="G14" s="6"/>
    </row>
    <row r="15">
      <c r="B15" s="512" t="s">
        <v>273</v>
      </c>
      <c r="C15" s="549">
        <v>17.0</v>
      </c>
      <c r="D15" s="511"/>
      <c r="E15" s="511"/>
      <c r="F15" s="515"/>
      <c r="G15" s="6"/>
    </row>
    <row r="16">
      <c r="B16" s="512" t="s">
        <v>282</v>
      </c>
      <c r="C16" s="549">
        <v>314.0</v>
      </c>
      <c r="D16" s="511"/>
      <c r="E16" s="511"/>
      <c r="F16" s="511"/>
      <c r="G16" s="6"/>
    </row>
    <row r="17">
      <c r="B17" s="512" t="s">
        <v>283</v>
      </c>
      <c r="C17" s="549">
        <v>381.0</v>
      </c>
      <c r="D17" s="511"/>
      <c r="E17" s="511"/>
      <c r="F17" s="511"/>
      <c r="G17" s="6"/>
    </row>
    <row r="18">
      <c r="B18" s="512" t="s">
        <v>291</v>
      </c>
      <c r="C18" s="522">
        <v>3.75364964437E9</v>
      </c>
      <c r="D18" s="523"/>
      <c r="E18" s="523"/>
      <c r="F18" s="523"/>
      <c r="G18" s="6"/>
    </row>
    <row r="19">
      <c r="B19" s="512" t="s">
        <v>292</v>
      </c>
      <c r="C19" s="522">
        <v>3.66424072995E9</v>
      </c>
      <c r="D19" s="523"/>
      <c r="E19" s="523"/>
      <c r="F19" s="523"/>
      <c r="G19" s="6"/>
    </row>
    <row r="20">
      <c r="B20" s="512" t="s">
        <v>293</v>
      </c>
      <c r="C20" s="524">
        <v>0.976180804579324</v>
      </c>
      <c r="D20" s="511"/>
      <c r="E20" s="511"/>
      <c r="F20" s="511"/>
      <c r="G20" s="6"/>
    </row>
    <row r="21">
      <c r="B21" s="512" t="s">
        <v>326</v>
      </c>
      <c r="C21" s="522">
        <v>8.940891442000008E7</v>
      </c>
      <c r="D21" s="511"/>
      <c r="E21" s="511"/>
      <c r="F21" s="511"/>
      <c r="G21" s="6"/>
    </row>
    <row r="22">
      <c r="B22" s="512" t="s">
        <v>295</v>
      </c>
      <c r="C22" s="522">
        <v>234669.0667191603</v>
      </c>
      <c r="D22" s="511"/>
      <c r="E22" s="511"/>
      <c r="F22" s="511"/>
      <c r="G22" s="6"/>
    </row>
    <row r="23">
      <c r="B23" s="512" t="s">
        <v>296</v>
      </c>
      <c r="C23" s="522">
        <v>1.0673790430000001E8</v>
      </c>
      <c r="D23" s="511"/>
      <c r="E23" s="511"/>
      <c r="F23" s="511"/>
      <c r="G23" s="6"/>
    </row>
    <row r="24">
      <c r="B24" s="512" t="s">
        <v>297</v>
      </c>
      <c r="C24" s="525">
        <v>7.47543279E7</v>
      </c>
      <c r="D24" s="511"/>
      <c r="E24" s="511"/>
      <c r="F24" s="511"/>
      <c r="G24" s="6"/>
    </row>
    <row r="25">
      <c r="B25" s="512" t="s">
        <v>327</v>
      </c>
      <c r="C25" s="524">
        <v>0.700354090613338</v>
      </c>
      <c r="D25" s="513" t="s">
        <v>328</v>
      </c>
      <c r="E25" s="515">
        <v>0.668580101586274</v>
      </c>
      <c r="F25" s="511"/>
      <c r="G25" s="6"/>
    </row>
    <row r="26">
      <c r="B26" s="512" t="s">
        <v>299</v>
      </c>
      <c r="C26" s="522">
        <v>3.754266E7</v>
      </c>
      <c r="D26" s="512" t="s">
        <v>329</v>
      </c>
      <c r="E26" s="523">
        <v>3891498.2</v>
      </c>
      <c r="F26" s="511"/>
      <c r="G26" s="6"/>
    </row>
    <row r="27">
      <c r="B27" s="512" t="s">
        <v>330</v>
      </c>
      <c r="C27" s="525">
        <v>1.17548819E7</v>
      </c>
      <c r="D27" s="512" t="s">
        <v>331</v>
      </c>
      <c r="E27" s="504">
        <v>0.04352472262127704</v>
      </c>
      <c r="F27" s="511"/>
      <c r="G27" s="6"/>
    </row>
    <row r="28">
      <c r="B28" s="512" t="s">
        <v>301</v>
      </c>
      <c r="C28" s="522">
        <v>34271.25170603676</v>
      </c>
      <c r="D28" s="512" t="s">
        <v>332</v>
      </c>
      <c r="E28" s="515">
        <v>0.29803130986739723</v>
      </c>
      <c r="F28" s="511"/>
      <c r="G28" s="6"/>
    </row>
    <row r="29">
      <c r="B29" s="512" t="s">
        <v>302</v>
      </c>
      <c r="C29" s="522">
        <f>7362301.14+600979.87</f>
        <v>7963281.01</v>
      </c>
      <c r="D29" s="512" t="s">
        <v>333</v>
      </c>
      <c r="E29" s="515">
        <v>0.001036723873746916</v>
      </c>
      <c r="F29" s="511"/>
      <c r="G29" s="6"/>
    </row>
    <row r="30">
      <c r="B30" s="512" t="s">
        <v>303</v>
      </c>
      <c r="C30" s="525">
        <f>C27-C29</f>
        <v>3791600.89</v>
      </c>
      <c r="D30" s="511"/>
      <c r="E30" s="511"/>
      <c r="F30" s="511"/>
      <c r="G30" s="6"/>
      <c r="I30" s="557"/>
    </row>
    <row r="31">
      <c r="B31" s="530" t="s">
        <v>304</v>
      </c>
      <c r="C31" s="546">
        <f>IFERROR(__xludf.DUMMYFUNCTION("IMPORTRANGE(""1Ou2QKF8-XqWX9WFzapZrSLXeIe1ELfRnTVdIY-5MEn8"", ""July2025 Summary!B8"")"),760833.9240000001)</f>
        <v>760833.924</v>
      </c>
      <c r="D31" s="531"/>
      <c r="E31" s="531"/>
      <c r="F31" s="531"/>
      <c r="G31" s="6"/>
      <c r="I31" s="557"/>
    </row>
    <row r="32">
      <c r="B32" s="532" t="s">
        <v>305</v>
      </c>
      <c r="C32" s="546">
        <f>IFERROR(__xludf.DUMMYFUNCTION("IMPORTRANGE(""1Ou2QKF8-XqWX9WFzapZrSLXeIe1ELfRnTVdIY-5MEn8"", ""July2025 Summary!B15"")"),855938.1645000003)</f>
        <v>855938.1645</v>
      </c>
      <c r="D32" s="533"/>
      <c r="E32" s="533"/>
      <c r="F32" s="533"/>
      <c r="G32" s="6"/>
    </row>
    <row r="33">
      <c r="B33" s="532" t="s">
        <v>343</v>
      </c>
      <c r="C33" s="533"/>
      <c r="D33" s="533"/>
      <c r="E33" s="533"/>
      <c r="F33" s="533"/>
      <c r="G33" s="6"/>
    </row>
    <row r="34">
      <c r="B34" s="547" t="s">
        <v>131</v>
      </c>
      <c r="C34" s="534" t="str">
        <f>IFERROR(__xludf.DUMMYFUNCTION("IMPORTRANGE(""1DTUC32YJHSyBa8CTkg1se2r2AQ3xxkB4dVQorqRF3gM"", ""広告費!H8"")"),"")</f>
        <v/>
      </c>
      <c r="D34" s="533"/>
      <c r="E34" s="533"/>
      <c r="F34" s="533"/>
      <c r="G34" s="6"/>
    </row>
    <row r="35">
      <c r="B35" s="536" t="s">
        <v>135</v>
      </c>
      <c r="C35" s="543">
        <f>IFERROR(__xludf.DUMMYFUNCTION("IMPORTRANGE(""1-7D4xn7jPVWxK4Hv_jQ4ruRle9vkJvezFGDqi1GFnd4"", ""MONTHLY !H24"")"),8251402.199999999)</f>
        <v>8251402.2</v>
      </c>
      <c r="D35" s="537"/>
      <c r="E35" s="537"/>
      <c r="F35" s="537"/>
      <c r="G35" s="6"/>
    </row>
    <row r="36">
      <c r="B36" s="538" t="s">
        <v>129</v>
      </c>
      <c r="C36" s="522">
        <f>IFERROR(__xludf.DUMMYFUNCTION("IMPORTRANGE(""1t2YDL0W_FSrPAtUBku2Z8HGiTZPLv8M1UVfIaROZ8Vc"", ""2025/7月!O3"")"),2652236.0)</f>
        <v>2652236</v>
      </c>
      <c r="D36" s="511"/>
      <c r="E36" s="511"/>
      <c r="F36" s="511"/>
      <c r="G36" s="6"/>
    </row>
    <row r="37">
      <c r="B37" s="538" t="s">
        <v>127</v>
      </c>
      <c r="C37" s="522" t="str">
        <f>IFERROR(__xludf.DUMMYFUNCTION("IMPORTRANGE(""19eD15JPI2SoHKLgnXs8hXbY1ZpP5huYLpI6fo8Mr8bk"", ""経費!BL2"")"),"TOTAL")</f>
        <v>TOTAL</v>
      </c>
      <c r="D37" s="511"/>
      <c r="E37" s="511"/>
      <c r="F37" s="511"/>
      <c r="G37" s="6"/>
    </row>
    <row r="38">
      <c r="B38" s="538" t="s">
        <v>336</v>
      </c>
      <c r="C38" s="522">
        <f>IFERROR(__xludf.DUMMYFUNCTION("IMPORTRANGE(""14XIjmVcs8qf6tS7n0A5FnYSYOV-msbbCaARCRnN4wc0"", ""2025/7月!H3"")"),3208612.8353222404)</f>
        <v>3208612.835</v>
      </c>
      <c r="D38" s="511"/>
      <c r="E38" s="511"/>
      <c r="F38" s="511"/>
      <c r="G38" s="6"/>
    </row>
    <row r="39">
      <c r="B39" s="538" t="s">
        <v>337</v>
      </c>
      <c r="C39" s="522">
        <f>IFERROR(__xludf.DUMMYFUNCTION("IMPORTRANGE(""1T1trhXRLFLmvsw6NF2ctVVuwIVOBYo9gekGltVhcgf4"", ""Monthly pay!P17"")"),1.1880154378499998E7)</f>
        <v>11880154.38</v>
      </c>
      <c r="D39" s="511"/>
      <c r="E39" s="511"/>
      <c r="F39" s="511"/>
      <c r="G39" s="6"/>
    </row>
    <row r="40">
      <c r="B40" s="512" t="s">
        <v>307</v>
      </c>
      <c r="C40" s="522">
        <f>SUM(C34:C39)</f>
        <v>25992405.41</v>
      </c>
      <c r="D40" s="511"/>
      <c r="E40" s="511"/>
      <c r="F40" s="511"/>
      <c r="G40" s="6"/>
    </row>
    <row r="41">
      <c r="B41" s="532" t="s">
        <v>311</v>
      </c>
      <c r="C41" s="534">
        <f>IFERROR(__xludf.DUMMYFUNCTION("IMPORTRANGE(""1Ou2QKF8-XqWX9WFzapZrSLXeIe1ELfRnTVdIY-5MEn8"", ""July2025 Summary!B16"")"),1046146.6455000003)</f>
        <v>1046146.646</v>
      </c>
      <c r="D41" s="532"/>
      <c r="E41" s="533"/>
      <c r="F41" s="533"/>
      <c r="G41" s="6"/>
    </row>
    <row r="42">
      <c r="B42" s="532" t="s">
        <v>338</v>
      </c>
      <c r="C42" s="540">
        <f>C30-C31-C32-C40-C41</f>
        <v>-24863723.26</v>
      </c>
      <c r="D42" s="533"/>
      <c r="E42" s="533"/>
      <c r="F42" s="533"/>
      <c r="G42" s="6"/>
    </row>
    <row r="43">
      <c r="B43" s="532" t="s">
        <v>339</v>
      </c>
      <c r="C43" s="539">
        <f>IFERROR(__xludf.DUMMYFUNCTION("IMPORTRANGE(""14XIjmVcs8qf6tS7n0A5FnYSYOV-msbbCaARCRnN4wc0"", ""2025/7月!H5"")"),0.0)</f>
        <v>0</v>
      </c>
      <c r="D43" s="532" t="s">
        <v>340</v>
      </c>
      <c r="E43" s="532" t="s">
        <v>347</v>
      </c>
      <c r="F43" s="533"/>
      <c r="G43" s="6"/>
    </row>
    <row r="44">
      <c r="B44" s="532" t="s">
        <v>341</v>
      </c>
      <c r="C44" s="539">
        <f>IFERROR(__xludf.DUMMYFUNCTION("IMPORTRANGE(""14XIjmVcs8qf6tS7n0A5FnYSYOV-msbbCaARCRnN4wc0"", ""2025/7月!H13"")"),2.4154321E7)</f>
        <v>24154321</v>
      </c>
      <c r="D44" s="540">
        <f>C24-C43-C44</f>
        <v>50600006.9</v>
      </c>
      <c r="E44" s="542">
        <v>-1302465.0</v>
      </c>
      <c r="F44" s="533"/>
      <c r="G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c r="G1" s="9"/>
    </row>
    <row r="2">
      <c r="B2" s="512" t="s">
        <v>257</v>
      </c>
      <c r="C2" s="512">
        <v>9957.0</v>
      </c>
      <c r="D2" s="511"/>
      <c r="E2" s="511"/>
      <c r="F2" s="511"/>
      <c r="G2" s="6"/>
    </row>
    <row r="3">
      <c r="B3" s="512" t="s">
        <v>260</v>
      </c>
      <c r="C3" s="512">
        <v>100011.0</v>
      </c>
      <c r="D3" s="515">
        <v>10.0442904489304</v>
      </c>
      <c r="E3" s="511"/>
      <c r="F3" s="511"/>
      <c r="G3" s="6"/>
    </row>
    <row r="4">
      <c r="B4" s="512" t="s">
        <v>261</v>
      </c>
      <c r="C4" s="512">
        <v>3839.0</v>
      </c>
      <c r="D4" s="515">
        <v>0.38555789896555187</v>
      </c>
      <c r="E4" s="515">
        <v>0.038385777564467906</v>
      </c>
      <c r="F4" s="511"/>
      <c r="G4" s="6"/>
    </row>
    <row r="5">
      <c r="B5" s="512" t="s">
        <v>266</v>
      </c>
      <c r="C5" s="512">
        <v>51.0</v>
      </c>
      <c r="D5" s="515">
        <v>0.005122024706236818</v>
      </c>
      <c r="E5" s="515">
        <v>5.099439061703213E-4</v>
      </c>
      <c r="F5" s="515">
        <v>0.013284709559781192</v>
      </c>
      <c r="G5" s="6"/>
    </row>
    <row r="6">
      <c r="B6" s="512" t="s">
        <v>267</v>
      </c>
      <c r="C6" s="549">
        <v>67.0</v>
      </c>
      <c r="D6" s="515">
        <v>0.006728934417997389</v>
      </c>
      <c r="E6" s="515">
        <v>6.699263081061083E-4</v>
      </c>
      <c r="F6" s="515">
        <v>0.017452461578536076</v>
      </c>
      <c r="G6" s="517"/>
    </row>
    <row r="7">
      <c r="B7" s="512" t="s">
        <v>319</v>
      </c>
      <c r="C7" s="549">
        <v>39.0</v>
      </c>
      <c r="D7" s="515">
        <v>0.00391684242241639</v>
      </c>
      <c r="E7" s="515">
        <v>3.89957104718481E-4</v>
      </c>
      <c r="F7" s="515">
        <v>0.01015889554571503</v>
      </c>
      <c r="G7" s="6"/>
    </row>
    <row r="8">
      <c r="B8" s="512" t="s">
        <v>320</v>
      </c>
      <c r="C8" s="520">
        <v>0.582089552238806</v>
      </c>
      <c r="D8" s="515"/>
      <c r="E8" s="515"/>
      <c r="F8" s="515"/>
      <c r="G8" s="6"/>
    </row>
    <row r="9">
      <c r="B9" s="512" t="s">
        <v>269</v>
      </c>
      <c r="C9" s="549">
        <v>11.0</v>
      </c>
      <c r="D9" s="515">
        <v>0.0011047504268353922</v>
      </c>
      <c r="E9" s="515">
        <v>1.0998790133085361E-4</v>
      </c>
      <c r="F9" s="515">
        <v>0.0028653295128939827</v>
      </c>
      <c r="G9" s="6"/>
    </row>
    <row r="10">
      <c r="B10" s="512" t="s">
        <v>321</v>
      </c>
      <c r="C10" s="520">
        <v>0.16417910447761194</v>
      </c>
      <c r="D10" s="515"/>
      <c r="E10" s="515"/>
      <c r="F10" s="515"/>
      <c r="G10" s="6"/>
    </row>
    <row r="11">
      <c r="B11" s="512" t="s">
        <v>322</v>
      </c>
      <c r="C11" s="549">
        <v>3.0</v>
      </c>
      <c r="D11" s="515">
        <v>3.0129557095510696E-4</v>
      </c>
      <c r="E11" s="515">
        <v>2.9996700362960076E-5</v>
      </c>
      <c r="F11" s="515">
        <v>7.814535035165407E-4</v>
      </c>
      <c r="G11" s="6"/>
    </row>
    <row r="12">
      <c r="B12" s="512" t="s">
        <v>323</v>
      </c>
      <c r="C12" s="520">
        <v>0.04477611940298507</v>
      </c>
      <c r="D12" s="515"/>
      <c r="E12" s="515"/>
      <c r="F12" s="515"/>
      <c r="G12" s="6"/>
    </row>
    <row r="13">
      <c r="B13" s="512" t="s">
        <v>324</v>
      </c>
      <c r="C13" s="549">
        <v>14.0</v>
      </c>
      <c r="D13" s="515">
        <v>0.0014060459977904992</v>
      </c>
      <c r="E13" s="515">
        <v>1.3998460169381368E-4</v>
      </c>
      <c r="F13" s="515">
        <v>7.814535035165407E-4</v>
      </c>
      <c r="G13" s="6"/>
    </row>
    <row r="14">
      <c r="B14" s="512" t="s">
        <v>325</v>
      </c>
      <c r="C14" s="520">
        <v>0.208955223880597</v>
      </c>
      <c r="D14" s="515"/>
      <c r="E14" s="515"/>
      <c r="F14" s="515"/>
      <c r="G14" s="6"/>
    </row>
    <row r="15">
      <c r="B15" s="512" t="s">
        <v>273</v>
      </c>
      <c r="C15" s="549">
        <v>17.0</v>
      </c>
      <c r="D15" s="511"/>
      <c r="E15" s="511"/>
      <c r="F15" s="515"/>
      <c r="G15" s="6"/>
    </row>
    <row r="16">
      <c r="B16" s="512" t="s">
        <v>282</v>
      </c>
      <c r="C16" s="549">
        <v>314.0</v>
      </c>
      <c r="D16" s="511"/>
      <c r="E16" s="511"/>
      <c r="F16" s="511"/>
      <c r="G16" s="6"/>
    </row>
    <row r="17">
      <c r="B17" s="512" t="s">
        <v>283</v>
      </c>
      <c r="C17" s="549">
        <v>381.0</v>
      </c>
      <c r="D17" s="511"/>
      <c r="E17" s="511"/>
      <c r="F17" s="511"/>
      <c r="G17" s="6"/>
    </row>
    <row r="18">
      <c r="B18" s="512" t="s">
        <v>291</v>
      </c>
      <c r="C18" s="522">
        <v>3.75364964437E9</v>
      </c>
      <c r="D18" s="523"/>
      <c r="E18" s="523"/>
      <c r="F18" s="523"/>
      <c r="G18" s="6"/>
    </row>
    <row r="19">
      <c r="B19" s="512" t="s">
        <v>292</v>
      </c>
      <c r="C19" s="522">
        <v>3.66424072995E9</v>
      </c>
      <c r="D19" s="523"/>
      <c r="E19" s="523"/>
      <c r="F19" s="523"/>
      <c r="G19" s="6"/>
    </row>
    <row r="20">
      <c r="B20" s="512" t="s">
        <v>293</v>
      </c>
      <c r="C20" s="524">
        <v>0.976180804579324</v>
      </c>
      <c r="D20" s="511"/>
      <c r="E20" s="511"/>
      <c r="F20" s="511"/>
      <c r="G20" s="6"/>
    </row>
    <row r="21">
      <c r="B21" s="512" t="s">
        <v>326</v>
      </c>
      <c r="C21" s="522">
        <v>8.940891442000008E7</v>
      </c>
      <c r="D21" s="511"/>
      <c r="E21" s="511"/>
      <c r="F21" s="511"/>
      <c r="G21" s="6"/>
    </row>
    <row r="22">
      <c r="B22" s="512" t="s">
        <v>295</v>
      </c>
      <c r="C22" s="522">
        <v>234669.0667191603</v>
      </c>
      <c r="D22" s="511"/>
      <c r="E22" s="511"/>
      <c r="F22" s="511"/>
      <c r="G22" s="6"/>
    </row>
    <row r="23">
      <c r="B23" s="512" t="s">
        <v>296</v>
      </c>
      <c r="C23" s="522">
        <v>1.0673790430000001E8</v>
      </c>
      <c r="D23" s="511"/>
      <c r="E23" s="511"/>
      <c r="F23" s="511"/>
      <c r="G23" s="6"/>
    </row>
    <row r="24">
      <c r="B24" s="512" t="s">
        <v>297</v>
      </c>
      <c r="C24" s="525">
        <v>7.47543279E7</v>
      </c>
      <c r="D24" s="511"/>
      <c r="E24" s="511"/>
      <c r="F24" s="511"/>
      <c r="G24" s="6"/>
    </row>
    <row r="25">
      <c r="B25" s="512" t="s">
        <v>327</v>
      </c>
      <c r="C25" s="524">
        <v>0.700354090613338</v>
      </c>
      <c r="D25" s="513" t="s">
        <v>328</v>
      </c>
      <c r="E25" s="515">
        <v>0.668580101586274</v>
      </c>
      <c r="F25" s="511"/>
      <c r="G25" s="6"/>
    </row>
    <row r="26">
      <c r="B26" s="512" t="s">
        <v>299</v>
      </c>
      <c r="C26" s="522">
        <v>3.754266E7</v>
      </c>
      <c r="D26" s="512" t="s">
        <v>329</v>
      </c>
      <c r="E26" s="523">
        <v>3891498.2</v>
      </c>
      <c r="F26" s="511"/>
      <c r="G26" s="6"/>
    </row>
    <row r="27">
      <c r="B27" s="512" t="s">
        <v>330</v>
      </c>
      <c r="C27" s="558">
        <v>-1302465.0</v>
      </c>
      <c r="D27" s="512" t="s">
        <v>331</v>
      </c>
      <c r="E27" s="504">
        <v>0.04352472262127704</v>
      </c>
      <c r="F27" s="511"/>
      <c r="G27" s="6"/>
    </row>
    <row r="28">
      <c r="B28" s="512" t="s">
        <v>301</v>
      </c>
      <c r="C28" s="522">
        <v>34271.25170603676</v>
      </c>
      <c r="D28" s="512" t="s">
        <v>332</v>
      </c>
      <c r="E28" s="515">
        <v>0.29803130986739723</v>
      </c>
      <c r="F28" s="511"/>
      <c r="G28" s="6"/>
    </row>
    <row r="29">
      <c r="B29" s="512" t="s">
        <v>302</v>
      </c>
      <c r="C29" s="522">
        <v>455699.69</v>
      </c>
      <c r="D29" s="512" t="s">
        <v>333</v>
      </c>
      <c r="E29" s="515">
        <v>0.001036723873746916</v>
      </c>
      <c r="F29" s="511"/>
      <c r="G29" s="6"/>
    </row>
    <row r="30">
      <c r="B30" s="512" t="s">
        <v>303</v>
      </c>
      <c r="C30" s="525">
        <f>C27-C29</f>
        <v>-1758164.69</v>
      </c>
      <c r="D30" s="511"/>
      <c r="E30" s="511"/>
      <c r="F30" s="511"/>
      <c r="G30" s="6"/>
    </row>
    <row r="31">
      <c r="B31" s="530" t="s">
        <v>304</v>
      </c>
      <c r="C31" s="530" t="str">
        <f>IFERROR(__xludf.DUMMYFUNCTION("IMPORTRANGE(""1Ou2QKF8-XqWX9WFzapZrSLXeIe1ELfRnTVdIY-5MEn8"", ""July 2025 summary !B8"")"),"#REF!")</f>
        <v>#REF!</v>
      </c>
      <c r="D31" s="531"/>
      <c r="E31" s="531"/>
      <c r="F31" s="531"/>
      <c r="G31" s="6"/>
    </row>
    <row r="32">
      <c r="B32" s="532" t="s">
        <v>305</v>
      </c>
      <c r="C32" s="533" t="str">
        <f>IFERROR(__xludf.DUMMYFUNCTION("IMPORTRANGE(""1Ou2QKF8-XqWX9WFzapZrSLXeIe1ELfRnTVdIY-5MEn8"", ""July 2025 summary !B15"")"),"#REF!")</f>
        <v>#REF!</v>
      </c>
      <c r="D32" s="533"/>
      <c r="E32" s="533"/>
      <c r="F32" s="533"/>
      <c r="G32" s="6"/>
    </row>
    <row r="33">
      <c r="B33" s="532" t="s">
        <v>343</v>
      </c>
      <c r="C33" s="533"/>
      <c r="D33" s="533"/>
      <c r="E33" s="533"/>
      <c r="F33" s="533"/>
      <c r="G33" s="6"/>
    </row>
    <row r="34">
      <c r="B34" s="547" t="s">
        <v>131</v>
      </c>
      <c r="C34" s="534" t="str">
        <f>IFERROR(__xludf.DUMMYFUNCTION("IMPORTRANGE(""1DTUC32YJHSyBa8CTkg1se2r2AQ3xxkB4dVQorqRF3gM"", ""広告費!H8"")"),"")</f>
        <v/>
      </c>
      <c r="D34" s="533"/>
      <c r="E34" s="533"/>
      <c r="F34" s="533"/>
      <c r="G34" s="6"/>
    </row>
    <row r="35">
      <c r="B35" s="536" t="s">
        <v>135</v>
      </c>
      <c r="C35" s="543">
        <f>IFERROR(__xludf.DUMMYFUNCTION("IMPORTRANGE(""1-7D4xn7jPVWxK4Hv_jQ4ruRle9vkJvezFGDqi1GFnd4"", ""MONTHLY !H24"")"),8251402.199999999)</f>
        <v>8251402.2</v>
      </c>
      <c r="D35" s="537"/>
      <c r="E35" s="537"/>
      <c r="F35" s="537"/>
      <c r="G35" s="6"/>
    </row>
    <row r="36">
      <c r="B36" s="538" t="s">
        <v>129</v>
      </c>
      <c r="C36" s="522">
        <f>IFERROR(__xludf.DUMMYFUNCTION("IMPORTRANGE(""1t2YDL0W_FSrPAtUBku2Z8HGiTZPLv8M1UVfIaROZ8Vc"", ""2025/7月!O3"")"),2652236.0)</f>
        <v>2652236</v>
      </c>
      <c r="D36" s="511"/>
      <c r="E36" s="511"/>
      <c r="F36" s="511"/>
      <c r="G36" s="6"/>
    </row>
    <row r="37">
      <c r="B37" s="538" t="s">
        <v>127</v>
      </c>
      <c r="C37" s="522" t="str">
        <f>IFERROR(__xludf.DUMMYFUNCTION("IMPORTRANGE(""19eD15JPI2SoHKLgnXs8hXbY1ZpP5huYLpI6fo8Mr8bk"", ""経費!BL2"")"),"TOTAL")</f>
        <v>TOTAL</v>
      </c>
      <c r="D37" s="511"/>
      <c r="E37" s="511"/>
      <c r="F37" s="511"/>
      <c r="G37" s="6"/>
    </row>
    <row r="38">
      <c r="B38" s="538" t="s">
        <v>336</v>
      </c>
      <c r="C38" s="522">
        <f>IFERROR(__xludf.DUMMYFUNCTION("IMPORTRANGE(""14XIjmVcs8qf6tS7n0A5FnYSYOV-msbbCaARCRnN4wc0"", ""2025/7月!H3"")"),3208612.8353222404)</f>
        <v>3208612.835</v>
      </c>
      <c r="D38" s="511"/>
      <c r="E38" s="511"/>
      <c r="F38" s="511"/>
      <c r="G38" s="6"/>
    </row>
    <row r="39">
      <c r="B39" s="538" t="s">
        <v>337</v>
      </c>
      <c r="C39" s="522">
        <f>IFERROR(__xludf.DUMMYFUNCTION("IMPORTRANGE(""1T1trhXRLFLmvsw6NF2ctVVuwIVOBYo9gekGltVhcgf4"", ""Monthly pay!P17"")"),1.1880154378499998E7)</f>
        <v>11880154.38</v>
      </c>
      <c r="D39" s="511"/>
      <c r="E39" s="511"/>
      <c r="F39" s="511"/>
      <c r="G39" s="6"/>
    </row>
    <row r="40">
      <c r="B40" s="512" t="s">
        <v>307</v>
      </c>
      <c r="C40" s="522">
        <f>SUM(C34:C39)</f>
        <v>25992405.41</v>
      </c>
      <c r="D40" s="511"/>
      <c r="E40" s="511"/>
      <c r="F40" s="511"/>
      <c r="G40" s="6"/>
    </row>
    <row r="41">
      <c r="B41" s="532" t="s">
        <v>311</v>
      </c>
      <c r="C41" s="534"/>
      <c r="D41" s="532"/>
      <c r="E41" s="533"/>
      <c r="F41" s="533"/>
      <c r="G41" s="6"/>
    </row>
    <row r="42">
      <c r="B42" s="532" t="s">
        <v>338</v>
      </c>
      <c r="C42" s="533" t="str">
        <f>C30-C31-C32-C40-C41</f>
        <v>#REF!</v>
      </c>
      <c r="D42" s="533"/>
      <c r="E42" s="533"/>
      <c r="F42" s="533"/>
      <c r="G42" s="6"/>
    </row>
    <row r="43">
      <c r="B43" s="532" t="s">
        <v>339</v>
      </c>
      <c r="C43" s="539">
        <f>IFERROR(__xludf.DUMMYFUNCTION("IMPORTRANGE(""14XIjmVcs8qf6tS7n0A5FnYSYOV-msbbCaARCRnN4wc0"", ""2025/7月!H5"")"),0.0)</f>
        <v>0</v>
      </c>
      <c r="D43" s="532" t="s">
        <v>340</v>
      </c>
      <c r="E43" s="533"/>
      <c r="F43" s="533"/>
      <c r="G43" s="6"/>
    </row>
    <row r="44">
      <c r="B44" s="532" t="s">
        <v>341</v>
      </c>
      <c r="C44" s="539">
        <f>IFERROR(__xludf.DUMMYFUNCTION("IMPORTRANGE(""14XIjmVcs8qf6tS7n0A5FnYSYOV-msbbCaARCRnN4wc0"", ""2025/7月!H13"")"),2.4154321E7)</f>
        <v>24154321</v>
      </c>
      <c r="D44" s="540">
        <f>C24-C43-C44</f>
        <v>50600006.9</v>
      </c>
      <c r="E44" s="533"/>
      <c r="F44" s="533"/>
      <c r="G44"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63"/>
    <col customWidth="1" min="3" max="3" width="17.63"/>
    <col customWidth="1" min="4" max="4" width="20.25"/>
    <col customWidth="1" min="5" max="5" width="13.63"/>
    <col customWidth="1" min="6" max="6" width="14.38"/>
  </cols>
  <sheetData>
    <row r="1">
      <c r="B1" s="511"/>
      <c r="C1" s="512" t="s">
        <v>315</v>
      </c>
      <c r="D1" s="512" t="s">
        <v>316</v>
      </c>
      <c r="E1" s="512" t="s">
        <v>317</v>
      </c>
      <c r="F1" s="513" t="s">
        <v>318</v>
      </c>
    </row>
    <row r="2">
      <c r="B2" s="512" t="s">
        <v>257</v>
      </c>
      <c r="C2" s="512">
        <f>IFERROR(__xludf.DUMMYFUNCTION("IMPORTRANGE(""11QmPanSRxykbUTB_EqX7W510tAZnhZpBpW7QiSnxobM"", ""必達管理2025年6月!T3"")"),9884.0)</f>
        <v>9884</v>
      </c>
      <c r="D2" s="511"/>
      <c r="E2" s="511"/>
      <c r="F2" s="511"/>
    </row>
    <row r="3">
      <c r="B3" s="512" t="s">
        <v>260</v>
      </c>
      <c r="C3" s="512">
        <f>IFERROR(__xludf.DUMMYFUNCTION("IMPORTRANGE(""11QmPanSRxykbUTB_EqX7W510tAZnhZpBpW7QiSnxobM"", ""必達管理2025年6月!Q7"")"),191066.0)</f>
        <v>191066</v>
      </c>
      <c r="D3" s="515">
        <f>C3/C2</f>
        <v>19.33083772</v>
      </c>
      <c r="E3" s="511"/>
      <c r="F3" s="511"/>
    </row>
    <row r="4">
      <c r="B4" s="512" t="s">
        <v>261</v>
      </c>
      <c r="C4" s="512">
        <f>IFERROR(__xludf.DUMMYFUNCTION("IMPORTRANGE(""11QmPanSRxykbUTB_EqX7W510tAZnhZpBpW7QiSnxobM"", ""必達管理2025年6月!R7"")"),7980.0)</f>
        <v>7980</v>
      </c>
      <c r="D4" s="515">
        <f>C4/C2</f>
        <v>0.8073654391</v>
      </c>
      <c r="E4" s="515">
        <f>C4/C3</f>
        <v>0.04176567259</v>
      </c>
      <c r="F4" s="511"/>
    </row>
    <row r="5">
      <c r="B5" s="512" t="s">
        <v>266</v>
      </c>
      <c r="C5" s="512">
        <f>IFERROR(__xludf.DUMMYFUNCTION("IMPORTRANGE(""11QmPanSRxykbUTB_EqX7W510tAZnhZpBpW7QiSnxobM"", ""必達管理2025年6月!S7"")"),367.0)</f>
        <v>367</v>
      </c>
      <c r="D5" s="515">
        <f>C5/C2</f>
        <v>0.03713071631</v>
      </c>
      <c r="E5" s="515">
        <f>C5/C3</f>
        <v>0.001920802236</v>
      </c>
      <c r="F5" s="515">
        <f>C5/C4</f>
        <v>0.04598997494</v>
      </c>
    </row>
    <row r="6">
      <c r="B6" s="512" t="s">
        <v>267</v>
      </c>
      <c r="C6" s="517" t="str">
        <f>IFERROR(__xludf.DUMMYFUNCTION("IMPORTRANGE(""1vYc4iTJ16E7R6SUnGhwdB4aOJULuweZOJUwnvK3B2Ug"", ""2025年6月!I22"")"),"#REF!")</f>
        <v>#REF!</v>
      </c>
      <c r="D6" s="515" t="str">
        <f>C6/C2</f>
        <v>#REF!</v>
      </c>
      <c r="E6" s="515" t="str">
        <f>C6/C3</f>
        <v>#REF!</v>
      </c>
      <c r="F6" s="515" t="str">
        <f>C6/C4</f>
        <v>#REF!</v>
      </c>
    </row>
    <row r="7">
      <c r="B7" s="512" t="s">
        <v>319</v>
      </c>
      <c r="C7" s="517" t="str">
        <f>IFERROR(__xludf.DUMMYFUNCTION("IMPORTRANGE(""1vYc4iTJ16E7R6SUnGhwdB4aOJULuweZOJUwnvK3B2Ug"", ""顧客リスト!AP354"")"),"#REF!")</f>
        <v>#REF!</v>
      </c>
      <c r="D7" s="515" t="str">
        <f>C7/C2</f>
        <v>#REF!</v>
      </c>
      <c r="E7" s="515" t="str">
        <f>C7/C3</f>
        <v>#REF!</v>
      </c>
      <c r="F7" s="515" t="str">
        <f>C7/C4</f>
        <v>#REF!</v>
      </c>
    </row>
    <row r="8">
      <c r="B8" s="512" t="s">
        <v>320</v>
      </c>
      <c r="C8" s="520" t="str">
        <f>C7/C6</f>
        <v>#REF!</v>
      </c>
      <c r="D8" s="515"/>
      <c r="E8" s="515"/>
      <c r="F8" s="515"/>
    </row>
    <row r="9">
      <c r="B9" s="512" t="s">
        <v>269</v>
      </c>
      <c r="C9" s="517" t="str">
        <f>IFERROR(__xludf.DUMMYFUNCTION("IMPORTRANGE(""1vYc4iTJ16E7R6SUnGhwdB4aOJULuweZOJUwnvK3B2Ug"", ""顧客リスト!AP355"")"),"#REF!")</f>
        <v>#REF!</v>
      </c>
      <c r="D9" s="515" t="str">
        <f>C9/C2</f>
        <v>#REF!</v>
      </c>
      <c r="E9" s="515" t="str">
        <f>C9/C3</f>
        <v>#REF!</v>
      </c>
      <c r="F9" s="515" t="str">
        <f>C9/C4</f>
        <v>#REF!</v>
      </c>
    </row>
    <row r="10">
      <c r="B10" s="512" t="s">
        <v>321</v>
      </c>
      <c r="C10" s="520" t="str">
        <f>C9/C6</f>
        <v>#REF!</v>
      </c>
      <c r="D10" s="515"/>
      <c r="E10" s="515"/>
      <c r="F10" s="515"/>
    </row>
    <row r="11">
      <c r="B11" s="512" t="s">
        <v>322</v>
      </c>
      <c r="C11" s="549" t="str">
        <f>IFERROR(__xludf.DUMMYFUNCTION("IMPORTRANGE(""1vYc4iTJ16E7R6SUnGhwdB4aOJULuweZOJUwnvK3B2Ug"", ""顧客リスト!AP356"")"),"#REF!")</f>
        <v>#REF!</v>
      </c>
      <c r="D11" s="515" t="str">
        <f>C11/C2</f>
        <v>#REF!</v>
      </c>
      <c r="E11" s="515" t="str">
        <f>C11/C3</f>
        <v>#REF!</v>
      </c>
      <c r="F11" s="515" t="str">
        <f>C11/C4</f>
        <v>#REF!</v>
      </c>
    </row>
    <row r="12">
      <c r="B12" s="512" t="s">
        <v>323</v>
      </c>
      <c r="C12" s="520" t="str">
        <f>C11/C6</f>
        <v>#REF!</v>
      </c>
      <c r="D12" s="515"/>
      <c r="E12" s="515"/>
      <c r="F12" s="515"/>
    </row>
    <row r="13">
      <c r="B13" s="512" t="s">
        <v>324</v>
      </c>
      <c r="C13" s="549" t="str">
        <f>IFERROR(__xludf.DUMMYFUNCTION("IMPORTRANGE(""1vYc4iTJ16E7R6SUnGhwdB4aOJULuweZOJUwnvK3B2Ug"", ""顧客リスト!AP357"")"),"#REF!")</f>
        <v>#REF!</v>
      </c>
      <c r="D13" s="515" t="str">
        <f>C13/C2</f>
        <v>#REF!</v>
      </c>
      <c r="E13" s="515" t="str">
        <f>C13/C3</f>
        <v>#REF!</v>
      </c>
      <c r="F13" s="515" t="str">
        <f>C11/C4</f>
        <v>#REF!</v>
      </c>
    </row>
    <row r="14">
      <c r="B14" s="512" t="s">
        <v>325</v>
      </c>
      <c r="C14" s="520" t="str">
        <f>C13/C6</f>
        <v>#REF!</v>
      </c>
      <c r="D14" s="515"/>
      <c r="E14" s="515"/>
      <c r="F14" s="515"/>
    </row>
    <row r="15">
      <c r="B15" s="512" t="s">
        <v>273</v>
      </c>
      <c r="C15" s="517">
        <v>235.0</v>
      </c>
      <c r="D15" s="511"/>
      <c r="E15" s="511"/>
      <c r="F15" s="515"/>
    </row>
    <row r="16">
      <c r="B16" s="512" t="s">
        <v>282</v>
      </c>
      <c r="C16" s="517" t="str">
        <f>C17-C6</f>
        <v>#REF!</v>
      </c>
      <c r="D16" s="511"/>
      <c r="E16" s="511"/>
      <c r="F16" s="511"/>
    </row>
    <row r="17">
      <c r="A17" s="1">
        <v>900.0</v>
      </c>
      <c r="B17" s="512" t="s">
        <v>283</v>
      </c>
      <c r="C17" s="517">
        <v>698.0</v>
      </c>
      <c r="D17" s="511"/>
      <c r="E17" s="511"/>
      <c r="F17" s="511"/>
    </row>
    <row r="18">
      <c r="B18" s="512" t="s">
        <v>291</v>
      </c>
      <c r="C18" s="522">
        <v>3.76483769876E9</v>
      </c>
      <c r="D18" s="523"/>
      <c r="E18" s="523"/>
      <c r="F18" s="523"/>
    </row>
    <row r="19">
      <c r="B19" s="512" t="s">
        <v>292</v>
      </c>
      <c r="C19" s="522">
        <v>3.65801570586E9</v>
      </c>
      <c r="D19" s="523"/>
      <c r="E19" s="523"/>
      <c r="F19" s="523"/>
    </row>
    <row r="20">
      <c r="B20" s="512" t="s">
        <v>293</v>
      </c>
      <c r="C20" s="524">
        <f>IFERROR(C19/C18, 0)</f>
        <v>0.9716264016</v>
      </c>
      <c r="D20" s="511"/>
      <c r="E20" s="511"/>
      <c r="F20" s="511"/>
    </row>
    <row r="21">
      <c r="B21" s="512" t="s">
        <v>326</v>
      </c>
      <c r="C21" s="522">
        <f>C18-C19</f>
        <v>106821992.9</v>
      </c>
      <c r="D21" s="511"/>
      <c r="E21" s="511"/>
      <c r="F21" s="511"/>
    </row>
    <row r="22">
      <c r="B22" s="512" t="s">
        <v>295</v>
      </c>
      <c r="C22" s="522">
        <f>IFERROR(C21/C17, 0)</f>
        <v>153040.1044</v>
      </c>
      <c r="D22" s="511"/>
      <c r="E22" s="511"/>
      <c r="F22" s="511"/>
      <c r="J22" s="527"/>
    </row>
    <row r="23">
      <c r="B23" s="512" t="s">
        <v>296</v>
      </c>
      <c r="C23" s="512" t="str">
        <f>IFERROR(__xludf.DUMMYFUNCTION("IMPORTRANGE(""1vYc4iTJ16E7R6SUnGhwdB4aOJULuweZOJUwnvK3B2Ug"", ""2025年6月!K22"")"),"#REF!")</f>
        <v>#REF!</v>
      </c>
      <c r="D23" s="511"/>
      <c r="E23" s="511"/>
      <c r="F23" s="511"/>
    </row>
    <row r="24">
      <c r="B24" s="512" t="s">
        <v>297</v>
      </c>
      <c r="C24" s="512" t="str">
        <f>IFERROR(__xludf.DUMMYFUNCTION("IMPORTRANGE(""1vYc4iTJ16E7R6SUnGhwdB4aOJULuweZOJUwnvK3B2Ug"", ""2025年6月!J22"")"),"#REF!")</f>
        <v>#REF!</v>
      </c>
      <c r="D24" s="511"/>
      <c r="E24" s="511"/>
      <c r="F24" s="511"/>
    </row>
    <row r="25">
      <c r="B25" s="512" t="s">
        <v>327</v>
      </c>
      <c r="C25" s="524" t="str">
        <f>C24/C23</f>
        <v>#REF!</v>
      </c>
      <c r="D25" s="513" t="s">
        <v>328</v>
      </c>
      <c r="E25" s="511" t="str">
        <f>IFERROR(__xludf.DUMMYFUNCTION("IMPORTRANGE(""1vYc4iTJ16E7R6SUnGhwdB4aOJULuweZOJUwnvK3B2Ug"", ""2025年6月!D22"")"),"#REF!")</f>
        <v>#REF!</v>
      </c>
      <c r="F25" s="511"/>
    </row>
    <row r="26">
      <c r="B26" s="512" t="s">
        <v>299</v>
      </c>
      <c r="C26" s="512" t="str">
        <f>IFERROR(__xludf.DUMMYFUNCTION("IMPORTRANGE(""1vYc4iTJ16E7R6SUnGhwdB4aOJULuweZOJUwnvK3B2Ug"", ""2025年6月!S22"")"),"#REF!")</f>
        <v>#REF!</v>
      </c>
      <c r="D26" s="512" t="s">
        <v>329</v>
      </c>
      <c r="E26" s="525">
        <v>6878804.0</v>
      </c>
      <c r="F26" s="511"/>
    </row>
    <row r="27">
      <c r="B27" s="512" t="s">
        <v>330</v>
      </c>
      <c r="C27" s="525">
        <f>IFERROR(__xludf.DUMMYFUNCTION("IMPORTRANGE(""1Ou2QKF8-XqWX9WFzapZrSLXeIe1ELfRnTVdIY-5MEn8"", ""June2025 Summary!B3"")"),7.9117068E7)</f>
        <v>79117068</v>
      </c>
      <c r="D27" s="512" t="s">
        <v>331</v>
      </c>
      <c r="E27" s="504">
        <f>E26/C21</f>
        <v>0.06439501654</v>
      </c>
      <c r="F27" s="511"/>
    </row>
    <row r="28">
      <c r="B28" s="512" t="s">
        <v>301</v>
      </c>
      <c r="C28" s="522">
        <f>IFERROR(C27/C17, 0)</f>
        <v>113348.235</v>
      </c>
      <c r="D28" s="512" t="s">
        <v>332</v>
      </c>
      <c r="E28" s="515">
        <f>E26/C27</f>
        <v>0.08694462742</v>
      </c>
      <c r="F28" s="511"/>
    </row>
    <row r="29">
      <c r="B29" s="512" t="s">
        <v>302</v>
      </c>
      <c r="C29" s="522">
        <f>8964376.16+1031830.23</f>
        <v>9996206.39</v>
      </c>
      <c r="D29" s="512" t="s">
        <v>333</v>
      </c>
      <c r="E29" s="515">
        <f>E26/C18</f>
        <v>0.001827118338</v>
      </c>
      <c r="F29" s="511"/>
    </row>
    <row r="30">
      <c r="B30" s="512" t="s">
        <v>303</v>
      </c>
      <c r="C30" s="525">
        <f>C27-C29</f>
        <v>69120861.61</v>
      </c>
      <c r="D30" s="511"/>
      <c r="E30" s="511"/>
      <c r="F30" s="511"/>
    </row>
    <row r="31">
      <c r="B31" s="530" t="s">
        <v>304</v>
      </c>
      <c r="C31" s="546">
        <f>IFERROR(__xludf.DUMMYFUNCTION("IMPORTRANGE(""1Ou2QKF8-XqWX9WFzapZrSLXeIe1ELfRnTVdIY-5MEn8"", ""June2025 Summary!B8"")"),1.3824172322E7)</f>
        <v>13824172.32</v>
      </c>
      <c r="D31" s="531"/>
      <c r="E31" s="531"/>
      <c r="F31" s="531"/>
    </row>
    <row r="32">
      <c r="B32" s="532" t="s">
        <v>305</v>
      </c>
      <c r="C32" s="540">
        <f>IFERROR(__xludf.DUMMYFUNCTION("IMPORTRANGE(""1Ou2QKF8-XqWX9WFzapZrSLXeIe1ELfRnTVdIY-5MEn8"", ""June2025 Summary!B15"")"),1.555219386225E7)</f>
        <v>15552193.86</v>
      </c>
      <c r="D32" s="533"/>
      <c r="E32" s="533"/>
      <c r="F32" s="533"/>
    </row>
    <row r="33">
      <c r="B33" s="532" t="s">
        <v>343</v>
      </c>
      <c r="C33" s="533"/>
      <c r="D33" s="533"/>
      <c r="E33" s="533"/>
      <c r="F33" s="533"/>
    </row>
    <row r="34">
      <c r="B34" s="547" t="s">
        <v>131</v>
      </c>
      <c r="C34" s="534" t="str">
        <f>IFERROR(__xludf.DUMMYFUNCTION("IMPORTRANGE(""1DTUC32YJHSyBa8CTkg1se2r2AQ3xxkB4dVQorqRF3gM"", ""広告費!G8"")"),"")</f>
        <v/>
      </c>
      <c r="D34" s="533"/>
      <c r="E34" s="533"/>
      <c r="F34" s="533"/>
    </row>
    <row r="35">
      <c r="B35" s="536" t="s">
        <v>135</v>
      </c>
      <c r="C35" s="543">
        <f>IFERROR(__xludf.DUMMYFUNCTION("IMPORTRANGE(""1-7D4xn7jPVWxK4Hv_jQ4ruRle9vkJvezFGDqi1GFnd4"", ""MONTHLY !H21"")"),8738253.6)</f>
        <v>8738253.6</v>
      </c>
      <c r="D35" s="537"/>
      <c r="E35" s="537"/>
      <c r="F35" s="537"/>
    </row>
    <row r="36">
      <c r="B36" s="538" t="s">
        <v>129</v>
      </c>
      <c r="C36" s="522">
        <f>IFERROR(__xludf.DUMMYFUNCTION("IMPORTRANGE(""1t2YDL0W_FSrPAtUBku2Z8HGiTZPLv8M1UVfIaROZ8Vc"", ""2025/6月!O3"")"),2602236.0)</f>
        <v>2602236</v>
      </c>
      <c r="D36" s="511"/>
      <c r="E36" s="511"/>
      <c r="F36" s="511"/>
    </row>
    <row r="37">
      <c r="B37" s="538" t="s">
        <v>127</v>
      </c>
      <c r="C37" s="522" t="str">
        <f>IFERROR(__xludf.DUMMYFUNCTION("IMPORTRANGE(""19eD15JPI2SoHKLgnXs8hXbY1ZpP5huYLpI6fo8Mr8bk"", ""経費!BG2"")"),"TOTAL")</f>
        <v>TOTAL</v>
      </c>
      <c r="D37" s="511"/>
      <c r="E37" s="511"/>
      <c r="F37" s="511"/>
    </row>
    <row r="38">
      <c r="B38" s="538" t="s">
        <v>336</v>
      </c>
      <c r="C38" s="522">
        <f>IFERROR(__xludf.DUMMYFUNCTION("IMPORTRANGE(""14XIjmVcs8qf6tS7n0A5FnYSYOV-msbbCaARCRnN4wc0"", ""2025/6月!H3"")"),4270364.0074204)</f>
        <v>4270364.007</v>
      </c>
      <c r="D38" s="511"/>
      <c r="E38" s="511"/>
      <c r="F38" s="511"/>
    </row>
    <row r="39">
      <c r="B39" s="538" t="s">
        <v>337</v>
      </c>
      <c r="C39" s="522">
        <f>IFERROR(__xludf.DUMMYFUNCTION("IMPORTRANGE(""1T1trhXRLFLmvsw6NF2ctVVuwIVOBYo9gekGltVhcgf4"", ""Monthly pay!O17"")"),164959.90799999997)</f>
        <v>164959.908</v>
      </c>
      <c r="D39" s="511"/>
      <c r="E39" s="511"/>
      <c r="F39" s="511"/>
    </row>
    <row r="40">
      <c r="B40" s="512" t="s">
        <v>307</v>
      </c>
      <c r="C40" s="522">
        <f>SUM(C34:C39)</f>
        <v>15775813.52</v>
      </c>
      <c r="D40" s="511"/>
      <c r="E40" s="511"/>
      <c r="F40" s="511"/>
    </row>
    <row r="41">
      <c r="B41" s="532" t="s">
        <v>311</v>
      </c>
      <c r="C41" s="534">
        <f>IFERROR(__xludf.DUMMYFUNCTION("IMPORTRANGE(""1Ou2QKF8-XqWX9WFzapZrSLXeIe1ELfRnTVdIY-5MEn8"", ""June2025 Summary!B16"")"),1.9008236942750003E7)</f>
        <v>19008236.94</v>
      </c>
      <c r="D41" s="532"/>
      <c r="E41" s="533"/>
      <c r="F41" s="533"/>
    </row>
    <row r="42">
      <c r="B42" s="532" t="s">
        <v>338</v>
      </c>
      <c r="C42" s="540">
        <f>C30-C31-C32-C40-C41</f>
        <v>4960444.968</v>
      </c>
      <c r="D42" s="533"/>
      <c r="E42" s="533"/>
      <c r="F42" s="533"/>
    </row>
    <row r="43">
      <c r="B43" s="532" t="s">
        <v>339</v>
      </c>
      <c r="C43" s="539">
        <f>IFERROR(__xludf.DUMMYFUNCTION("IMPORTRANGE(""14XIjmVcs8qf6tS7n0A5FnYSYOV-msbbCaARCRnN4wc0"", ""2025/6月!H5"")"),785657.0)</f>
        <v>785657</v>
      </c>
      <c r="D43" s="532" t="s">
        <v>340</v>
      </c>
      <c r="E43" s="533"/>
      <c r="F43" s="533"/>
    </row>
    <row r="44">
      <c r="B44" s="532" t="s">
        <v>341</v>
      </c>
      <c r="C44" s="539">
        <f>IFERROR(__xludf.DUMMYFUNCTION("IMPORTRANGE(""14XIjmVcs8qf6tS7n0A5FnYSYOV-msbbCaARCRnN4wc0"", ""2025/6月!H13"")"),3542619.0)</f>
        <v>3542619</v>
      </c>
      <c r="D44" s="533" t="str">
        <f>C24-C43-C44</f>
        <v>#REF!</v>
      </c>
      <c r="E44" s="533"/>
      <c r="F44" s="533"/>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25"/>
    <col customWidth="1" min="3" max="3" width="17.63"/>
    <col customWidth="1" min="4" max="4" width="20.25"/>
    <col customWidth="1" min="5" max="5" width="13.63"/>
    <col customWidth="1" min="6" max="6" width="14.38"/>
  </cols>
  <sheetData>
    <row r="1">
      <c r="B1" s="511"/>
      <c r="C1" s="512" t="s">
        <v>315</v>
      </c>
      <c r="D1" s="512" t="s">
        <v>316</v>
      </c>
      <c r="E1" s="512" t="s">
        <v>317</v>
      </c>
      <c r="F1" s="513" t="s">
        <v>318</v>
      </c>
    </row>
    <row r="2">
      <c r="B2" s="512" t="s">
        <v>257</v>
      </c>
      <c r="C2" s="512">
        <v>9967.0</v>
      </c>
      <c r="D2" s="511"/>
      <c r="E2" s="511"/>
      <c r="F2" s="511"/>
    </row>
    <row r="3">
      <c r="B3" s="512" t="s">
        <v>260</v>
      </c>
      <c r="C3" s="512">
        <v>171257.0</v>
      </c>
      <c r="D3" s="515">
        <f>C3/C2</f>
        <v>17.18240193</v>
      </c>
      <c r="E3" s="511"/>
      <c r="F3" s="511"/>
    </row>
    <row r="4">
      <c r="B4" s="512" t="s">
        <v>261</v>
      </c>
      <c r="C4" s="512">
        <v>6193.0</v>
      </c>
      <c r="D4" s="515">
        <f>C4/C2</f>
        <v>0.6213504565</v>
      </c>
      <c r="E4" s="515">
        <f>C4/C3</f>
        <v>0.03616202549</v>
      </c>
      <c r="F4" s="511"/>
    </row>
    <row r="5">
      <c r="B5" s="512" t="s">
        <v>266</v>
      </c>
      <c r="C5" s="512">
        <v>497.0</v>
      </c>
      <c r="D5" s="515">
        <f>C5/C2</f>
        <v>0.04986455302</v>
      </c>
      <c r="E5" s="515">
        <f>C5/C3</f>
        <v>0.002902071156</v>
      </c>
      <c r="F5" s="515">
        <f>C5/C4</f>
        <v>0.0802518973</v>
      </c>
    </row>
    <row r="6">
      <c r="B6" s="512" t="s">
        <v>267</v>
      </c>
      <c r="C6" s="549">
        <v>316.0</v>
      </c>
      <c r="D6" s="515">
        <f>C6/C2</f>
        <v>0.03170462526</v>
      </c>
      <c r="E6" s="515">
        <f>C6/C3</f>
        <v>0.001845180051</v>
      </c>
      <c r="F6" s="515">
        <f>C6/C4</f>
        <v>0.0510253512</v>
      </c>
    </row>
    <row r="7">
      <c r="B7" s="512" t="s">
        <v>319</v>
      </c>
      <c r="C7" s="549">
        <v>0.0</v>
      </c>
      <c r="D7" s="515">
        <f>C7/C2</f>
        <v>0</v>
      </c>
      <c r="E7" s="515">
        <f>C7/C3</f>
        <v>0</v>
      </c>
      <c r="F7" s="515">
        <f>C7/C4</f>
        <v>0</v>
      </c>
    </row>
    <row r="8">
      <c r="B8" s="512" t="s">
        <v>320</v>
      </c>
      <c r="C8" s="520">
        <v>0.0</v>
      </c>
      <c r="D8" s="515"/>
      <c r="E8" s="515"/>
      <c r="F8" s="515"/>
    </row>
    <row r="9">
      <c r="B9" s="512" t="s">
        <v>269</v>
      </c>
      <c r="C9" s="549">
        <v>110.0</v>
      </c>
      <c r="D9" s="515">
        <f>C9/C2</f>
        <v>0.01103642019</v>
      </c>
      <c r="E9" s="515">
        <f>C9/C3</f>
        <v>0.0006423095114</v>
      </c>
      <c r="F9" s="515">
        <f>C9/C4</f>
        <v>0.01776198934</v>
      </c>
    </row>
    <row r="10">
      <c r="B10" s="512" t="s">
        <v>321</v>
      </c>
      <c r="C10" s="520">
        <v>0.34810126582278483</v>
      </c>
      <c r="D10" s="515"/>
      <c r="E10" s="515"/>
      <c r="F10" s="515"/>
    </row>
    <row r="11">
      <c r="B11" s="512" t="s">
        <v>322</v>
      </c>
      <c r="C11" s="549">
        <v>9.0</v>
      </c>
      <c r="D11" s="515">
        <f>C11/C2</f>
        <v>0.0009029798335</v>
      </c>
      <c r="E11" s="515">
        <f>C11/C3</f>
        <v>0.00005255259639</v>
      </c>
      <c r="F11" s="515">
        <f>C11/C4</f>
        <v>0.001453253674</v>
      </c>
    </row>
    <row r="12">
      <c r="B12" s="512" t="s">
        <v>323</v>
      </c>
      <c r="C12" s="520">
        <v>0.028481012658227847</v>
      </c>
      <c r="D12" s="515"/>
      <c r="E12" s="515"/>
      <c r="F12" s="515"/>
    </row>
    <row r="13">
      <c r="B13" s="512" t="s">
        <v>324</v>
      </c>
      <c r="C13" s="549">
        <v>119.0</v>
      </c>
      <c r="D13" s="515">
        <f>C13/C2</f>
        <v>0.01193940002</v>
      </c>
      <c r="E13" s="515">
        <f>C13/C3</f>
        <v>0.0006948621078</v>
      </c>
      <c r="F13" s="515">
        <f>C11/C4</f>
        <v>0.001453253674</v>
      </c>
    </row>
    <row r="14">
      <c r="B14" s="512" t="s">
        <v>325</v>
      </c>
      <c r="C14" s="520">
        <v>0.37658227848101267</v>
      </c>
      <c r="D14" s="515"/>
      <c r="E14" s="515"/>
      <c r="F14" s="515"/>
    </row>
    <row r="15">
      <c r="B15" s="512" t="s">
        <v>273</v>
      </c>
      <c r="C15" s="517">
        <v>119.0</v>
      </c>
      <c r="D15" s="511"/>
      <c r="E15" s="511"/>
      <c r="F15" s="515"/>
    </row>
    <row r="16">
      <c r="B16" s="512" t="s">
        <v>282</v>
      </c>
      <c r="C16" s="549">
        <v>438.0</v>
      </c>
      <c r="D16" s="511"/>
      <c r="E16" s="511"/>
      <c r="F16" s="511"/>
    </row>
    <row r="17">
      <c r="A17" s="1">
        <v>750.0</v>
      </c>
      <c r="B17" s="512" t="s">
        <v>283</v>
      </c>
      <c r="C17" s="517">
        <v>754.0</v>
      </c>
      <c r="D17" s="511"/>
      <c r="E17" s="511"/>
      <c r="F17" s="511"/>
    </row>
    <row r="18">
      <c r="B18" s="512" t="s">
        <v>291</v>
      </c>
      <c r="C18" s="522">
        <v>5.41632348272E9</v>
      </c>
      <c r="D18" s="523"/>
      <c r="E18" s="523"/>
      <c r="F18" s="523"/>
    </row>
    <row r="19">
      <c r="B19" s="512" t="s">
        <v>292</v>
      </c>
      <c r="C19" s="522">
        <v>5.41379894172E9</v>
      </c>
      <c r="D19" s="523"/>
      <c r="E19" s="523"/>
      <c r="F19" s="523"/>
    </row>
    <row r="20">
      <c r="B20" s="512" t="s">
        <v>293</v>
      </c>
      <c r="C20" s="524">
        <v>0.9995339013616793</v>
      </c>
      <c r="D20" s="511"/>
      <c r="E20" s="511"/>
      <c r="F20" s="511"/>
    </row>
    <row r="21">
      <c r="B21" s="512" t="s">
        <v>294</v>
      </c>
      <c r="C21" s="522">
        <v>2524541.0</v>
      </c>
      <c r="D21" s="511"/>
      <c r="E21" s="511"/>
      <c r="F21" s="511"/>
    </row>
    <row r="22">
      <c r="B22" s="512" t="s">
        <v>295</v>
      </c>
      <c r="C22" s="522">
        <v>3348.1976127320954</v>
      </c>
      <c r="D22" s="511"/>
      <c r="E22" s="511"/>
      <c r="F22" s="511"/>
    </row>
    <row r="23">
      <c r="B23" s="512" t="s">
        <v>296</v>
      </c>
      <c r="C23" s="522">
        <v>1.2720747461999999E8</v>
      </c>
      <c r="D23" s="511"/>
      <c r="E23" s="511"/>
      <c r="F23" s="511"/>
    </row>
    <row r="24">
      <c r="B24" s="512" t="s">
        <v>297</v>
      </c>
      <c r="C24" s="525">
        <v>1.080072995E8</v>
      </c>
      <c r="D24" s="511"/>
      <c r="E24" s="511"/>
      <c r="F24" s="511"/>
    </row>
    <row r="25">
      <c r="B25" s="512" t="s">
        <v>327</v>
      </c>
      <c r="C25" s="524">
        <v>0.8490640964506556</v>
      </c>
      <c r="D25" s="513" t="s">
        <v>328</v>
      </c>
      <c r="E25" s="515">
        <v>0.8334792575414466</v>
      </c>
      <c r="F25" s="511"/>
    </row>
    <row r="26">
      <c r="B26" s="512" t="s">
        <v>299</v>
      </c>
      <c r="C26" s="522">
        <v>7.4028096E7</v>
      </c>
      <c r="D26" s="512" t="s">
        <v>329</v>
      </c>
      <c r="E26" s="525">
        <v>7148950.0</v>
      </c>
      <c r="F26" s="511"/>
    </row>
    <row r="27">
      <c r="B27" s="512" t="s">
        <v>300</v>
      </c>
      <c r="C27" s="525">
        <v>3.08224E7</v>
      </c>
      <c r="D27" s="512" t="s">
        <v>331</v>
      </c>
      <c r="E27" s="504">
        <f>E26/C21</f>
        <v>2.831782094</v>
      </c>
      <c r="F27" s="511"/>
    </row>
    <row r="28">
      <c r="B28" s="512" t="s">
        <v>301</v>
      </c>
      <c r="C28" s="522">
        <v>40878.51458885942</v>
      </c>
      <c r="D28" s="512" t="s">
        <v>332</v>
      </c>
      <c r="E28" s="515">
        <f>E26/C27</f>
        <v>0.2319400825</v>
      </c>
      <c r="F28" s="511"/>
    </row>
    <row r="29">
      <c r="B29" s="512" t="s">
        <v>302</v>
      </c>
      <c r="C29" s="522">
        <v>9327506.27</v>
      </c>
      <c r="D29" s="512" t="s">
        <v>333</v>
      </c>
      <c r="E29" s="515">
        <f>E26/C18</f>
        <v>0.001319889778</v>
      </c>
      <c r="F29" s="511"/>
    </row>
    <row r="30">
      <c r="B30" s="512" t="s">
        <v>303</v>
      </c>
      <c r="C30" s="525">
        <v>2.149489373E7</v>
      </c>
      <c r="D30" s="511"/>
      <c r="E30" s="511"/>
      <c r="F30" s="511"/>
    </row>
    <row r="31">
      <c r="B31" s="530" t="s">
        <v>304</v>
      </c>
      <c r="C31" s="546">
        <v>5025483.182</v>
      </c>
      <c r="D31" s="531"/>
      <c r="E31" s="531"/>
      <c r="F31" s="531"/>
    </row>
    <row r="32">
      <c r="B32" s="532" t="s">
        <v>305</v>
      </c>
      <c r="C32" s="540">
        <v>5653668.57975</v>
      </c>
      <c r="D32" s="533"/>
      <c r="E32" s="533"/>
      <c r="F32" s="533"/>
    </row>
    <row r="33">
      <c r="B33" s="532" t="s">
        <v>343</v>
      </c>
      <c r="C33" s="533"/>
      <c r="D33" s="533"/>
      <c r="E33" s="533"/>
      <c r="F33" s="533"/>
    </row>
    <row r="34">
      <c r="B34" s="547" t="s">
        <v>131</v>
      </c>
      <c r="C34" s="534"/>
      <c r="D34" s="533"/>
      <c r="E34" s="533"/>
      <c r="F34" s="533"/>
    </row>
    <row r="35">
      <c r="B35" s="536" t="s">
        <v>135</v>
      </c>
      <c r="C35" s="543">
        <v>8490554.8</v>
      </c>
      <c r="D35" s="537"/>
      <c r="E35" s="537"/>
      <c r="F35" s="537"/>
    </row>
    <row r="36">
      <c r="B36" s="538" t="s">
        <v>129</v>
      </c>
      <c r="C36" s="522">
        <v>2321349.36</v>
      </c>
      <c r="D36" s="511"/>
      <c r="E36" s="511"/>
      <c r="F36" s="511"/>
    </row>
    <row r="37">
      <c r="B37" s="538" t="s">
        <v>127</v>
      </c>
      <c r="C37" s="522">
        <v>3679851.593</v>
      </c>
      <c r="D37" s="511"/>
      <c r="E37" s="511"/>
      <c r="F37" s="511"/>
    </row>
    <row r="38">
      <c r="B38" s="538" t="s">
        <v>336</v>
      </c>
      <c r="C38" s="522">
        <v>6119490.98130618</v>
      </c>
      <c r="D38" s="511"/>
      <c r="E38" s="511"/>
      <c r="F38" s="511"/>
    </row>
    <row r="39">
      <c r="B39" s="538" t="s">
        <v>337</v>
      </c>
      <c r="C39" s="522">
        <v>1768973.7854999998</v>
      </c>
      <c r="D39" s="511"/>
      <c r="E39" s="511"/>
      <c r="F39" s="511"/>
    </row>
    <row r="40">
      <c r="B40" s="512" t="s">
        <v>307</v>
      </c>
      <c r="C40" s="522">
        <v>2.238022051980618E7</v>
      </c>
      <c r="D40" s="511"/>
      <c r="E40" s="511"/>
      <c r="F40" s="511"/>
    </row>
    <row r="41">
      <c r="B41" s="532" t="s">
        <v>311</v>
      </c>
      <c r="C41" s="534">
        <v>6910039.37525</v>
      </c>
      <c r="D41" s="532"/>
      <c r="E41" s="533"/>
      <c r="F41" s="533"/>
    </row>
    <row r="42">
      <c r="B42" s="532" t="s">
        <v>338</v>
      </c>
      <c r="C42" s="540">
        <v>-1.8474517926806178E7</v>
      </c>
      <c r="D42" s="533"/>
      <c r="E42" s="533"/>
      <c r="F42" s="533"/>
    </row>
    <row r="43">
      <c r="B43" s="532" t="s">
        <v>339</v>
      </c>
      <c r="C43" s="539">
        <v>0.0</v>
      </c>
      <c r="D43" s="532" t="s">
        <v>340</v>
      </c>
      <c r="E43" s="533"/>
      <c r="F43" s="533"/>
    </row>
    <row r="44">
      <c r="B44" s="532" t="s">
        <v>348</v>
      </c>
      <c r="C44" s="539">
        <v>0.0</v>
      </c>
      <c r="D44" s="540">
        <f>C24-C43-C44</f>
        <v>108007299.5</v>
      </c>
      <c r="E44" s="533"/>
      <c r="F44" s="533"/>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25"/>
    <col customWidth="1" min="5" max="5" width="13.63"/>
    <col customWidth="1" min="6" max="6" width="14.38"/>
  </cols>
  <sheetData>
    <row r="1">
      <c r="B1" s="511"/>
      <c r="C1" s="512" t="s">
        <v>315</v>
      </c>
      <c r="D1" s="512" t="s">
        <v>316</v>
      </c>
      <c r="E1" s="512" t="s">
        <v>317</v>
      </c>
      <c r="F1" s="513" t="s">
        <v>318</v>
      </c>
    </row>
    <row r="2">
      <c r="B2" s="512" t="s">
        <v>257</v>
      </c>
      <c r="C2" s="512">
        <v>9601.0</v>
      </c>
      <c r="D2" s="511"/>
      <c r="E2" s="511"/>
      <c r="F2" s="511"/>
    </row>
    <row r="3">
      <c r="B3" s="512" t="s">
        <v>260</v>
      </c>
      <c r="C3" s="512">
        <v>95781.0</v>
      </c>
      <c r="D3" s="515">
        <f>C3/C2</f>
        <v>9.976148318</v>
      </c>
      <c r="E3" s="511"/>
      <c r="F3" s="511"/>
    </row>
    <row r="4">
      <c r="B4" s="512" t="s">
        <v>261</v>
      </c>
      <c r="C4" s="512">
        <v>4488.0</v>
      </c>
      <c r="D4" s="515">
        <f>C4/C2</f>
        <v>0.4674513072</v>
      </c>
      <c r="E4" s="515">
        <f>C4/C3</f>
        <v>0.04685689229</v>
      </c>
      <c r="F4" s="511"/>
    </row>
    <row r="5">
      <c r="B5" s="512" t="s">
        <v>266</v>
      </c>
      <c r="C5" s="512">
        <v>269.0</v>
      </c>
      <c r="D5" s="515">
        <f>C5/C2</f>
        <v>0.0280179148</v>
      </c>
      <c r="E5" s="515">
        <f>C5/C3</f>
        <v>0.002808490202</v>
      </c>
      <c r="F5" s="515">
        <f>C5/C4</f>
        <v>0.05993761141</v>
      </c>
    </row>
    <row r="6">
      <c r="B6" s="512" t="s">
        <v>267</v>
      </c>
      <c r="C6" s="549">
        <v>208.0</v>
      </c>
      <c r="D6" s="515">
        <f>C6/C2</f>
        <v>0.02166440996</v>
      </c>
      <c r="E6" s="515">
        <f>C6/C3</f>
        <v>0.002171620676</v>
      </c>
      <c r="F6" s="515">
        <f>C6/C4</f>
        <v>0.04634581105</v>
      </c>
    </row>
    <row r="7">
      <c r="B7" s="512" t="s">
        <v>319</v>
      </c>
      <c r="C7" s="549">
        <v>0.0</v>
      </c>
      <c r="D7" s="515">
        <f>C7/C2</f>
        <v>0</v>
      </c>
      <c r="E7" s="515">
        <f>C7/C3</f>
        <v>0</v>
      </c>
      <c r="F7" s="515">
        <f>C7/C4</f>
        <v>0</v>
      </c>
    </row>
    <row r="8">
      <c r="B8" s="512" t="s">
        <v>320</v>
      </c>
      <c r="C8" s="520">
        <v>0.0</v>
      </c>
      <c r="D8" s="515"/>
      <c r="E8" s="515"/>
      <c r="F8" s="515"/>
    </row>
    <row r="9">
      <c r="B9" s="512" t="s">
        <v>269</v>
      </c>
      <c r="C9" s="549">
        <v>127.0</v>
      </c>
      <c r="D9" s="515">
        <f>C9/C2</f>
        <v>0.01322778877</v>
      </c>
      <c r="E9" s="515">
        <f>C9/C3</f>
        <v>0.001325941471</v>
      </c>
      <c r="F9" s="515">
        <f>C9/C4</f>
        <v>0.02829768271</v>
      </c>
    </row>
    <row r="10">
      <c r="B10" s="512" t="s">
        <v>321</v>
      </c>
      <c r="C10" s="520">
        <v>0.6105769230769231</v>
      </c>
      <c r="D10" s="515"/>
      <c r="E10" s="515"/>
      <c r="F10" s="515"/>
    </row>
    <row r="11">
      <c r="B11" s="512" t="s">
        <v>322</v>
      </c>
      <c r="C11" s="549">
        <v>13.0</v>
      </c>
      <c r="D11" s="515">
        <f>C11/C2</f>
        <v>0.001354025622</v>
      </c>
      <c r="E11" s="515">
        <f>C11/C3</f>
        <v>0.0001357262923</v>
      </c>
      <c r="F11" s="515">
        <f>C11/C4</f>
        <v>0.002896613191</v>
      </c>
    </row>
    <row r="12">
      <c r="B12" s="512" t="s">
        <v>323</v>
      </c>
      <c r="C12" s="520">
        <v>0.0625</v>
      </c>
      <c r="D12" s="515"/>
      <c r="E12" s="515"/>
      <c r="F12" s="515"/>
    </row>
    <row r="13">
      <c r="B13" s="512" t="s">
        <v>324</v>
      </c>
      <c r="C13" s="549">
        <v>140.0</v>
      </c>
      <c r="D13" s="515">
        <f>C13/C2</f>
        <v>0.01458181439</v>
      </c>
      <c r="E13" s="515">
        <f>C13/C3</f>
        <v>0.001461667763</v>
      </c>
      <c r="F13" s="515">
        <f>C11/C4</f>
        <v>0.002896613191</v>
      </c>
    </row>
    <row r="14">
      <c r="B14" s="512" t="s">
        <v>325</v>
      </c>
      <c r="C14" s="520">
        <v>0.6730769230769231</v>
      </c>
      <c r="D14" s="515"/>
      <c r="E14" s="515"/>
      <c r="F14" s="515"/>
    </row>
    <row r="15">
      <c r="B15" s="512" t="s">
        <v>273</v>
      </c>
      <c r="C15" s="512">
        <v>74.0</v>
      </c>
      <c r="D15" s="511"/>
      <c r="E15" s="511"/>
      <c r="F15" s="515"/>
    </row>
    <row r="16">
      <c r="B16" s="512" t="s">
        <v>282</v>
      </c>
      <c r="C16" s="549">
        <v>343.0</v>
      </c>
      <c r="D16" s="511"/>
      <c r="E16" s="511"/>
      <c r="F16" s="511"/>
    </row>
    <row r="17">
      <c r="B17" s="512" t="s">
        <v>283</v>
      </c>
      <c r="C17" s="512">
        <v>551.0</v>
      </c>
      <c r="D17" s="511"/>
      <c r="E17" s="511"/>
      <c r="F17" s="511"/>
    </row>
    <row r="18">
      <c r="B18" s="512" t="s">
        <v>291</v>
      </c>
      <c r="C18" s="522">
        <v>3.40131552345E9</v>
      </c>
      <c r="D18" s="523"/>
      <c r="E18" s="523"/>
      <c r="F18" s="523"/>
    </row>
    <row r="19">
      <c r="B19" s="512" t="s">
        <v>292</v>
      </c>
      <c r="C19" s="522">
        <v>3.3206032961E9</v>
      </c>
      <c r="D19" s="523"/>
      <c r="E19" s="523"/>
      <c r="F19" s="523"/>
    </row>
    <row r="20">
      <c r="B20" s="512" t="s">
        <v>293</v>
      </c>
      <c r="C20" s="524">
        <v>0.9762702910701644</v>
      </c>
      <c r="D20" s="511"/>
      <c r="E20" s="511"/>
      <c r="F20" s="511"/>
    </row>
    <row r="21">
      <c r="B21" s="512" t="s">
        <v>294</v>
      </c>
      <c r="C21" s="522">
        <v>8.07122273499999E7</v>
      </c>
      <c r="D21" s="511"/>
      <c r="E21" s="511"/>
      <c r="F21" s="511"/>
    </row>
    <row r="22">
      <c r="B22" s="512" t="s">
        <v>295</v>
      </c>
      <c r="C22" s="522">
        <v>146483.1712341196</v>
      </c>
      <c r="D22" s="511"/>
      <c r="E22" s="511"/>
      <c r="F22" s="511"/>
    </row>
    <row r="23">
      <c r="B23" s="512" t="s">
        <v>296</v>
      </c>
      <c r="C23" s="522">
        <v>1.224777712E8</v>
      </c>
      <c r="D23" s="511"/>
      <c r="E23" s="511"/>
      <c r="F23" s="511"/>
    </row>
    <row r="24">
      <c r="B24" s="512" t="s">
        <v>297</v>
      </c>
      <c r="C24" s="525">
        <v>1.14885739E8</v>
      </c>
      <c r="D24" s="511"/>
      <c r="E24" s="511"/>
      <c r="F24" s="511"/>
    </row>
    <row r="25">
      <c r="B25" s="512" t="s">
        <v>327</v>
      </c>
      <c r="C25" s="524">
        <v>0.9380129787992092</v>
      </c>
      <c r="D25" s="513" t="s">
        <v>328</v>
      </c>
      <c r="E25" s="515">
        <v>0.8932255455674066</v>
      </c>
      <c r="F25" s="511"/>
    </row>
    <row r="26">
      <c r="B26" s="512" t="s">
        <v>299</v>
      </c>
      <c r="C26" s="522">
        <v>3.9921751E7</v>
      </c>
      <c r="D26" s="512" t="s">
        <v>329</v>
      </c>
      <c r="E26" s="525">
        <v>7768305.0</v>
      </c>
      <c r="F26" s="511"/>
    </row>
    <row r="27">
      <c r="B27" s="512" t="s">
        <v>300</v>
      </c>
      <c r="C27" s="525">
        <v>6.9357611E7</v>
      </c>
      <c r="D27" s="512" t="s">
        <v>331</v>
      </c>
      <c r="E27" s="504">
        <f>E26/C21</f>
        <v>0.0962469412</v>
      </c>
      <c r="F27" s="511"/>
    </row>
    <row r="28">
      <c r="B28" s="512" t="s">
        <v>301</v>
      </c>
      <c r="C28" s="522">
        <v>125875.88203266788</v>
      </c>
      <c r="D28" s="512" t="s">
        <v>332</v>
      </c>
      <c r="E28" s="515">
        <f>E26/C27</f>
        <v>0.1120036415</v>
      </c>
      <c r="F28" s="511"/>
    </row>
    <row r="29">
      <c r="B29" s="512" t="s">
        <v>302</v>
      </c>
      <c r="C29" s="522">
        <v>6733328.95</v>
      </c>
      <c r="D29" s="512" t="s">
        <v>333</v>
      </c>
      <c r="E29" s="515">
        <f>E26/C18</f>
        <v>0.0022839119</v>
      </c>
      <c r="F29" s="511"/>
    </row>
    <row r="30">
      <c r="B30" s="512" t="s">
        <v>303</v>
      </c>
      <c r="C30" s="525">
        <v>6.262428205E7</v>
      </c>
      <c r="D30" s="511"/>
      <c r="E30" s="511"/>
      <c r="F30" s="511"/>
      <c r="H30" s="551">
        <f>C30-C40</f>
        <v>42721177.76</v>
      </c>
    </row>
    <row r="31">
      <c r="B31" s="530" t="s">
        <v>304</v>
      </c>
      <c r="C31" s="546">
        <v>1.252485639E7</v>
      </c>
      <c r="D31" s="531"/>
      <c r="E31" s="531"/>
      <c r="F31" s="531"/>
    </row>
    <row r="32">
      <c r="B32" s="532" t="s">
        <v>305</v>
      </c>
      <c r="C32" s="540">
        <v>1.409046343875E7</v>
      </c>
      <c r="D32" s="533"/>
      <c r="E32" s="533"/>
      <c r="F32" s="533"/>
    </row>
    <row r="33">
      <c r="B33" s="532" t="s">
        <v>343</v>
      </c>
      <c r="C33" s="533"/>
      <c r="D33" s="533"/>
      <c r="E33" s="533"/>
      <c r="F33" s="533"/>
    </row>
    <row r="34">
      <c r="B34" s="547" t="s">
        <v>131</v>
      </c>
      <c r="C34" s="534"/>
      <c r="D34" s="533"/>
      <c r="E34" s="533"/>
      <c r="F34" s="533"/>
    </row>
    <row r="35">
      <c r="B35" s="536" t="s">
        <v>135</v>
      </c>
      <c r="C35" s="543">
        <v>8664027.12</v>
      </c>
      <c r="D35" s="537"/>
      <c r="E35" s="537"/>
      <c r="F35" s="537"/>
    </row>
    <row r="36">
      <c r="B36" s="538" t="s">
        <v>129</v>
      </c>
      <c r="C36" s="522">
        <v>2171413.456214373</v>
      </c>
      <c r="D36" s="511"/>
      <c r="E36" s="511"/>
      <c r="F36" s="511"/>
    </row>
    <row r="37">
      <c r="B37" s="538" t="s">
        <v>127</v>
      </c>
      <c r="C37" s="522">
        <v>4398883.113399999</v>
      </c>
      <c r="D37" s="511"/>
      <c r="E37" s="511"/>
      <c r="F37" s="511"/>
    </row>
    <row r="38">
      <c r="B38" s="538" t="s">
        <v>336</v>
      </c>
      <c r="C38" s="522">
        <v>3809073.8074307796</v>
      </c>
      <c r="D38" s="511"/>
      <c r="E38" s="511"/>
      <c r="F38" s="511"/>
    </row>
    <row r="39">
      <c r="B39" s="538" t="s">
        <v>337</v>
      </c>
      <c r="C39" s="522">
        <v>859706.7959999999</v>
      </c>
      <c r="D39" s="511"/>
      <c r="E39" s="511"/>
      <c r="F39" s="511"/>
    </row>
    <row r="40">
      <c r="B40" s="512" t="s">
        <v>307</v>
      </c>
      <c r="C40" s="522">
        <v>1.9903104293045152E7</v>
      </c>
      <c r="D40" s="511"/>
      <c r="E40" s="511"/>
      <c r="F40" s="511"/>
    </row>
    <row r="41">
      <c r="B41" s="532" t="s">
        <v>311</v>
      </c>
      <c r="C41" s="534">
        <v>1.7221677536250003E7</v>
      </c>
      <c r="D41" s="532"/>
      <c r="E41" s="533"/>
      <c r="F41" s="533"/>
    </row>
    <row r="42">
      <c r="B42" s="532" t="s">
        <v>338</v>
      </c>
      <c r="C42" s="540">
        <v>-1115819.608045157</v>
      </c>
      <c r="D42" s="533"/>
      <c r="E42" s="533"/>
      <c r="F42" s="533"/>
    </row>
    <row r="43">
      <c r="B43" s="532" t="s">
        <v>339</v>
      </c>
      <c r="C43" s="539">
        <v>9951.0</v>
      </c>
      <c r="D43" s="532" t="s">
        <v>340</v>
      </c>
      <c r="E43" s="533"/>
      <c r="F43" s="533"/>
    </row>
    <row r="44">
      <c r="B44" s="532" t="s">
        <v>341</v>
      </c>
      <c r="C44" s="539">
        <v>1069435.0</v>
      </c>
      <c r="D44" s="540">
        <f>C24-C43-C44</f>
        <v>113806353</v>
      </c>
      <c r="E44" s="533"/>
      <c r="F44" s="533"/>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25"/>
    <col customWidth="1" min="5" max="5" width="13.63"/>
    <col customWidth="1" min="6" max="6" width="14.38"/>
  </cols>
  <sheetData>
    <row r="1">
      <c r="B1" s="511"/>
      <c r="C1" s="512" t="s">
        <v>315</v>
      </c>
      <c r="D1" s="512" t="s">
        <v>316</v>
      </c>
      <c r="E1" s="512" t="s">
        <v>317</v>
      </c>
      <c r="F1" s="513" t="s">
        <v>318</v>
      </c>
      <c r="G1" s="9"/>
    </row>
    <row r="2">
      <c r="B2" s="512" t="s">
        <v>257</v>
      </c>
      <c r="C2" s="512">
        <v>6976.0</v>
      </c>
      <c r="D2" s="511"/>
      <c r="E2" s="511"/>
      <c r="F2" s="511"/>
      <c r="G2" s="6"/>
    </row>
    <row r="3">
      <c r="B3" s="512" t="s">
        <v>260</v>
      </c>
      <c r="C3" s="512">
        <v>63823.0</v>
      </c>
      <c r="D3" s="515">
        <f>C3/C2</f>
        <v>9.14893922</v>
      </c>
      <c r="E3" s="511"/>
      <c r="F3" s="511"/>
      <c r="G3" s="6"/>
    </row>
    <row r="4">
      <c r="B4" s="512" t="s">
        <v>261</v>
      </c>
      <c r="C4" s="512">
        <v>4040.0</v>
      </c>
      <c r="D4" s="515">
        <f>C4/C2</f>
        <v>0.5791284404</v>
      </c>
      <c r="E4" s="515">
        <f>C4/C3</f>
        <v>0.06330006424</v>
      </c>
      <c r="F4" s="511"/>
      <c r="G4" s="6"/>
    </row>
    <row r="5">
      <c r="B5" s="512" t="s">
        <v>266</v>
      </c>
      <c r="C5" s="512">
        <v>207.0</v>
      </c>
      <c r="D5" s="515">
        <f>C5/C2</f>
        <v>0.02967316514</v>
      </c>
      <c r="E5" s="515">
        <f>C5/C3</f>
        <v>0.003243344876</v>
      </c>
      <c r="F5" s="515">
        <f>C5/C4</f>
        <v>0.05123762376</v>
      </c>
      <c r="G5" s="6"/>
    </row>
    <row r="6">
      <c r="B6" s="512" t="s">
        <v>267</v>
      </c>
      <c r="C6" s="549">
        <v>159.0</v>
      </c>
      <c r="D6" s="515">
        <f>C6/C2</f>
        <v>0.02279243119</v>
      </c>
      <c r="E6" s="515">
        <f>C6/C3</f>
        <v>0.002491264905</v>
      </c>
      <c r="F6" s="515">
        <f>C6/C4</f>
        <v>0.03935643564</v>
      </c>
      <c r="G6" s="6"/>
    </row>
    <row r="7">
      <c r="B7" s="512" t="s">
        <v>319</v>
      </c>
      <c r="C7" s="549">
        <v>0.0</v>
      </c>
      <c r="D7" s="515">
        <f>C7/C2</f>
        <v>0</v>
      </c>
      <c r="E7" s="515">
        <f>C7/C3</f>
        <v>0</v>
      </c>
      <c r="F7" s="515">
        <f>C7/C4</f>
        <v>0</v>
      </c>
      <c r="G7" s="6"/>
    </row>
    <row r="8">
      <c r="B8" s="512" t="s">
        <v>320</v>
      </c>
      <c r="C8" s="520">
        <v>0.0</v>
      </c>
      <c r="D8" s="515"/>
      <c r="E8" s="515"/>
      <c r="F8" s="515"/>
      <c r="G8" s="6"/>
    </row>
    <row r="9">
      <c r="B9" s="512" t="s">
        <v>269</v>
      </c>
      <c r="C9" s="549">
        <v>103.0</v>
      </c>
      <c r="D9" s="515">
        <f>C9/C2</f>
        <v>0.01476490826</v>
      </c>
      <c r="E9" s="515">
        <f>C9/C3</f>
        <v>0.001613838271</v>
      </c>
      <c r="F9" s="515">
        <f>C9/C4</f>
        <v>0.0254950495</v>
      </c>
      <c r="G9" s="6"/>
    </row>
    <row r="10">
      <c r="B10" s="512" t="s">
        <v>321</v>
      </c>
      <c r="C10" s="520">
        <v>0.6477987421383647</v>
      </c>
      <c r="D10" s="515"/>
      <c r="E10" s="515"/>
      <c r="F10" s="515"/>
      <c r="G10" s="6"/>
    </row>
    <row r="11">
      <c r="B11" s="512" t="s">
        <v>322</v>
      </c>
      <c r="C11" s="549">
        <v>7.0</v>
      </c>
      <c r="D11" s="515">
        <f>C11/C2</f>
        <v>0.001003440367</v>
      </c>
      <c r="E11" s="515">
        <f>C11/C3</f>
        <v>0.0001096783291</v>
      </c>
      <c r="F11" s="515">
        <f>C11/C4</f>
        <v>0.001732673267</v>
      </c>
      <c r="G11" s="6"/>
    </row>
    <row r="12">
      <c r="B12" s="512" t="s">
        <v>323</v>
      </c>
      <c r="C12" s="520">
        <v>0.0440251572327044</v>
      </c>
      <c r="D12" s="515"/>
      <c r="E12" s="515"/>
      <c r="F12" s="515"/>
      <c r="G12" s="6"/>
    </row>
    <row r="13">
      <c r="B13" s="512" t="s">
        <v>324</v>
      </c>
      <c r="C13" s="549">
        <v>110.0</v>
      </c>
      <c r="D13" s="515">
        <f>C13/C2</f>
        <v>0.01576834862</v>
      </c>
      <c r="E13" s="515">
        <f>C13/C3</f>
        <v>0.001723516601</v>
      </c>
      <c r="F13" s="515">
        <f>C11/C4</f>
        <v>0.001732673267</v>
      </c>
      <c r="G13" s="6"/>
    </row>
    <row r="14">
      <c r="B14" s="512" t="s">
        <v>325</v>
      </c>
      <c r="C14" s="520">
        <v>0.6918238993710691</v>
      </c>
      <c r="D14" s="515"/>
      <c r="E14" s="515"/>
      <c r="F14" s="515"/>
      <c r="G14" s="6"/>
    </row>
    <row r="15">
      <c r="B15" s="512" t="s">
        <v>273</v>
      </c>
      <c r="C15" s="512">
        <v>56.0</v>
      </c>
      <c r="D15" s="511"/>
      <c r="E15" s="511"/>
      <c r="F15" s="515"/>
      <c r="G15" s="6"/>
    </row>
    <row r="16">
      <c r="B16" s="512" t="s">
        <v>282</v>
      </c>
      <c r="C16" s="549">
        <v>296.0</v>
      </c>
      <c r="D16" s="511"/>
      <c r="E16" s="511"/>
      <c r="F16" s="511"/>
      <c r="G16" s="6"/>
    </row>
    <row r="17">
      <c r="B17" s="512" t="s">
        <v>283</v>
      </c>
      <c r="C17" s="512">
        <v>455.0</v>
      </c>
      <c r="D17" s="511"/>
      <c r="E17" s="511"/>
      <c r="F17" s="511"/>
      <c r="G17" s="6"/>
    </row>
    <row r="18">
      <c r="B18" s="512" t="s">
        <v>291</v>
      </c>
      <c r="C18" s="522">
        <v>2.5746222737E9</v>
      </c>
      <c r="D18" s="523"/>
      <c r="E18" s="523"/>
      <c r="F18" s="523"/>
      <c r="G18" s="6"/>
    </row>
    <row r="19">
      <c r="B19" s="512" t="s">
        <v>292</v>
      </c>
      <c r="C19" s="522">
        <v>2.50683810865E9</v>
      </c>
      <c r="D19" s="523"/>
      <c r="E19" s="523"/>
      <c r="F19" s="523"/>
      <c r="G19" s="6"/>
    </row>
    <row r="20">
      <c r="B20" s="512" t="s">
        <v>293</v>
      </c>
      <c r="C20" s="524">
        <v>0.9736721903859757</v>
      </c>
      <c r="D20" s="511"/>
      <c r="E20" s="511"/>
      <c r="F20" s="511"/>
      <c r="G20" s="6"/>
    </row>
    <row r="21">
      <c r="B21" s="512" t="s">
        <v>294</v>
      </c>
      <c r="C21" s="522">
        <v>6.778416504999971E7</v>
      </c>
      <c r="D21" s="511"/>
      <c r="E21" s="511"/>
      <c r="F21" s="511"/>
      <c r="G21" s="6"/>
    </row>
    <row r="22">
      <c r="B22" s="512" t="s">
        <v>295</v>
      </c>
      <c r="C22" s="522">
        <v>148976.18692307628</v>
      </c>
      <c r="D22" s="511"/>
      <c r="E22" s="511"/>
      <c r="F22" s="511"/>
      <c r="G22" s="6"/>
    </row>
    <row r="23">
      <c r="B23" s="512" t="s">
        <v>296</v>
      </c>
      <c r="C23" s="522">
        <v>1.4499839460000002E8</v>
      </c>
      <c r="D23" s="511"/>
      <c r="E23" s="511"/>
      <c r="F23" s="511"/>
      <c r="G23" s="6"/>
    </row>
    <row r="24">
      <c r="B24" s="512" t="s">
        <v>297</v>
      </c>
      <c r="C24" s="525">
        <v>1.388602304E8</v>
      </c>
      <c r="D24" s="511"/>
      <c r="E24" s="511"/>
      <c r="F24" s="511"/>
      <c r="G24" s="6"/>
    </row>
    <row r="25">
      <c r="B25" s="512" t="s">
        <v>327</v>
      </c>
      <c r="C25" s="524">
        <v>0.9576673644081849</v>
      </c>
      <c r="D25" s="513" t="s">
        <v>328</v>
      </c>
      <c r="E25" s="515">
        <v>0.9392787332281263</v>
      </c>
      <c r="F25" s="511"/>
      <c r="G25" s="6"/>
    </row>
    <row r="26">
      <c r="B26" s="512" t="s">
        <v>299</v>
      </c>
      <c r="C26" s="522">
        <v>4.5743713E7</v>
      </c>
      <c r="D26" s="512" t="s">
        <v>329</v>
      </c>
      <c r="E26" s="525">
        <v>5474777.0</v>
      </c>
      <c r="F26" s="511"/>
      <c r="G26" s="6"/>
    </row>
    <row r="27">
      <c r="B27" s="512" t="s">
        <v>300</v>
      </c>
      <c r="C27" s="525">
        <v>8.8303648E7</v>
      </c>
      <c r="D27" s="512" t="s">
        <v>331</v>
      </c>
      <c r="E27" s="504">
        <f>E26/C21</f>
        <v>0.08076778693</v>
      </c>
      <c r="F27" s="511"/>
      <c r="G27" s="6"/>
    </row>
    <row r="28">
      <c r="B28" s="512" t="s">
        <v>301</v>
      </c>
      <c r="C28" s="522">
        <v>194073.95164835165</v>
      </c>
      <c r="D28" s="512" t="s">
        <v>332</v>
      </c>
      <c r="E28" s="515">
        <f>E26/C27</f>
        <v>0.0619994431</v>
      </c>
      <c r="F28" s="511"/>
      <c r="G28" s="6"/>
    </row>
    <row r="29">
      <c r="B29" s="512" t="s">
        <v>302</v>
      </c>
      <c r="C29" s="522">
        <v>1.4728276E7</v>
      </c>
      <c r="D29" s="512" t="s">
        <v>333</v>
      </c>
      <c r="E29" s="515">
        <f>E26/C18</f>
        <v>0.002126438917</v>
      </c>
      <c r="F29" s="511"/>
      <c r="G29" s="6"/>
    </row>
    <row r="30">
      <c r="B30" s="512" t="s">
        <v>303</v>
      </c>
      <c r="C30" s="525">
        <v>7.3575372E7</v>
      </c>
      <c r="D30" s="511"/>
      <c r="E30" s="511"/>
      <c r="F30" s="511"/>
      <c r="G30" s="6"/>
    </row>
    <row r="31">
      <c r="B31" s="530" t="s">
        <v>304</v>
      </c>
      <c r="C31" s="546">
        <v>1.47140168E7</v>
      </c>
      <c r="D31" s="531"/>
      <c r="E31" s="531"/>
      <c r="F31" s="531"/>
      <c r="G31" s="6"/>
    </row>
    <row r="32">
      <c r="B32" s="532" t="s">
        <v>305</v>
      </c>
      <c r="C32" s="540">
        <v>1.65532689E7</v>
      </c>
      <c r="D32" s="533"/>
      <c r="E32" s="533"/>
      <c r="F32" s="533"/>
      <c r="G32" s="6"/>
    </row>
    <row r="33">
      <c r="B33" s="532" t="s">
        <v>343</v>
      </c>
      <c r="C33" s="533"/>
      <c r="D33" s="533"/>
      <c r="E33" s="533"/>
      <c r="F33" s="533"/>
      <c r="G33" s="6"/>
    </row>
    <row r="34">
      <c r="B34" s="547" t="s">
        <v>131</v>
      </c>
      <c r="C34" s="534"/>
      <c r="D34" s="533"/>
      <c r="E34" s="533"/>
      <c r="F34" s="533"/>
      <c r="G34" s="6"/>
    </row>
    <row r="35">
      <c r="B35" s="536" t="s">
        <v>135</v>
      </c>
      <c r="C35" s="543">
        <v>8612133.32</v>
      </c>
      <c r="D35" s="537"/>
      <c r="E35" s="537"/>
      <c r="F35" s="537"/>
      <c r="G35" s="6"/>
    </row>
    <row r="36">
      <c r="B36" s="538" t="s">
        <v>129</v>
      </c>
      <c r="C36" s="522">
        <v>2820238.0672227424</v>
      </c>
      <c r="D36" s="511"/>
      <c r="E36" s="511"/>
      <c r="F36" s="511"/>
      <c r="G36" s="6"/>
    </row>
    <row r="37">
      <c r="B37" s="538" t="s">
        <v>127</v>
      </c>
      <c r="C37" s="522">
        <v>2597834.8896000003</v>
      </c>
      <c r="D37" s="511"/>
      <c r="E37" s="511"/>
      <c r="F37" s="511"/>
      <c r="G37" s="6"/>
    </row>
    <row r="38">
      <c r="B38" s="538" t="s">
        <v>336</v>
      </c>
      <c r="C38" s="522">
        <v>3926519.78232346</v>
      </c>
      <c r="D38" s="511"/>
      <c r="E38" s="511"/>
      <c r="F38" s="511"/>
      <c r="G38" s="6"/>
    </row>
    <row r="39">
      <c r="B39" s="538" t="s">
        <v>337</v>
      </c>
      <c r="C39" s="522">
        <v>2008784.7850000001</v>
      </c>
      <c r="D39" s="511"/>
      <c r="E39" s="511"/>
      <c r="F39" s="511"/>
      <c r="G39" s="6"/>
    </row>
    <row r="40">
      <c r="B40" s="512" t="s">
        <v>307</v>
      </c>
      <c r="C40" s="522">
        <v>1.9965510844146203E7</v>
      </c>
      <c r="D40" s="511"/>
      <c r="E40" s="511"/>
      <c r="F40" s="511"/>
      <c r="G40" s="6"/>
    </row>
    <row r="41">
      <c r="B41" s="532" t="s">
        <v>311</v>
      </c>
      <c r="C41" s="534">
        <v>2.02317731E7</v>
      </c>
      <c r="D41" s="532"/>
      <c r="E41" s="533"/>
      <c r="F41" s="533"/>
      <c r="G41" s="6"/>
    </row>
    <row r="42">
      <c r="B42" s="532" t="s">
        <v>338</v>
      </c>
      <c r="C42" s="540">
        <v>2110802.3558537997</v>
      </c>
      <c r="D42" s="533"/>
      <c r="E42" s="533"/>
      <c r="F42" s="533"/>
      <c r="G42" s="6"/>
    </row>
    <row r="43">
      <c r="B43" s="532" t="s">
        <v>339</v>
      </c>
      <c r="C43" s="539">
        <v>230445.0</v>
      </c>
      <c r="D43" s="532" t="s">
        <v>340</v>
      </c>
      <c r="E43" s="533"/>
      <c r="F43" s="533"/>
      <c r="G43" s="6"/>
    </row>
    <row r="44">
      <c r="B44" s="532" t="s">
        <v>341</v>
      </c>
      <c r="C44" s="539">
        <v>1398639.0</v>
      </c>
      <c r="D44" s="540">
        <f>C24-C43-C44</f>
        <v>137231146.4</v>
      </c>
      <c r="E44" s="533"/>
      <c r="F44" s="533"/>
      <c r="G44" s="6"/>
    </row>
  </sheetData>
  <hyperlinks>
    <hyperlink r:id="rId1" location="gid=0" ref="B34"/>
    <hyperlink r:id="rId2"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0"/>
    <col customWidth="1" min="6" max="6" width="14.38"/>
  </cols>
  <sheetData>
    <row r="1">
      <c r="B1" s="511"/>
      <c r="C1" s="512" t="s">
        <v>315</v>
      </c>
      <c r="D1" s="512" t="s">
        <v>316</v>
      </c>
      <c r="E1" s="512" t="s">
        <v>317</v>
      </c>
      <c r="F1" s="513" t="s">
        <v>318</v>
      </c>
    </row>
    <row r="2">
      <c r="B2" s="512" t="s">
        <v>257</v>
      </c>
      <c r="C2" s="512">
        <v>5948.0</v>
      </c>
      <c r="D2" s="511"/>
      <c r="E2" s="511"/>
      <c r="F2" s="511"/>
    </row>
    <row r="3">
      <c r="B3" s="512" t="s">
        <v>260</v>
      </c>
      <c r="C3" s="512">
        <v>47811.0</v>
      </c>
      <c r="D3" s="515">
        <f>C3/C2</f>
        <v>8.038164089</v>
      </c>
      <c r="E3" s="511"/>
      <c r="F3" s="511"/>
    </row>
    <row r="4">
      <c r="B4" s="512" t="s">
        <v>261</v>
      </c>
      <c r="C4" s="512">
        <v>4970.0</v>
      </c>
      <c r="D4" s="515">
        <f>C4/C2</f>
        <v>0.8355749832</v>
      </c>
      <c r="E4" s="515">
        <f>C4/C3</f>
        <v>0.1039509736</v>
      </c>
      <c r="F4" s="511"/>
    </row>
    <row r="5">
      <c r="B5" s="512" t="s">
        <v>266</v>
      </c>
      <c r="C5" s="512">
        <v>223.0</v>
      </c>
      <c r="D5" s="515">
        <f>C5/C2</f>
        <v>0.03749159381</v>
      </c>
      <c r="E5" s="515">
        <f>C5/C3</f>
        <v>0.004664198615</v>
      </c>
      <c r="F5" s="515">
        <f>C5/C4</f>
        <v>0.04486921529</v>
      </c>
    </row>
    <row r="6">
      <c r="B6" s="512" t="s">
        <v>267</v>
      </c>
      <c r="C6" s="549">
        <v>113.0</v>
      </c>
      <c r="D6" s="515">
        <f>C6/C2</f>
        <v>0.01899798252</v>
      </c>
      <c r="E6" s="515">
        <f>C6/C3</f>
        <v>0.002363472841</v>
      </c>
      <c r="F6" s="515">
        <f>C6/C4</f>
        <v>0.02273641851</v>
      </c>
    </row>
    <row r="7">
      <c r="B7" s="512" t="s">
        <v>319</v>
      </c>
      <c r="C7" s="549">
        <v>0.0</v>
      </c>
      <c r="D7" s="515">
        <f>C7/C2</f>
        <v>0</v>
      </c>
      <c r="E7" s="515">
        <f>C7/C3</f>
        <v>0</v>
      </c>
      <c r="F7" s="515">
        <f>C7/C4</f>
        <v>0</v>
      </c>
    </row>
    <row r="8">
      <c r="B8" s="512" t="s">
        <v>320</v>
      </c>
      <c r="C8" s="520">
        <v>0.0</v>
      </c>
      <c r="D8" s="515"/>
      <c r="E8" s="515"/>
      <c r="F8" s="515"/>
    </row>
    <row r="9">
      <c r="B9" s="512" t="s">
        <v>269</v>
      </c>
      <c r="C9" s="549">
        <v>78.0</v>
      </c>
      <c r="D9" s="515">
        <f>C9/C2</f>
        <v>0.01311365165</v>
      </c>
      <c r="E9" s="515">
        <f>C9/C3</f>
        <v>0.001631423731</v>
      </c>
      <c r="F9" s="515">
        <f>C9/C4</f>
        <v>0.01569416499</v>
      </c>
    </row>
    <row r="10">
      <c r="B10" s="512" t="s">
        <v>321</v>
      </c>
      <c r="C10" s="520">
        <v>0.6902654867256637</v>
      </c>
      <c r="D10" s="515"/>
      <c r="E10" s="515"/>
      <c r="F10" s="515"/>
    </row>
    <row r="11">
      <c r="B11" s="512" t="s">
        <v>322</v>
      </c>
      <c r="C11" s="549">
        <v>7.0</v>
      </c>
      <c r="D11" s="515">
        <f>C11/C2</f>
        <v>0.001176866174</v>
      </c>
      <c r="E11" s="515">
        <f>C11/C3</f>
        <v>0.000146409822</v>
      </c>
      <c r="F11" s="515">
        <f>C11/C4</f>
        <v>0.001408450704</v>
      </c>
    </row>
    <row r="12">
      <c r="B12" s="512" t="s">
        <v>323</v>
      </c>
      <c r="C12" s="520">
        <v>0.061946902654867256</v>
      </c>
      <c r="D12" s="515"/>
      <c r="E12" s="515"/>
      <c r="F12" s="515"/>
    </row>
    <row r="13">
      <c r="B13" s="512" t="s">
        <v>324</v>
      </c>
      <c r="C13" s="549">
        <v>85.0</v>
      </c>
      <c r="D13" s="515">
        <f>C13/C2</f>
        <v>0.01429051782</v>
      </c>
      <c r="E13" s="515">
        <f>C13/C3</f>
        <v>0.001777833553</v>
      </c>
      <c r="F13" s="515">
        <f>C11/C4</f>
        <v>0.001408450704</v>
      </c>
    </row>
    <row r="14">
      <c r="B14" s="512" t="s">
        <v>325</v>
      </c>
      <c r="C14" s="520">
        <v>0.7522123893805309</v>
      </c>
      <c r="D14" s="515"/>
      <c r="E14" s="515"/>
      <c r="F14" s="515"/>
    </row>
    <row r="15">
      <c r="B15" s="512" t="s">
        <v>273</v>
      </c>
      <c r="C15" s="512">
        <v>75.0</v>
      </c>
      <c r="D15" s="511"/>
      <c r="E15" s="511"/>
      <c r="F15" s="515"/>
    </row>
    <row r="16">
      <c r="B16" s="512" t="s">
        <v>282</v>
      </c>
      <c r="C16" s="549">
        <v>256.0</v>
      </c>
      <c r="D16" s="511"/>
      <c r="E16" s="511"/>
      <c r="F16" s="511"/>
    </row>
    <row r="17">
      <c r="B17" s="512" t="s">
        <v>283</v>
      </c>
      <c r="C17" s="512">
        <v>369.0</v>
      </c>
      <c r="D17" s="511"/>
      <c r="E17" s="511"/>
      <c r="F17" s="511"/>
    </row>
    <row r="18">
      <c r="B18" s="512" t="s">
        <v>291</v>
      </c>
      <c r="C18" s="522">
        <v>2.66369684457E9</v>
      </c>
      <c r="D18" s="523"/>
      <c r="E18" s="523"/>
      <c r="F18" s="523"/>
    </row>
    <row r="19">
      <c r="B19" s="512" t="s">
        <v>292</v>
      </c>
      <c r="C19" s="522">
        <v>2.5833057174867E9</v>
      </c>
      <c r="D19" s="523"/>
      <c r="E19" s="523"/>
      <c r="F19" s="523"/>
    </row>
    <row r="20">
      <c r="B20" s="512" t="s">
        <v>293</v>
      </c>
      <c r="C20" s="524">
        <v>0.9698197160659708</v>
      </c>
      <c r="D20" s="511"/>
      <c r="E20" s="511"/>
      <c r="F20" s="511"/>
    </row>
    <row r="21">
      <c r="B21" s="512" t="s">
        <v>294</v>
      </c>
      <c r="C21" s="522">
        <v>8.039112708330011E7</v>
      </c>
      <c r="D21" s="511"/>
      <c r="E21" s="511"/>
      <c r="F21" s="511"/>
    </row>
    <row r="22">
      <c r="B22" s="512" t="s">
        <v>295</v>
      </c>
      <c r="C22" s="522">
        <v>217862.13301707347</v>
      </c>
      <c r="D22" s="511"/>
      <c r="E22" s="511"/>
      <c r="F22" s="511"/>
    </row>
    <row r="23">
      <c r="B23" s="512" t="s">
        <v>296</v>
      </c>
      <c r="C23" s="522">
        <v>1.05750924E8</v>
      </c>
      <c r="D23" s="511"/>
      <c r="E23" s="511"/>
      <c r="F23" s="511"/>
    </row>
    <row r="24">
      <c r="B24" s="512" t="s">
        <v>297</v>
      </c>
      <c r="C24" s="525">
        <v>1.0511108442E8</v>
      </c>
      <c r="D24" s="511"/>
      <c r="E24" s="511"/>
      <c r="F24" s="511"/>
    </row>
    <row r="25">
      <c r="B25" s="512" t="s">
        <v>327</v>
      </c>
      <c r="C25" s="524">
        <v>0.9939495603839831</v>
      </c>
      <c r="D25" s="559" t="s">
        <v>328</v>
      </c>
      <c r="E25" s="515">
        <v>0.9311792679939137</v>
      </c>
      <c r="F25" s="511"/>
    </row>
    <row r="26">
      <c r="B26" s="512" t="s">
        <v>299</v>
      </c>
      <c r="C26" s="522">
        <v>2.5727451E7</v>
      </c>
      <c r="D26" s="512" t="s">
        <v>329</v>
      </c>
      <c r="E26" s="525">
        <v>4833158.0</v>
      </c>
      <c r="F26" s="511"/>
    </row>
    <row r="27">
      <c r="B27" s="512" t="s">
        <v>300</v>
      </c>
      <c r="C27" s="525">
        <v>7.6779202E7</v>
      </c>
      <c r="D27" s="512" t="s">
        <v>331</v>
      </c>
      <c r="E27" s="504">
        <f>E26/C21</f>
        <v>0.06012054036</v>
      </c>
      <c r="F27" s="511"/>
    </row>
    <row r="28">
      <c r="B28" s="512" t="s">
        <v>301</v>
      </c>
      <c r="C28" s="522">
        <v>208073.71815718157</v>
      </c>
      <c r="D28" s="512" t="s">
        <v>332</v>
      </c>
      <c r="E28" s="515">
        <f>E26/C27</f>
        <v>0.06294879178</v>
      </c>
      <c r="F28" s="511"/>
    </row>
    <row r="29">
      <c r="B29" s="512" t="s">
        <v>302</v>
      </c>
      <c r="C29" s="522">
        <v>7017654.51</v>
      </c>
      <c r="D29" s="512" t="s">
        <v>333</v>
      </c>
      <c r="E29" s="515">
        <f>E26/C18</f>
        <v>0.001814454978</v>
      </c>
      <c r="F29" s="511"/>
    </row>
    <row r="30">
      <c r="B30" s="512" t="s">
        <v>303</v>
      </c>
      <c r="C30" s="525">
        <v>6.976154749E7</v>
      </c>
      <c r="D30" s="511"/>
      <c r="E30" s="511"/>
      <c r="F30" s="511"/>
    </row>
    <row r="31">
      <c r="B31" s="530" t="s">
        <v>304</v>
      </c>
      <c r="C31" s="546">
        <v>1.39523094E7</v>
      </c>
      <c r="D31" s="531"/>
      <c r="E31" s="531"/>
      <c r="F31" s="531"/>
      <c r="L31" s="504"/>
    </row>
    <row r="32">
      <c r="B32" s="532" t="s">
        <v>305</v>
      </c>
      <c r="C32" s="540">
        <v>1.5696348075000001E7</v>
      </c>
      <c r="D32" s="533"/>
      <c r="E32" s="533"/>
      <c r="F32" s="533"/>
    </row>
    <row r="33">
      <c r="B33" s="532" t="s">
        <v>343</v>
      </c>
      <c r="C33" s="534">
        <v>0.0</v>
      </c>
      <c r="D33" s="533"/>
      <c r="E33" s="533"/>
      <c r="F33" s="533"/>
    </row>
    <row r="34">
      <c r="B34" s="547" t="s">
        <v>131</v>
      </c>
      <c r="C34" s="534">
        <v>58240.0</v>
      </c>
      <c r="D34" s="533"/>
      <c r="E34" s="533"/>
      <c r="F34" s="533"/>
    </row>
    <row r="35">
      <c r="B35" s="536" t="s">
        <v>135</v>
      </c>
      <c r="C35" s="543">
        <v>7698231.538586</v>
      </c>
      <c r="D35" s="537"/>
      <c r="E35" s="537"/>
      <c r="F35" s="537"/>
    </row>
    <row r="36">
      <c r="B36" s="538" t="s">
        <v>129</v>
      </c>
      <c r="C36" s="522">
        <v>2791896.7479009246</v>
      </c>
      <c r="D36" s="511"/>
      <c r="E36" s="511"/>
      <c r="F36" s="511"/>
    </row>
    <row r="37">
      <c r="B37" s="538" t="s">
        <v>127</v>
      </c>
      <c r="C37" s="522">
        <v>2247465.7452000002</v>
      </c>
      <c r="D37" s="511"/>
      <c r="E37" s="511"/>
      <c r="F37" s="511"/>
    </row>
    <row r="38">
      <c r="B38" s="538" t="s">
        <v>336</v>
      </c>
      <c r="C38" s="522">
        <v>3579173.1690677297</v>
      </c>
      <c r="D38" s="511"/>
      <c r="E38" s="511"/>
      <c r="F38" s="511"/>
    </row>
    <row r="39">
      <c r="B39" s="538" t="s">
        <v>337</v>
      </c>
      <c r="C39" s="522">
        <v>1483537.172</v>
      </c>
      <c r="D39" s="511"/>
      <c r="E39" s="511"/>
      <c r="F39" s="511"/>
    </row>
    <row r="40">
      <c r="B40" s="512" t="s">
        <v>307</v>
      </c>
      <c r="C40" s="522">
        <v>1.7858544372754652E7</v>
      </c>
      <c r="D40" s="511"/>
      <c r="E40" s="511"/>
      <c r="F40" s="511"/>
    </row>
    <row r="41">
      <c r="B41" s="532" t="s">
        <v>311</v>
      </c>
      <c r="C41" s="534">
        <v>1.9184425425E7</v>
      </c>
      <c r="D41" s="533"/>
      <c r="E41" s="533"/>
      <c r="F41" s="533"/>
    </row>
    <row r="42">
      <c r="B42" s="532" t="s">
        <v>338</v>
      </c>
      <c r="C42" s="540">
        <v>3069920.2172453403</v>
      </c>
      <c r="D42" s="533"/>
      <c r="E42" s="533"/>
      <c r="F42" s="533"/>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25"/>
    <col customWidth="1" min="6" max="6" width="14.38"/>
  </cols>
  <sheetData>
    <row r="1">
      <c r="B1" s="511"/>
      <c r="C1" s="513" t="s">
        <v>315</v>
      </c>
      <c r="D1" s="513" t="s">
        <v>316</v>
      </c>
      <c r="E1" s="513" t="s">
        <v>317</v>
      </c>
      <c r="F1" s="513" t="s">
        <v>318</v>
      </c>
    </row>
    <row r="2">
      <c r="B2" s="512" t="s">
        <v>257</v>
      </c>
      <c r="C2" s="512">
        <v>4231.0</v>
      </c>
      <c r="D2" s="511"/>
      <c r="E2" s="511"/>
      <c r="F2" s="511"/>
    </row>
    <row r="3">
      <c r="B3" s="512" t="s">
        <v>260</v>
      </c>
      <c r="C3" s="512">
        <v>31156.0</v>
      </c>
      <c r="D3" s="515">
        <f>C3/C2</f>
        <v>7.363743796</v>
      </c>
      <c r="E3" s="511"/>
      <c r="F3" s="511"/>
    </row>
    <row r="4">
      <c r="B4" s="512" t="s">
        <v>261</v>
      </c>
      <c r="C4" s="512">
        <v>3724.0</v>
      </c>
      <c r="D4" s="515">
        <f>C4/C2</f>
        <v>0.8801701725</v>
      </c>
      <c r="E4" s="515">
        <f>C4/C3</f>
        <v>0.1195275388</v>
      </c>
      <c r="F4" s="515"/>
    </row>
    <row r="5">
      <c r="B5" s="512" t="s">
        <v>266</v>
      </c>
      <c r="C5" s="512">
        <v>213.0</v>
      </c>
      <c r="D5" s="515">
        <f>C5/C2</f>
        <v>0.05034270858</v>
      </c>
      <c r="E5" s="515">
        <f>C5/C3</f>
        <v>0.006836564386</v>
      </c>
      <c r="F5" s="515">
        <f>C5/C4</f>
        <v>0.05719656284</v>
      </c>
    </row>
    <row r="6">
      <c r="B6" s="512" t="s">
        <v>267</v>
      </c>
      <c r="C6" s="549">
        <v>149.0</v>
      </c>
      <c r="D6" s="515">
        <f>C6/C2</f>
        <v>0.03521626093</v>
      </c>
      <c r="E6" s="515">
        <f>C6/C3</f>
        <v>0.004782385415</v>
      </c>
      <c r="F6" s="515">
        <f>C6/C4</f>
        <v>0.04001074114</v>
      </c>
    </row>
    <row r="7">
      <c r="B7" s="512" t="s">
        <v>319</v>
      </c>
      <c r="C7" s="549">
        <v>0.0</v>
      </c>
      <c r="D7" s="515">
        <f>C7/C2</f>
        <v>0</v>
      </c>
      <c r="E7" s="515">
        <f>C7/C3</f>
        <v>0</v>
      </c>
      <c r="F7" s="515">
        <f>C7/C3</f>
        <v>0</v>
      </c>
    </row>
    <row r="8">
      <c r="A8" s="33"/>
      <c r="B8" s="560" t="s">
        <v>320</v>
      </c>
      <c r="C8" s="561">
        <v>0.0</v>
      </c>
      <c r="D8" s="562"/>
      <c r="E8" s="562"/>
      <c r="F8" s="562"/>
      <c r="G8" s="33"/>
      <c r="H8" s="33"/>
      <c r="I8" s="33"/>
      <c r="J8" s="33"/>
      <c r="K8" s="33"/>
      <c r="L8" s="33"/>
      <c r="M8" s="33"/>
      <c r="N8" s="33"/>
      <c r="O8" s="33"/>
      <c r="P8" s="33"/>
      <c r="Q8" s="33"/>
      <c r="R8" s="33"/>
      <c r="S8" s="33"/>
      <c r="T8" s="33"/>
      <c r="U8" s="33"/>
      <c r="V8" s="33"/>
      <c r="W8" s="33"/>
      <c r="X8" s="33"/>
      <c r="Y8" s="33"/>
      <c r="Z8" s="33"/>
      <c r="AA8" s="33"/>
    </row>
    <row r="9">
      <c r="A9" s="33"/>
      <c r="B9" s="563" t="s">
        <v>269</v>
      </c>
      <c r="C9" s="564">
        <v>119.0</v>
      </c>
      <c r="D9" s="565">
        <f>C9/C3</f>
        <v>0.003819489023</v>
      </c>
      <c r="E9" s="565">
        <f>C9/C4</f>
        <v>0.03195488722</v>
      </c>
      <c r="F9" s="565">
        <f>C9/C5</f>
        <v>0.558685446</v>
      </c>
      <c r="G9" s="33"/>
      <c r="H9" s="33"/>
      <c r="I9" s="33"/>
      <c r="J9" s="33"/>
      <c r="K9" s="33"/>
      <c r="L9" s="33"/>
      <c r="M9" s="33"/>
      <c r="N9" s="33"/>
      <c r="O9" s="33"/>
      <c r="P9" s="33"/>
      <c r="Q9" s="33"/>
      <c r="R9" s="33"/>
      <c r="S9" s="33"/>
      <c r="T9" s="33"/>
      <c r="U9" s="33"/>
      <c r="V9" s="33"/>
      <c r="W9" s="33"/>
      <c r="X9" s="33"/>
      <c r="Y9" s="33"/>
      <c r="Z9" s="33"/>
      <c r="AA9" s="33"/>
    </row>
    <row r="10">
      <c r="A10" s="33"/>
      <c r="B10" s="560" t="s">
        <v>321</v>
      </c>
      <c r="C10" s="561">
        <v>0.7986577181208053</v>
      </c>
      <c r="D10" s="562"/>
      <c r="E10" s="562"/>
      <c r="F10" s="562"/>
      <c r="G10" s="33"/>
      <c r="H10" s="33"/>
      <c r="I10" s="33"/>
      <c r="J10" s="33"/>
      <c r="K10" s="33"/>
      <c r="L10" s="33"/>
      <c r="M10" s="33"/>
      <c r="N10" s="33"/>
      <c r="O10" s="33"/>
      <c r="P10" s="33"/>
      <c r="Q10" s="33"/>
      <c r="R10" s="33"/>
      <c r="S10" s="33"/>
      <c r="T10" s="33"/>
      <c r="U10" s="33"/>
      <c r="V10" s="33"/>
      <c r="W10" s="33"/>
      <c r="X10" s="33"/>
      <c r="Y10" s="33"/>
      <c r="Z10" s="33"/>
      <c r="AA10" s="33"/>
    </row>
    <row r="11">
      <c r="A11" s="33"/>
      <c r="B11" s="512" t="s">
        <v>322</v>
      </c>
      <c r="C11" s="549">
        <v>4.0</v>
      </c>
      <c r="D11" s="515">
        <f>C11/C2</f>
        <v>0.000945402978</v>
      </c>
      <c r="E11" s="515">
        <f>C11/C3</f>
        <v>0.0001283861856</v>
      </c>
      <c r="F11" s="515">
        <f>C11/C4</f>
        <v>0.001074113856</v>
      </c>
      <c r="G11" s="33"/>
      <c r="H11" s="33"/>
      <c r="I11" s="33"/>
      <c r="J11" s="33"/>
      <c r="K11" s="33"/>
      <c r="L11" s="33"/>
      <c r="M11" s="33"/>
      <c r="N11" s="33"/>
      <c r="O11" s="33"/>
      <c r="P11" s="33"/>
      <c r="Q11" s="33"/>
      <c r="R11" s="33"/>
      <c r="S11" s="33"/>
      <c r="T11" s="33"/>
      <c r="U11" s="33"/>
      <c r="V11" s="33"/>
      <c r="W11" s="33"/>
      <c r="X11" s="33"/>
      <c r="Y11" s="33"/>
      <c r="Z11" s="33"/>
      <c r="AA11" s="33"/>
    </row>
    <row r="12">
      <c r="A12" s="33"/>
      <c r="B12" s="512" t="s">
        <v>323</v>
      </c>
      <c r="C12" s="520">
        <v>0.026845637583892617</v>
      </c>
      <c r="D12" s="515"/>
      <c r="E12" s="515"/>
      <c r="F12" s="515"/>
      <c r="G12" s="33"/>
      <c r="H12" s="33"/>
      <c r="I12" s="33"/>
      <c r="J12" s="33"/>
      <c r="K12" s="33"/>
      <c r="L12" s="33"/>
      <c r="M12" s="33"/>
      <c r="N12" s="33"/>
      <c r="O12" s="33"/>
      <c r="P12" s="33"/>
      <c r="Q12" s="33"/>
      <c r="R12" s="33"/>
      <c r="S12" s="33"/>
      <c r="T12" s="33"/>
      <c r="U12" s="33"/>
      <c r="V12" s="33"/>
      <c r="W12" s="33"/>
      <c r="X12" s="33"/>
      <c r="Y12" s="33"/>
      <c r="Z12" s="33"/>
      <c r="AA12" s="33"/>
    </row>
    <row r="13">
      <c r="A13" s="33"/>
      <c r="B13" s="512" t="s">
        <v>324</v>
      </c>
      <c r="C13" s="549">
        <v>123.0</v>
      </c>
      <c r="D13" s="515">
        <f>C13/C2</f>
        <v>0.02907114157</v>
      </c>
      <c r="E13" s="515">
        <f>C13/C3</f>
        <v>0.003947875209</v>
      </c>
      <c r="F13" s="515">
        <f>C11/C4</f>
        <v>0.001074113856</v>
      </c>
      <c r="G13" s="33"/>
      <c r="H13" s="33"/>
      <c r="I13" s="33"/>
      <c r="J13" s="33"/>
      <c r="K13" s="33"/>
      <c r="L13" s="33"/>
      <c r="M13" s="33"/>
      <c r="N13" s="33"/>
      <c r="O13" s="33"/>
      <c r="P13" s="33"/>
      <c r="Q13" s="33"/>
      <c r="R13" s="33"/>
      <c r="S13" s="33"/>
      <c r="T13" s="33"/>
      <c r="U13" s="33"/>
      <c r="V13" s="33"/>
      <c r="W13" s="33"/>
      <c r="X13" s="33"/>
      <c r="Y13" s="33"/>
      <c r="Z13" s="33"/>
      <c r="AA13" s="33"/>
    </row>
    <row r="14">
      <c r="A14" s="33"/>
      <c r="B14" s="512" t="s">
        <v>325</v>
      </c>
      <c r="C14" s="520">
        <v>0.825503355704698</v>
      </c>
      <c r="D14" s="515"/>
      <c r="E14" s="515"/>
      <c r="F14" s="515"/>
      <c r="G14" s="33"/>
      <c r="H14" s="33"/>
      <c r="I14" s="33"/>
      <c r="J14" s="33"/>
      <c r="K14" s="33"/>
      <c r="L14" s="33"/>
      <c r="M14" s="33"/>
      <c r="N14" s="33"/>
      <c r="O14" s="33"/>
      <c r="P14" s="33"/>
      <c r="Q14" s="33"/>
      <c r="R14" s="33"/>
      <c r="S14" s="33"/>
      <c r="T14" s="33"/>
      <c r="U14" s="33"/>
      <c r="V14" s="33"/>
      <c r="W14" s="33"/>
      <c r="X14" s="33"/>
      <c r="Y14" s="33"/>
      <c r="Z14" s="33"/>
      <c r="AA14" s="33"/>
    </row>
    <row r="15">
      <c r="B15" s="512" t="s">
        <v>273</v>
      </c>
      <c r="C15" s="512">
        <v>60.0</v>
      </c>
      <c r="D15" s="511"/>
      <c r="E15" s="511"/>
      <c r="F15" s="511"/>
    </row>
    <row r="16">
      <c r="B16" s="512" t="s">
        <v>282</v>
      </c>
      <c r="C16" s="549">
        <v>208.0</v>
      </c>
      <c r="D16" s="511"/>
      <c r="E16" s="511"/>
      <c r="F16" s="511"/>
    </row>
    <row r="17">
      <c r="B17" s="512" t="s">
        <v>283</v>
      </c>
      <c r="C17" s="512">
        <v>357.0</v>
      </c>
      <c r="D17" s="511"/>
      <c r="E17" s="511"/>
      <c r="F17" s="511"/>
    </row>
    <row r="18">
      <c r="B18" s="512" t="s">
        <v>291</v>
      </c>
      <c r="C18" s="522">
        <v>3.640093327E9</v>
      </c>
      <c r="D18" s="523"/>
      <c r="E18" s="523"/>
      <c r="F18" s="523"/>
    </row>
    <row r="19">
      <c r="B19" s="512" t="s">
        <v>292</v>
      </c>
      <c r="C19" s="522">
        <v>3.541831671E9</v>
      </c>
      <c r="D19" s="523"/>
      <c r="E19" s="523"/>
      <c r="F19" s="523"/>
    </row>
    <row r="20">
      <c r="B20" s="512" t="s">
        <v>293</v>
      </c>
      <c r="C20" s="524">
        <v>0.9730057316741978</v>
      </c>
      <c r="D20" s="511"/>
      <c r="E20" s="511"/>
      <c r="F20" s="511"/>
    </row>
    <row r="21">
      <c r="B21" s="512" t="s">
        <v>294</v>
      </c>
      <c r="C21" s="522">
        <v>9.8261656E7</v>
      </c>
      <c r="D21" s="511"/>
      <c r="E21" s="511"/>
      <c r="F21" s="511"/>
    </row>
    <row r="22">
      <c r="B22" s="512" t="s">
        <v>295</v>
      </c>
      <c r="C22" s="522">
        <v>275242.73389355745</v>
      </c>
      <c r="D22" s="511"/>
      <c r="E22" s="511"/>
      <c r="F22" s="511"/>
    </row>
    <row r="23">
      <c r="B23" s="512" t="s">
        <v>296</v>
      </c>
      <c r="C23" s="522">
        <v>1.464908226E8</v>
      </c>
      <c r="D23" s="511"/>
      <c r="E23" s="511"/>
      <c r="F23" s="511"/>
    </row>
    <row r="24">
      <c r="B24" s="512" t="s">
        <v>297</v>
      </c>
      <c r="C24" s="525">
        <v>1.29120304E8</v>
      </c>
      <c r="D24" s="511"/>
      <c r="E24" s="511"/>
      <c r="F24" s="511"/>
    </row>
    <row r="25">
      <c r="B25" s="512" t="s">
        <v>327</v>
      </c>
      <c r="C25" s="524">
        <v>0.8814224789532993</v>
      </c>
      <c r="D25" s="566" t="s">
        <v>328</v>
      </c>
      <c r="E25" s="567">
        <v>0.906</v>
      </c>
      <c r="F25" s="511"/>
    </row>
    <row r="26">
      <c r="B26" s="512" t="s">
        <v>299</v>
      </c>
      <c r="C26" s="522">
        <v>5.7374896E7</v>
      </c>
      <c r="D26" s="512" t="s">
        <v>329</v>
      </c>
      <c r="E26" s="525">
        <v>4954000.0</v>
      </c>
      <c r="F26" s="511"/>
    </row>
    <row r="27">
      <c r="B27" s="512" t="s">
        <v>300</v>
      </c>
      <c r="C27" s="525">
        <v>7.2496605E7</v>
      </c>
      <c r="D27" s="512" t="s">
        <v>331</v>
      </c>
      <c r="E27" s="504">
        <f>E26/C21</f>
        <v>0.05041641065</v>
      </c>
      <c r="F27" s="511"/>
    </row>
    <row r="28">
      <c r="B28" s="512" t="s">
        <v>301</v>
      </c>
      <c r="C28" s="522">
        <v>203071.72268907563</v>
      </c>
      <c r="D28" s="512" t="s">
        <v>332</v>
      </c>
      <c r="E28" s="515">
        <f>E26/C27</f>
        <v>0.06833423441</v>
      </c>
      <c r="F28" s="511"/>
    </row>
    <row r="29">
      <c r="B29" s="512" t="s">
        <v>302</v>
      </c>
      <c r="C29" s="525">
        <v>7973518.0</v>
      </c>
      <c r="D29" s="512" t="s">
        <v>333</v>
      </c>
      <c r="E29" s="515">
        <f>E26/C18</f>
        <v>0.001360954117</v>
      </c>
      <c r="F29" s="511"/>
    </row>
    <row r="30">
      <c r="B30" s="512" t="s">
        <v>303</v>
      </c>
      <c r="C30" s="525">
        <v>6.4523087E7</v>
      </c>
      <c r="D30" s="511"/>
      <c r="E30" s="511"/>
      <c r="F30" s="511"/>
    </row>
    <row r="31">
      <c r="B31" s="530" t="s">
        <v>304</v>
      </c>
      <c r="C31" s="546">
        <v>1.27176374E7</v>
      </c>
      <c r="D31" s="531"/>
      <c r="E31" s="531"/>
      <c r="F31" s="531"/>
    </row>
    <row r="32">
      <c r="B32" s="532" t="s">
        <v>305</v>
      </c>
      <c r="C32" s="546">
        <v>1.4307342075000001E7</v>
      </c>
      <c r="D32" s="533"/>
      <c r="E32" s="533"/>
      <c r="F32" s="533"/>
    </row>
    <row r="33">
      <c r="B33" s="532" t="s">
        <v>343</v>
      </c>
      <c r="C33" s="534">
        <v>100000.0</v>
      </c>
      <c r="D33" s="533"/>
      <c r="E33" s="533"/>
      <c r="F33" s="533"/>
    </row>
    <row r="34">
      <c r="B34" s="547" t="s">
        <v>131</v>
      </c>
      <c r="C34" s="534">
        <v>59113.6</v>
      </c>
      <c r="D34" s="533"/>
      <c r="E34" s="533"/>
      <c r="F34" s="533"/>
    </row>
    <row r="35">
      <c r="B35" s="536" t="s">
        <v>135</v>
      </c>
      <c r="C35" s="534">
        <v>4770077.82</v>
      </c>
      <c r="D35" s="537"/>
      <c r="E35" s="537"/>
      <c r="F35" s="537"/>
    </row>
    <row r="36">
      <c r="B36" s="538" t="s">
        <v>129</v>
      </c>
      <c r="C36" s="522">
        <v>1423950.8</v>
      </c>
      <c r="D36" s="511"/>
      <c r="E36" s="511"/>
      <c r="F36" s="511"/>
    </row>
    <row r="37">
      <c r="B37" s="538" t="s">
        <v>127</v>
      </c>
      <c r="C37" s="522">
        <v>1944598.7299999997</v>
      </c>
      <c r="D37" s="511"/>
      <c r="E37" s="511"/>
      <c r="F37" s="511"/>
    </row>
    <row r="38">
      <c r="B38" s="538" t="s">
        <v>336</v>
      </c>
      <c r="C38" s="522">
        <v>5257213.0</v>
      </c>
      <c r="D38" s="511"/>
      <c r="E38" s="511"/>
      <c r="F38" s="511"/>
    </row>
    <row r="39">
      <c r="B39" s="538" t="s">
        <v>337</v>
      </c>
      <c r="C39" s="522">
        <v>2151174.7174400003</v>
      </c>
      <c r="D39" s="511"/>
      <c r="E39" s="511"/>
      <c r="F39" s="511"/>
    </row>
    <row r="40">
      <c r="B40" s="512" t="s">
        <v>307</v>
      </c>
      <c r="C40" s="522">
        <v>1.5706128667439999E7</v>
      </c>
      <c r="D40" s="511"/>
      <c r="E40" s="511"/>
      <c r="F40" s="511"/>
    </row>
    <row r="41">
      <c r="B41" s="532" t="s">
        <v>311</v>
      </c>
      <c r="C41" s="534">
        <v>1.7486751425E7</v>
      </c>
      <c r="D41" s="533"/>
      <c r="E41" s="533"/>
      <c r="F41" s="533"/>
    </row>
    <row r="42">
      <c r="B42" s="532" t="s">
        <v>338</v>
      </c>
      <c r="C42" s="540">
        <v>4305227.432560001</v>
      </c>
      <c r="D42" s="533"/>
      <c r="E42" s="533"/>
      <c r="F42" s="533"/>
    </row>
    <row r="43">
      <c r="B43" s="568"/>
      <c r="C43" s="568"/>
    </row>
    <row r="44">
      <c r="A44" s="569"/>
      <c r="B44" s="1"/>
      <c r="C44" s="552"/>
    </row>
    <row r="45">
      <c r="A45" s="569"/>
      <c r="B45" s="1"/>
      <c r="C45" s="1"/>
    </row>
    <row r="46">
      <c r="B46" s="1"/>
      <c r="C46" s="552"/>
    </row>
    <row r="47">
      <c r="A47" s="569"/>
      <c r="B47" s="1"/>
      <c r="C47" s="552"/>
    </row>
    <row r="48">
      <c r="A48" s="569"/>
      <c r="B48" s="1"/>
      <c r="C48" s="552"/>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25"/>
    <col customWidth="1" min="6" max="6" width="14.38"/>
  </cols>
  <sheetData>
    <row r="1">
      <c r="B1" s="511"/>
      <c r="C1" s="570" t="s">
        <v>315</v>
      </c>
      <c r="D1" s="513" t="s">
        <v>316</v>
      </c>
      <c r="E1" s="513" t="s">
        <v>317</v>
      </c>
      <c r="F1" s="513" t="s">
        <v>318</v>
      </c>
      <c r="H1" s="6"/>
    </row>
    <row r="2">
      <c r="B2" s="512" t="s">
        <v>257</v>
      </c>
      <c r="C2" s="571">
        <v>5492.0</v>
      </c>
      <c r="D2" s="511"/>
      <c r="E2" s="511"/>
      <c r="F2" s="511"/>
      <c r="H2" s="6"/>
    </row>
    <row r="3">
      <c r="B3" s="512" t="s">
        <v>260</v>
      </c>
      <c r="C3" s="571">
        <v>37455.0</v>
      </c>
      <c r="D3" s="572">
        <f>C3/C2</f>
        <v>6.819919883</v>
      </c>
      <c r="E3" s="511"/>
      <c r="F3" s="511"/>
      <c r="H3" s="6"/>
    </row>
    <row r="4">
      <c r="B4" s="512" t="s">
        <v>261</v>
      </c>
      <c r="C4" s="571">
        <v>4104.0</v>
      </c>
      <c r="D4" s="515">
        <f>C4/C2</f>
        <v>0.7472687546</v>
      </c>
      <c r="E4" s="515">
        <f>C4/C3</f>
        <v>0.1095714858</v>
      </c>
      <c r="F4" s="515"/>
      <c r="H4" s="6"/>
    </row>
    <row r="5">
      <c r="B5" s="512" t="s">
        <v>266</v>
      </c>
      <c r="C5" s="571">
        <v>177.0</v>
      </c>
      <c r="D5" s="515">
        <f>C5/C2</f>
        <v>0.03222869629</v>
      </c>
      <c r="E5" s="515">
        <f>C5/C3</f>
        <v>0.004725670805</v>
      </c>
      <c r="F5" s="515">
        <f>C5/C4</f>
        <v>0.04312865497</v>
      </c>
      <c r="H5" s="6"/>
    </row>
    <row r="6">
      <c r="B6" s="512" t="s">
        <v>267</v>
      </c>
      <c r="C6" s="573">
        <v>111.0</v>
      </c>
      <c r="D6" s="515">
        <f>C6/C2</f>
        <v>0.02021121631</v>
      </c>
      <c r="E6" s="515">
        <f>C6/C3</f>
        <v>0.002963556268</v>
      </c>
      <c r="F6" s="515">
        <f>C6/C4</f>
        <v>0.02704678363</v>
      </c>
      <c r="H6" s="574"/>
    </row>
    <row r="7">
      <c r="B7" s="512" t="s">
        <v>319</v>
      </c>
      <c r="C7" s="573">
        <v>0.0</v>
      </c>
      <c r="D7" s="515">
        <f>C7/C2</f>
        <v>0</v>
      </c>
      <c r="E7" s="515">
        <f>C7/C3</f>
        <v>0</v>
      </c>
      <c r="F7" s="515">
        <f>C7/C3</f>
        <v>0</v>
      </c>
      <c r="H7" s="574"/>
    </row>
    <row r="8">
      <c r="A8" s="33"/>
      <c r="B8" s="560" t="s">
        <v>320</v>
      </c>
      <c r="C8" s="561">
        <v>0.0</v>
      </c>
      <c r="D8" s="562"/>
      <c r="E8" s="562"/>
      <c r="F8" s="562"/>
      <c r="G8" s="33"/>
      <c r="H8" s="575"/>
      <c r="I8" s="33"/>
      <c r="J8" s="33"/>
      <c r="K8" s="33"/>
      <c r="L8" s="33"/>
      <c r="M8" s="33"/>
      <c r="N8" s="33"/>
      <c r="O8" s="33"/>
      <c r="P8" s="33"/>
      <c r="Q8" s="33"/>
      <c r="R8" s="33"/>
      <c r="S8" s="33"/>
      <c r="T8" s="33"/>
      <c r="U8" s="33"/>
      <c r="V8" s="33"/>
      <c r="W8" s="33"/>
      <c r="X8" s="33"/>
      <c r="Y8" s="33"/>
      <c r="Z8" s="33"/>
      <c r="AA8" s="33"/>
    </row>
    <row r="9">
      <c r="A9" s="33"/>
      <c r="B9" s="563" t="s">
        <v>269</v>
      </c>
      <c r="C9" s="564">
        <v>89.0</v>
      </c>
      <c r="D9" s="565">
        <f>C9/C3</f>
        <v>0.002376184755</v>
      </c>
      <c r="E9" s="565">
        <f>C9/C4</f>
        <v>0.02168615984</v>
      </c>
      <c r="F9" s="565">
        <f>C9/C5</f>
        <v>0.5028248588</v>
      </c>
      <c r="G9" s="33"/>
      <c r="H9" s="576"/>
      <c r="I9" s="33"/>
      <c r="J9" s="33"/>
      <c r="K9" s="33"/>
      <c r="L9" s="33"/>
      <c r="M9" s="33"/>
      <c r="N9" s="33"/>
      <c r="O9" s="33"/>
      <c r="P9" s="33"/>
      <c r="Q9" s="33"/>
      <c r="R9" s="33"/>
      <c r="S9" s="33"/>
      <c r="T9" s="33"/>
      <c r="U9" s="33"/>
      <c r="V9" s="33"/>
      <c r="W9" s="33"/>
      <c r="X9" s="33"/>
      <c r="Y9" s="33"/>
      <c r="Z9" s="33"/>
      <c r="AA9" s="33"/>
    </row>
    <row r="10">
      <c r="A10" s="33"/>
      <c r="B10" s="560" t="s">
        <v>321</v>
      </c>
      <c r="C10" s="561">
        <v>0.8018018018018018</v>
      </c>
      <c r="D10" s="562"/>
      <c r="E10" s="562"/>
      <c r="F10" s="562"/>
      <c r="G10" s="33"/>
      <c r="H10" s="575"/>
      <c r="I10" s="33"/>
      <c r="J10" s="33"/>
      <c r="K10" s="33"/>
      <c r="L10" s="33"/>
      <c r="M10" s="33"/>
      <c r="N10" s="33"/>
      <c r="O10" s="33"/>
      <c r="P10" s="33"/>
      <c r="Q10" s="33"/>
      <c r="R10" s="33"/>
      <c r="S10" s="33"/>
      <c r="T10" s="33"/>
      <c r="U10" s="33"/>
      <c r="V10" s="33"/>
      <c r="W10" s="33"/>
      <c r="X10" s="33"/>
      <c r="Y10" s="33"/>
      <c r="Z10" s="33"/>
      <c r="AA10" s="33"/>
    </row>
    <row r="11">
      <c r="A11" s="33"/>
      <c r="B11" s="512" t="s">
        <v>322</v>
      </c>
      <c r="C11" s="573">
        <v>7.0</v>
      </c>
      <c r="D11" s="515">
        <f>C11/C2</f>
        <v>0.001274581209</v>
      </c>
      <c r="E11" s="515">
        <f>C11/C3</f>
        <v>0.0001868909358</v>
      </c>
      <c r="F11" s="515">
        <f>C11/C4</f>
        <v>0.001705653021</v>
      </c>
      <c r="G11" s="33"/>
      <c r="H11" s="576"/>
      <c r="I11" s="33"/>
      <c r="J11" s="33"/>
      <c r="K11" s="33"/>
      <c r="L11" s="33"/>
      <c r="M11" s="33"/>
      <c r="N11" s="33"/>
      <c r="O11" s="33"/>
      <c r="P11" s="33"/>
      <c r="Q11" s="33"/>
      <c r="R11" s="33"/>
      <c r="S11" s="33"/>
      <c r="T11" s="33"/>
      <c r="U11" s="33"/>
      <c r="V11" s="33"/>
      <c r="W11" s="33"/>
      <c r="X11" s="33"/>
      <c r="Y11" s="33"/>
      <c r="Z11" s="33"/>
      <c r="AA11" s="33"/>
    </row>
    <row r="12">
      <c r="A12" s="33"/>
      <c r="B12" s="512" t="s">
        <v>323</v>
      </c>
      <c r="C12" s="577">
        <v>0.06306306306306306</v>
      </c>
      <c r="D12" s="515"/>
      <c r="E12" s="515"/>
      <c r="F12" s="515"/>
      <c r="G12" s="33"/>
      <c r="H12" s="575"/>
      <c r="I12" s="33"/>
      <c r="J12" s="33"/>
      <c r="K12" s="33"/>
      <c r="L12" s="33"/>
      <c r="M12" s="33"/>
      <c r="N12" s="33"/>
      <c r="O12" s="33"/>
      <c r="P12" s="33"/>
      <c r="Q12" s="33"/>
      <c r="R12" s="33"/>
      <c r="S12" s="33"/>
      <c r="T12" s="33"/>
      <c r="U12" s="33"/>
      <c r="V12" s="33"/>
      <c r="W12" s="33"/>
      <c r="X12" s="33"/>
      <c r="Y12" s="33"/>
      <c r="Z12" s="33"/>
      <c r="AA12" s="33"/>
    </row>
    <row r="13">
      <c r="A13" s="33"/>
      <c r="B13" s="512" t="s">
        <v>324</v>
      </c>
      <c r="C13" s="573">
        <v>96.0</v>
      </c>
      <c r="D13" s="515">
        <f>C13/C2</f>
        <v>0.01747997087</v>
      </c>
      <c r="E13" s="515">
        <f>C13/C3</f>
        <v>0.002563075691</v>
      </c>
      <c r="F13" s="515">
        <f>C11/C4</f>
        <v>0.001705653021</v>
      </c>
      <c r="G13" s="33"/>
      <c r="H13" s="576"/>
      <c r="I13" s="33"/>
      <c r="J13" s="33"/>
      <c r="K13" s="33"/>
      <c r="L13" s="33"/>
      <c r="M13" s="33"/>
      <c r="N13" s="33"/>
      <c r="O13" s="33"/>
      <c r="P13" s="33"/>
      <c r="Q13" s="33"/>
      <c r="R13" s="33"/>
      <c r="S13" s="33"/>
      <c r="T13" s="33"/>
      <c r="U13" s="33"/>
      <c r="V13" s="33"/>
      <c r="W13" s="33"/>
      <c r="X13" s="33"/>
      <c r="Y13" s="33"/>
      <c r="Z13" s="33"/>
      <c r="AA13" s="33"/>
    </row>
    <row r="14">
      <c r="A14" s="33"/>
      <c r="B14" s="512" t="s">
        <v>325</v>
      </c>
      <c r="C14" s="577">
        <v>0.8648648648648649</v>
      </c>
      <c r="D14" s="515"/>
      <c r="E14" s="515"/>
      <c r="F14" s="515"/>
      <c r="G14" s="33"/>
      <c r="H14" s="575"/>
      <c r="I14" s="33"/>
      <c r="J14" s="33"/>
      <c r="K14" s="33"/>
      <c r="L14" s="33"/>
      <c r="M14" s="33"/>
      <c r="N14" s="33"/>
      <c r="O14" s="33"/>
      <c r="P14" s="33"/>
      <c r="Q14" s="33"/>
      <c r="R14" s="33"/>
      <c r="S14" s="33"/>
      <c r="T14" s="33"/>
      <c r="U14" s="33"/>
      <c r="V14" s="33"/>
      <c r="W14" s="33"/>
      <c r="X14" s="33"/>
      <c r="Y14" s="33"/>
      <c r="Z14" s="33"/>
      <c r="AA14" s="33"/>
    </row>
    <row r="15">
      <c r="B15" s="512" t="s">
        <v>273</v>
      </c>
      <c r="C15" s="571">
        <v>60.0</v>
      </c>
      <c r="D15" s="511"/>
      <c r="E15" s="511"/>
      <c r="F15" s="511"/>
      <c r="H15" s="6"/>
    </row>
    <row r="16">
      <c r="B16" s="512" t="s">
        <v>282</v>
      </c>
      <c r="C16" s="573">
        <v>246.0</v>
      </c>
      <c r="D16" s="511"/>
      <c r="E16" s="511"/>
      <c r="F16" s="511"/>
      <c r="H16" s="574"/>
    </row>
    <row r="17">
      <c r="B17" s="512" t="s">
        <v>283</v>
      </c>
      <c r="C17" s="571">
        <v>357.0</v>
      </c>
      <c r="D17" s="511"/>
      <c r="E17" s="511"/>
      <c r="F17" s="511"/>
      <c r="H17" s="6"/>
    </row>
    <row r="18">
      <c r="B18" s="512" t="s">
        <v>291</v>
      </c>
      <c r="C18" s="523">
        <v>7.252322684E9</v>
      </c>
      <c r="D18" s="523"/>
      <c r="E18" s="523"/>
      <c r="F18" s="523"/>
      <c r="H18" s="578"/>
    </row>
    <row r="19">
      <c r="B19" s="512" t="s">
        <v>292</v>
      </c>
      <c r="C19" s="523">
        <v>7.125128234E9</v>
      </c>
      <c r="D19" s="523"/>
      <c r="E19" s="523"/>
      <c r="F19" s="523"/>
      <c r="H19" s="578"/>
    </row>
    <row r="20">
      <c r="B20" s="512" t="s">
        <v>293</v>
      </c>
      <c r="C20" s="515">
        <v>0.9824615567257349</v>
      </c>
      <c r="D20" s="511"/>
      <c r="E20" s="511"/>
      <c r="F20" s="511"/>
      <c r="H20" s="544"/>
    </row>
    <row r="21">
      <c r="B21" s="512" t="s">
        <v>294</v>
      </c>
      <c r="C21" s="523">
        <v>1.2719445E8</v>
      </c>
      <c r="D21" s="511"/>
      <c r="E21" s="511"/>
      <c r="F21" s="511"/>
      <c r="H21" s="578"/>
    </row>
    <row r="22">
      <c r="B22" s="512" t="s">
        <v>295</v>
      </c>
      <c r="C22" s="523">
        <v>356286.97478991596</v>
      </c>
      <c r="D22" s="511"/>
      <c r="E22" s="511"/>
      <c r="F22" s="511"/>
      <c r="H22" s="578"/>
    </row>
    <row r="23">
      <c r="B23" s="512" t="s">
        <v>296</v>
      </c>
      <c r="C23" s="523">
        <v>2.00248158E8</v>
      </c>
      <c r="D23" s="511"/>
      <c r="E23" s="511"/>
      <c r="F23" s="511"/>
      <c r="H23" s="578"/>
    </row>
    <row r="24">
      <c r="B24" s="512" t="s">
        <v>297</v>
      </c>
      <c r="C24" s="579">
        <v>1.90324998E8</v>
      </c>
      <c r="D24" s="511"/>
      <c r="E24" s="511"/>
      <c r="F24" s="511"/>
      <c r="H24" s="580"/>
    </row>
    <row r="25">
      <c r="B25" s="512" t="s">
        <v>327</v>
      </c>
      <c r="C25" s="515">
        <v>0.9504456864966518</v>
      </c>
      <c r="D25" s="566" t="s">
        <v>328</v>
      </c>
      <c r="E25" s="567">
        <v>0.9631</v>
      </c>
      <c r="F25" s="511"/>
      <c r="H25" s="544"/>
    </row>
    <row r="26">
      <c r="B26" s="512" t="s">
        <v>299</v>
      </c>
      <c r="C26" s="523">
        <v>6.4423375E7</v>
      </c>
      <c r="D26" s="512" t="s">
        <v>329</v>
      </c>
      <c r="E26" s="525">
        <v>3205500.0</v>
      </c>
      <c r="F26" s="511"/>
      <c r="H26" s="578"/>
    </row>
    <row r="27">
      <c r="B27" s="512" t="s">
        <v>300</v>
      </c>
      <c r="C27" s="579">
        <v>1.24135759E8</v>
      </c>
      <c r="D27" s="512" t="s">
        <v>331</v>
      </c>
      <c r="E27" s="504">
        <f>E26/C21</f>
        <v>0.02520157129</v>
      </c>
      <c r="F27" s="511"/>
      <c r="H27" s="580"/>
    </row>
    <row r="28">
      <c r="B28" s="512" t="s">
        <v>301</v>
      </c>
      <c r="C28" s="523">
        <v>347719.21288515406</v>
      </c>
      <c r="D28" s="512" t="s">
        <v>332</v>
      </c>
      <c r="E28" s="515">
        <f>E26/C27</f>
        <v>0.02582253515</v>
      </c>
      <c r="F28" s="511"/>
      <c r="H28" s="578"/>
    </row>
    <row r="29">
      <c r="B29" s="512" t="s">
        <v>302</v>
      </c>
      <c r="C29" s="579">
        <v>1.0434557E7</v>
      </c>
      <c r="D29" s="512" t="s">
        <v>333</v>
      </c>
      <c r="E29" s="515">
        <f>E26/C18</f>
        <v>0.0004419963286</v>
      </c>
      <c r="F29" s="511"/>
      <c r="H29" s="580"/>
    </row>
    <row r="30">
      <c r="B30" s="512" t="s">
        <v>303</v>
      </c>
      <c r="C30" s="579">
        <v>1.13701202E8</v>
      </c>
      <c r="D30" s="511"/>
      <c r="E30" s="511"/>
      <c r="F30" s="511"/>
      <c r="H30" s="580"/>
    </row>
    <row r="31">
      <c r="B31" s="530" t="s">
        <v>304</v>
      </c>
      <c r="C31" s="581">
        <v>2.27402405E7</v>
      </c>
      <c r="D31" s="531"/>
      <c r="E31" s="531"/>
      <c r="F31" s="531"/>
      <c r="H31" s="580"/>
    </row>
    <row r="32">
      <c r="B32" s="532" t="s">
        <v>305</v>
      </c>
      <c r="C32" s="581">
        <v>2.55827705625E7</v>
      </c>
      <c r="D32" s="533"/>
      <c r="E32" s="533"/>
      <c r="F32" s="533"/>
      <c r="H32" s="580"/>
    </row>
    <row r="33">
      <c r="B33" s="532" t="s">
        <v>343</v>
      </c>
      <c r="C33" s="539">
        <v>271142.0</v>
      </c>
      <c r="D33" s="533"/>
      <c r="E33" s="533"/>
      <c r="F33" s="533"/>
      <c r="H33" s="578"/>
    </row>
    <row r="34">
      <c r="B34" s="535" t="s">
        <v>349</v>
      </c>
      <c r="C34" s="539">
        <v>1.4897141E7</v>
      </c>
      <c r="D34" s="533"/>
      <c r="E34" s="533"/>
      <c r="F34" s="533"/>
      <c r="H34" s="578"/>
    </row>
    <row r="35">
      <c r="B35" s="536" t="s">
        <v>135</v>
      </c>
      <c r="C35" s="539">
        <v>5647561.0</v>
      </c>
      <c r="D35" s="537"/>
      <c r="E35" s="537"/>
      <c r="F35" s="537"/>
      <c r="H35" s="578"/>
    </row>
    <row r="36">
      <c r="B36" s="538" t="s">
        <v>129</v>
      </c>
      <c r="C36" s="523">
        <v>3307845.12</v>
      </c>
      <c r="D36" s="511"/>
      <c r="E36" s="511"/>
      <c r="F36" s="511"/>
      <c r="H36" s="578"/>
    </row>
    <row r="37">
      <c r="B37" s="538" t="s">
        <v>127</v>
      </c>
      <c r="C37" s="523">
        <v>2409571.8628</v>
      </c>
      <c r="D37" s="511"/>
      <c r="E37" s="511"/>
      <c r="F37" s="511"/>
      <c r="H37" s="578"/>
    </row>
    <row r="38">
      <c r="B38" s="538" t="s">
        <v>336</v>
      </c>
      <c r="C38" s="523">
        <v>4537279.0</v>
      </c>
      <c r="D38" s="511"/>
      <c r="E38" s="511"/>
      <c r="F38" s="511"/>
      <c r="H38" s="578"/>
    </row>
    <row r="39">
      <c r="B39" s="538" t="s">
        <v>337</v>
      </c>
      <c r="C39" s="523">
        <v>3024985.2030000007</v>
      </c>
      <c r="D39" s="511"/>
      <c r="E39" s="511"/>
      <c r="F39" s="511"/>
      <c r="H39" s="578"/>
    </row>
    <row r="40">
      <c r="B40" s="512" t="s">
        <v>307</v>
      </c>
      <c r="C40" s="523">
        <v>3.40955251858E7</v>
      </c>
      <c r="D40" s="511"/>
      <c r="E40" s="511"/>
      <c r="F40" s="511"/>
      <c r="H40" s="578"/>
    </row>
    <row r="41">
      <c r="B41" s="532" t="s">
        <v>311</v>
      </c>
      <c r="C41" s="539">
        <v>3.1267830687500004E7</v>
      </c>
      <c r="D41" s="533"/>
      <c r="E41" s="533"/>
      <c r="F41" s="533"/>
      <c r="H41" s="578"/>
    </row>
    <row r="42">
      <c r="B42" s="532" t="s">
        <v>338</v>
      </c>
      <c r="C42" s="540">
        <v>14835.06419999525</v>
      </c>
      <c r="D42" s="533"/>
      <c r="E42" s="533"/>
      <c r="F42" s="533"/>
      <c r="H42" s="580"/>
    </row>
    <row r="43">
      <c r="B43" s="582"/>
      <c r="C43" s="583"/>
      <c r="D43" s="6"/>
      <c r="E43" s="6"/>
      <c r="F43" s="6"/>
    </row>
    <row r="44">
      <c r="A44" s="569"/>
      <c r="B44" s="528"/>
      <c r="C44" s="578"/>
      <c r="D44" s="6"/>
      <c r="E44" s="6"/>
      <c r="F44" s="6"/>
      <c r="H44" s="552"/>
    </row>
    <row r="45">
      <c r="A45" s="569"/>
      <c r="B45" s="528"/>
      <c r="C45" s="584"/>
      <c r="D45" s="6"/>
      <c r="E45" s="6"/>
      <c r="F45" s="6"/>
    </row>
    <row r="46">
      <c r="B46" s="528"/>
      <c r="C46" s="578"/>
      <c r="D46" s="6"/>
      <c r="E46" s="6"/>
      <c r="F46" s="6"/>
      <c r="H46" s="552"/>
    </row>
    <row r="47">
      <c r="A47" s="569"/>
      <c r="B47" s="528"/>
      <c r="C47" s="578"/>
      <c r="D47" s="6"/>
      <c r="E47" s="6"/>
      <c r="F47" s="6"/>
      <c r="H47" s="552"/>
    </row>
    <row r="48">
      <c r="A48" s="569"/>
      <c r="B48" s="528"/>
      <c r="C48" s="578"/>
      <c r="D48" s="6"/>
      <c r="E48" s="6"/>
      <c r="F48" s="6"/>
      <c r="H48" s="552"/>
    </row>
    <row r="49">
      <c r="B49" s="3"/>
      <c r="C49" s="6"/>
      <c r="D49" s="6"/>
      <c r="E49" s="6"/>
      <c r="F49" s="6"/>
    </row>
    <row r="50">
      <c r="B50" s="3"/>
      <c r="C50" s="6"/>
      <c r="D50" s="6"/>
      <c r="E50" s="6"/>
      <c r="F50" s="6"/>
    </row>
    <row r="51">
      <c r="B51" s="3"/>
      <c r="C51" s="6"/>
      <c r="D51" s="6"/>
      <c r="E51" s="6"/>
      <c r="F51" s="6"/>
    </row>
    <row r="52">
      <c r="B52" s="3"/>
      <c r="C52" s="6"/>
      <c r="D52" s="6"/>
      <c r="E52" s="6"/>
      <c r="F52" s="6"/>
    </row>
    <row r="53">
      <c r="B53" s="3"/>
      <c r="C53" s="6"/>
      <c r="D53" s="6"/>
      <c r="E53" s="6"/>
      <c r="F53" s="6"/>
    </row>
    <row r="54">
      <c r="B54" s="3"/>
      <c r="C54" s="6"/>
      <c r="D54" s="6"/>
      <c r="E54" s="6"/>
      <c r="F54" s="6"/>
    </row>
    <row r="55">
      <c r="B55" s="3"/>
      <c r="C55" s="6"/>
      <c r="D55" s="6"/>
      <c r="E55" s="6"/>
      <c r="F55" s="6"/>
    </row>
    <row r="56">
      <c r="B56" s="3"/>
      <c r="C56" s="6"/>
      <c r="D56" s="6"/>
      <c r="E56" s="6"/>
      <c r="F56" s="6"/>
    </row>
    <row r="57">
      <c r="B57" s="3"/>
      <c r="C57" s="6"/>
      <c r="D57" s="6"/>
      <c r="E57" s="6"/>
      <c r="F57" s="6"/>
    </row>
    <row r="58">
      <c r="B58" s="3"/>
      <c r="C58" s="6"/>
      <c r="D58" s="6"/>
      <c r="E58" s="6"/>
      <c r="F58" s="6"/>
    </row>
    <row r="59">
      <c r="B59" s="3"/>
      <c r="C59" s="6"/>
      <c r="D59" s="6"/>
      <c r="E59" s="6"/>
      <c r="F59" s="6"/>
    </row>
    <row r="60">
      <c r="B60" s="3"/>
      <c r="C60" s="6"/>
      <c r="D60" s="6"/>
      <c r="E60" s="6"/>
      <c r="F60" s="6"/>
    </row>
    <row r="61">
      <c r="B61" s="3"/>
      <c r="C61" s="6"/>
      <c r="D61" s="6"/>
      <c r="E61" s="6"/>
      <c r="F61" s="6"/>
    </row>
    <row r="62">
      <c r="B62" s="3"/>
      <c r="C62" s="6"/>
      <c r="D62" s="6"/>
      <c r="E62" s="6"/>
      <c r="F62" s="6"/>
    </row>
    <row r="63">
      <c r="B63" s="3"/>
      <c r="C63" s="6"/>
      <c r="D63" s="6"/>
      <c r="E63" s="6"/>
      <c r="F63" s="6"/>
    </row>
    <row r="64">
      <c r="B64" s="3"/>
      <c r="C64" s="6"/>
      <c r="D64" s="6"/>
      <c r="E64" s="6"/>
      <c r="F64" s="6"/>
    </row>
    <row r="65">
      <c r="B65" s="3"/>
      <c r="C65" s="6"/>
      <c r="D65" s="6"/>
      <c r="E65" s="6"/>
      <c r="F65" s="6"/>
    </row>
    <row r="66">
      <c r="B66" s="3"/>
      <c r="C66" s="6"/>
      <c r="D66" s="6"/>
      <c r="E66" s="6"/>
      <c r="F66" s="6"/>
    </row>
    <row r="67">
      <c r="B67" s="3"/>
      <c r="C67" s="6"/>
      <c r="D67" s="6"/>
      <c r="E67" s="6"/>
      <c r="F67" s="6"/>
    </row>
    <row r="68">
      <c r="B68" s="3"/>
      <c r="C68" s="6"/>
      <c r="D68" s="6"/>
      <c r="E68" s="6"/>
      <c r="F68" s="6"/>
    </row>
    <row r="69">
      <c r="B69" s="3"/>
      <c r="C69" s="6"/>
      <c r="D69" s="6"/>
      <c r="E69" s="6"/>
      <c r="F69" s="6"/>
    </row>
    <row r="70">
      <c r="B70" s="3"/>
      <c r="C70" s="6"/>
      <c r="D70" s="6"/>
      <c r="E70" s="6"/>
      <c r="F70" s="6"/>
    </row>
    <row r="71">
      <c r="B71" s="3"/>
      <c r="C71" s="6"/>
      <c r="D71" s="6"/>
      <c r="E71" s="6"/>
      <c r="F71" s="6"/>
    </row>
    <row r="72">
      <c r="B72" s="3"/>
      <c r="C72" s="6"/>
      <c r="D72" s="6"/>
      <c r="E72" s="6"/>
      <c r="F72" s="6"/>
    </row>
    <row r="73">
      <c r="B73" s="3"/>
      <c r="C73" s="6"/>
      <c r="D73" s="6"/>
      <c r="E73" s="6"/>
      <c r="F73" s="6"/>
    </row>
    <row r="74">
      <c r="B74" s="3"/>
      <c r="C74" s="6"/>
      <c r="D74" s="6"/>
      <c r="E74" s="6"/>
      <c r="F74" s="6"/>
    </row>
    <row r="75">
      <c r="B75" s="3"/>
      <c r="C75" s="6"/>
      <c r="D75" s="6"/>
      <c r="E75" s="6"/>
      <c r="F75" s="6"/>
    </row>
    <row r="76">
      <c r="B76" s="3"/>
      <c r="C76" s="6"/>
      <c r="D76" s="6"/>
      <c r="E76" s="6"/>
      <c r="F76" s="6"/>
    </row>
    <row r="77">
      <c r="B77" s="3"/>
      <c r="C77" s="6"/>
      <c r="D77" s="6"/>
      <c r="E77" s="6"/>
      <c r="F77" s="6"/>
    </row>
    <row r="78">
      <c r="B78" s="3"/>
      <c r="C78" s="6"/>
      <c r="D78" s="6"/>
      <c r="E78" s="6"/>
      <c r="F78" s="6"/>
    </row>
    <row r="79">
      <c r="B79" s="3"/>
      <c r="C79" s="6"/>
      <c r="D79" s="6"/>
      <c r="E79" s="6"/>
      <c r="F79" s="6"/>
    </row>
    <row r="80">
      <c r="B80" s="3"/>
      <c r="C80" s="6"/>
      <c r="D80" s="6"/>
      <c r="E80" s="6"/>
      <c r="F80" s="6"/>
    </row>
    <row r="81">
      <c r="B81" s="3"/>
      <c r="C81" s="6"/>
      <c r="D81" s="6"/>
      <c r="E81" s="6"/>
      <c r="F81" s="6"/>
    </row>
    <row r="82">
      <c r="B82" s="3"/>
      <c r="C82" s="6"/>
      <c r="D82" s="6"/>
      <c r="E82" s="6"/>
      <c r="F82" s="6"/>
    </row>
    <row r="83">
      <c r="B83" s="3"/>
      <c r="C83" s="6"/>
      <c r="D83" s="6"/>
      <c r="E83" s="6"/>
      <c r="F83" s="6"/>
    </row>
    <row r="84">
      <c r="B84" s="3"/>
      <c r="C84" s="6"/>
      <c r="D84" s="6"/>
      <c r="E84" s="6"/>
      <c r="F84" s="6"/>
    </row>
    <row r="85">
      <c r="B85" s="3"/>
      <c r="C85" s="6"/>
      <c r="D85" s="6"/>
      <c r="E85" s="6"/>
      <c r="F85" s="6"/>
    </row>
    <row r="86">
      <c r="B86" s="3"/>
      <c r="C86" s="6"/>
      <c r="D86" s="6"/>
      <c r="E86" s="6"/>
      <c r="F86" s="6"/>
    </row>
    <row r="87">
      <c r="B87" s="3"/>
      <c r="C87" s="6"/>
      <c r="D87" s="6"/>
      <c r="E87" s="6"/>
      <c r="F87" s="6"/>
    </row>
    <row r="88">
      <c r="B88" s="3"/>
      <c r="C88" s="6"/>
      <c r="D88" s="6"/>
      <c r="E88" s="6"/>
      <c r="F88" s="6"/>
    </row>
    <row r="89">
      <c r="B89" s="3"/>
      <c r="C89" s="6"/>
      <c r="D89" s="6"/>
      <c r="E89" s="6"/>
      <c r="F89" s="6"/>
    </row>
    <row r="90">
      <c r="B90" s="3"/>
      <c r="C90" s="6"/>
      <c r="D90" s="6"/>
      <c r="E90" s="6"/>
      <c r="F90" s="6"/>
    </row>
    <row r="91">
      <c r="B91" s="3"/>
      <c r="C91" s="6"/>
      <c r="D91" s="6"/>
      <c r="E91" s="6"/>
      <c r="F91" s="6"/>
    </row>
    <row r="92">
      <c r="B92" s="3"/>
      <c r="C92" s="6"/>
      <c r="D92" s="6"/>
      <c r="E92" s="6"/>
      <c r="F92" s="6"/>
    </row>
    <row r="93">
      <c r="B93" s="3"/>
      <c r="C93" s="6"/>
      <c r="D93" s="6"/>
      <c r="E93" s="6"/>
      <c r="F93" s="6"/>
    </row>
    <row r="94">
      <c r="B94" s="3"/>
      <c r="C94" s="6"/>
      <c r="D94" s="6"/>
      <c r="E94" s="6"/>
      <c r="F94" s="6"/>
    </row>
    <row r="95">
      <c r="B95" s="3"/>
      <c r="C95" s="6"/>
      <c r="D95" s="6"/>
      <c r="E95" s="6"/>
      <c r="F95" s="6"/>
    </row>
    <row r="96">
      <c r="B96" s="3"/>
      <c r="C96" s="6"/>
      <c r="D96" s="6"/>
      <c r="E96" s="6"/>
      <c r="F96" s="6"/>
    </row>
    <row r="97">
      <c r="B97" s="3"/>
      <c r="C97" s="6"/>
      <c r="D97" s="6"/>
      <c r="E97" s="6"/>
      <c r="F97" s="6"/>
    </row>
    <row r="98">
      <c r="B98" s="3"/>
      <c r="C98" s="6"/>
      <c r="D98" s="6"/>
      <c r="E98" s="6"/>
      <c r="F98" s="6"/>
    </row>
    <row r="99">
      <c r="B99" s="3"/>
      <c r="C99" s="6"/>
      <c r="D99" s="6"/>
      <c r="E99" s="6"/>
      <c r="F99" s="6"/>
    </row>
    <row r="100">
      <c r="B100" s="3"/>
      <c r="C100" s="6"/>
      <c r="D100" s="6"/>
      <c r="E100" s="6"/>
      <c r="F100" s="6"/>
    </row>
    <row r="101">
      <c r="B101" s="3"/>
      <c r="C101" s="6"/>
      <c r="D101" s="6"/>
      <c r="E101" s="6"/>
      <c r="F101" s="6"/>
    </row>
    <row r="102">
      <c r="B102" s="3"/>
      <c r="C102" s="6"/>
      <c r="D102" s="6"/>
      <c r="E102" s="6"/>
      <c r="F102" s="6"/>
    </row>
    <row r="103">
      <c r="B103" s="3"/>
      <c r="C103" s="6"/>
      <c r="D103" s="6"/>
      <c r="E103" s="6"/>
      <c r="F103" s="6"/>
    </row>
    <row r="104">
      <c r="B104" s="3"/>
      <c r="C104" s="6"/>
      <c r="D104" s="6"/>
      <c r="E104" s="6"/>
      <c r="F104" s="6"/>
    </row>
    <row r="105">
      <c r="B105" s="3"/>
      <c r="C105" s="6"/>
      <c r="D105" s="6"/>
      <c r="E105" s="6"/>
      <c r="F105" s="6"/>
    </row>
    <row r="106">
      <c r="B106" s="3"/>
      <c r="C106" s="6"/>
      <c r="D106" s="6"/>
      <c r="E106" s="6"/>
      <c r="F106" s="6"/>
    </row>
    <row r="107">
      <c r="B107" s="3"/>
      <c r="C107" s="6"/>
      <c r="D107" s="6"/>
      <c r="E107" s="6"/>
      <c r="F107" s="6"/>
    </row>
    <row r="108">
      <c r="B108" s="3"/>
      <c r="C108" s="6"/>
      <c r="D108" s="6"/>
      <c r="E108" s="6"/>
      <c r="F108" s="6"/>
    </row>
    <row r="109">
      <c r="B109" s="3"/>
      <c r="C109" s="6"/>
      <c r="D109" s="6"/>
      <c r="E109" s="6"/>
      <c r="F109" s="6"/>
    </row>
    <row r="110">
      <c r="B110" s="3"/>
      <c r="C110" s="6"/>
      <c r="D110" s="6"/>
      <c r="E110" s="6"/>
      <c r="F110" s="6"/>
    </row>
    <row r="111">
      <c r="B111" s="3"/>
      <c r="C111" s="6"/>
      <c r="D111" s="6"/>
      <c r="E111" s="6"/>
      <c r="F111" s="6"/>
    </row>
    <row r="112">
      <c r="B112" s="3"/>
      <c r="C112" s="6"/>
      <c r="D112" s="6"/>
      <c r="E112" s="6"/>
      <c r="F112" s="6"/>
    </row>
    <row r="113">
      <c r="B113" s="3"/>
      <c r="C113" s="6"/>
      <c r="D113" s="6"/>
      <c r="E113" s="6"/>
      <c r="F113" s="6"/>
    </row>
    <row r="114">
      <c r="B114" s="3"/>
      <c r="C114" s="6"/>
      <c r="D114" s="6"/>
      <c r="E114" s="6"/>
      <c r="F114" s="6"/>
    </row>
    <row r="115">
      <c r="B115" s="3"/>
      <c r="C115" s="6"/>
      <c r="D115" s="6"/>
      <c r="E115" s="6"/>
      <c r="F115" s="6"/>
    </row>
    <row r="116">
      <c r="B116" s="3"/>
      <c r="C116" s="6"/>
      <c r="D116" s="6"/>
      <c r="E116" s="6"/>
      <c r="F116" s="6"/>
    </row>
    <row r="117">
      <c r="B117" s="3"/>
      <c r="C117" s="6"/>
      <c r="D117" s="6"/>
      <c r="E117" s="6"/>
      <c r="F117" s="6"/>
    </row>
    <row r="118">
      <c r="B118" s="3"/>
      <c r="C118" s="6"/>
      <c r="D118" s="6"/>
      <c r="E118" s="6"/>
      <c r="F118" s="6"/>
    </row>
    <row r="119">
      <c r="B119" s="3"/>
      <c r="C119" s="6"/>
      <c r="D119" s="6"/>
      <c r="E119" s="6"/>
      <c r="F119" s="6"/>
    </row>
    <row r="120">
      <c r="B120" s="3"/>
      <c r="C120" s="6"/>
      <c r="D120" s="6"/>
      <c r="E120" s="6"/>
      <c r="F120" s="6"/>
    </row>
    <row r="121">
      <c r="B121" s="3"/>
      <c r="C121" s="6"/>
      <c r="D121" s="6"/>
      <c r="E121" s="6"/>
      <c r="F121" s="6"/>
    </row>
    <row r="122">
      <c r="B122" s="3"/>
      <c r="C122" s="6"/>
      <c r="D122" s="6"/>
      <c r="E122" s="6"/>
      <c r="F122" s="6"/>
    </row>
    <row r="123">
      <c r="B123" s="3"/>
      <c r="C123" s="6"/>
      <c r="D123" s="6"/>
      <c r="E123" s="6"/>
      <c r="F123" s="6"/>
    </row>
    <row r="124">
      <c r="B124" s="3"/>
      <c r="C124" s="6"/>
      <c r="D124" s="6"/>
      <c r="E124" s="6"/>
      <c r="F124" s="6"/>
    </row>
    <row r="125">
      <c r="B125" s="3"/>
      <c r="C125" s="6"/>
      <c r="D125" s="6"/>
      <c r="E125" s="6"/>
      <c r="F125" s="6"/>
    </row>
    <row r="126">
      <c r="B126" s="3"/>
      <c r="C126" s="6"/>
      <c r="D126" s="6"/>
      <c r="E126" s="6"/>
      <c r="F126" s="6"/>
    </row>
    <row r="127">
      <c r="B127" s="3"/>
      <c r="C127" s="6"/>
      <c r="D127" s="6"/>
      <c r="E127" s="6"/>
      <c r="F127" s="6"/>
    </row>
    <row r="128">
      <c r="B128" s="3"/>
      <c r="C128" s="6"/>
      <c r="D128" s="6"/>
      <c r="E128" s="6"/>
      <c r="F128" s="6"/>
    </row>
    <row r="129">
      <c r="B129" s="3"/>
      <c r="C129" s="6"/>
      <c r="D129" s="6"/>
      <c r="E129" s="6"/>
      <c r="F129" s="6"/>
    </row>
    <row r="130">
      <c r="B130" s="3"/>
      <c r="C130" s="6"/>
      <c r="D130" s="6"/>
      <c r="E130" s="6"/>
      <c r="F130" s="6"/>
    </row>
    <row r="131">
      <c r="B131" s="3"/>
      <c r="C131" s="6"/>
      <c r="D131" s="6"/>
      <c r="E131" s="6"/>
      <c r="F131" s="6"/>
    </row>
    <row r="132">
      <c r="B132" s="3"/>
      <c r="C132" s="6"/>
      <c r="D132" s="6"/>
      <c r="E132" s="6"/>
      <c r="F132" s="6"/>
    </row>
    <row r="133">
      <c r="B133" s="3"/>
      <c r="C133" s="6"/>
      <c r="D133" s="6"/>
      <c r="E133" s="6"/>
      <c r="F133" s="6"/>
    </row>
    <row r="134">
      <c r="B134" s="3"/>
      <c r="C134" s="6"/>
      <c r="D134" s="6"/>
      <c r="E134" s="6"/>
      <c r="F134" s="6"/>
    </row>
    <row r="135">
      <c r="B135" s="3"/>
      <c r="C135" s="6"/>
      <c r="D135" s="6"/>
      <c r="E135" s="6"/>
      <c r="F135" s="6"/>
    </row>
    <row r="136">
      <c r="B136" s="3"/>
      <c r="C136" s="6"/>
      <c r="D136" s="6"/>
      <c r="E136" s="6"/>
      <c r="F136" s="6"/>
    </row>
    <row r="137">
      <c r="B137" s="3"/>
      <c r="C137" s="6"/>
      <c r="D137" s="6"/>
      <c r="E137" s="6"/>
      <c r="F137" s="6"/>
    </row>
    <row r="138">
      <c r="B138" s="3"/>
      <c r="C138" s="6"/>
      <c r="D138" s="6"/>
      <c r="E138" s="6"/>
      <c r="F138" s="6"/>
    </row>
    <row r="139">
      <c r="B139" s="3"/>
      <c r="C139" s="6"/>
      <c r="D139" s="6"/>
      <c r="E139" s="6"/>
      <c r="F139" s="6"/>
    </row>
    <row r="140">
      <c r="B140" s="3"/>
      <c r="C140" s="6"/>
      <c r="D140" s="6"/>
      <c r="E140" s="6"/>
      <c r="F140" s="6"/>
    </row>
    <row r="141">
      <c r="B141" s="3"/>
      <c r="C141" s="6"/>
      <c r="D141" s="6"/>
      <c r="E141" s="6"/>
      <c r="F141" s="6"/>
    </row>
    <row r="142">
      <c r="B142" s="3"/>
      <c r="C142" s="6"/>
      <c r="D142" s="6"/>
      <c r="E142" s="6"/>
      <c r="F142" s="6"/>
    </row>
    <row r="143">
      <c r="B143" s="3"/>
      <c r="C143" s="6"/>
      <c r="D143" s="6"/>
      <c r="E143" s="6"/>
      <c r="F143" s="6"/>
    </row>
    <row r="144">
      <c r="B144" s="3"/>
      <c r="C144" s="6"/>
      <c r="D144" s="6"/>
      <c r="E144" s="6"/>
      <c r="F144" s="6"/>
    </row>
    <row r="145">
      <c r="B145" s="3"/>
      <c r="C145" s="6"/>
      <c r="D145" s="6"/>
      <c r="E145" s="6"/>
      <c r="F145" s="6"/>
    </row>
    <row r="146">
      <c r="B146" s="3"/>
      <c r="C146" s="6"/>
      <c r="D146" s="6"/>
      <c r="E146" s="6"/>
      <c r="F146" s="6"/>
    </row>
    <row r="147">
      <c r="B147" s="3"/>
      <c r="C147" s="6"/>
      <c r="D147" s="6"/>
      <c r="E147" s="6"/>
      <c r="F147" s="6"/>
    </row>
    <row r="148">
      <c r="B148" s="3"/>
      <c r="C148" s="6"/>
      <c r="D148" s="6"/>
      <c r="E148" s="6"/>
      <c r="F148" s="6"/>
    </row>
    <row r="149">
      <c r="B149" s="3"/>
      <c r="C149" s="6"/>
      <c r="D149" s="6"/>
      <c r="E149" s="6"/>
      <c r="F149" s="6"/>
    </row>
    <row r="150">
      <c r="B150" s="3"/>
      <c r="C150" s="6"/>
      <c r="D150" s="6"/>
      <c r="E150" s="6"/>
      <c r="F150" s="6"/>
    </row>
    <row r="151">
      <c r="B151" s="3"/>
      <c r="C151" s="6"/>
      <c r="D151" s="6"/>
      <c r="E151" s="6"/>
      <c r="F151" s="6"/>
    </row>
    <row r="152">
      <c r="B152" s="3"/>
      <c r="C152" s="6"/>
      <c r="D152" s="6"/>
      <c r="E152" s="6"/>
      <c r="F152" s="6"/>
    </row>
    <row r="153">
      <c r="B153" s="3"/>
      <c r="C153" s="6"/>
      <c r="D153" s="6"/>
      <c r="E153" s="6"/>
      <c r="F153" s="6"/>
    </row>
    <row r="154">
      <c r="B154" s="3"/>
      <c r="C154" s="6"/>
      <c r="D154" s="6"/>
      <c r="E154" s="6"/>
      <c r="F154" s="6"/>
    </row>
    <row r="155">
      <c r="B155" s="3"/>
      <c r="C155" s="6"/>
      <c r="D155" s="6"/>
      <c r="E155" s="6"/>
      <c r="F155" s="6"/>
    </row>
    <row r="156">
      <c r="B156" s="3"/>
      <c r="C156" s="6"/>
      <c r="D156" s="6"/>
      <c r="E156" s="6"/>
      <c r="F156" s="6"/>
    </row>
    <row r="157">
      <c r="B157" s="3"/>
      <c r="C157" s="6"/>
      <c r="D157" s="6"/>
      <c r="E157" s="6"/>
      <c r="F157" s="6"/>
    </row>
    <row r="158">
      <c r="B158" s="3"/>
      <c r="C158" s="6"/>
      <c r="D158" s="6"/>
      <c r="E158" s="6"/>
      <c r="F158" s="6"/>
    </row>
    <row r="159">
      <c r="B159" s="3"/>
      <c r="C159" s="6"/>
      <c r="D159" s="6"/>
      <c r="E159" s="6"/>
      <c r="F159" s="6"/>
    </row>
    <row r="160">
      <c r="B160" s="3"/>
      <c r="C160" s="6"/>
      <c r="D160" s="6"/>
      <c r="E160" s="6"/>
      <c r="F160" s="6"/>
    </row>
    <row r="161">
      <c r="B161" s="3"/>
      <c r="C161" s="6"/>
      <c r="D161" s="6"/>
      <c r="E161" s="6"/>
      <c r="F161" s="6"/>
    </row>
    <row r="162">
      <c r="B162" s="3"/>
      <c r="C162" s="6"/>
      <c r="D162" s="6"/>
      <c r="E162" s="6"/>
      <c r="F162" s="6"/>
    </row>
    <row r="163">
      <c r="B163" s="3"/>
      <c r="C163" s="6"/>
      <c r="D163" s="6"/>
      <c r="E163" s="6"/>
      <c r="F163" s="6"/>
    </row>
    <row r="164">
      <c r="B164" s="3"/>
      <c r="C164" s="6"/>
      <c r="D164" s="6"/>
      <c r="E164" s="6"/>
      <c r="F164" s="6"/>
    </row>
    <row r="165">
      <c r="B165" s="3"/>
      <c r="C165" s="6"/>
      <c r="D165" s="6"/>
      <c r="E165" s="6"/>
      <c r="F165" s="6"/>
    </row>
    <row r="166">
      <c r="B166" s="3"/>
      <c r="C166" s="6"/>
      <c r="D166" s="6"/>
      <c r="E166" s="6"/>
      <c r="F166" s="6"/>
    </row>
    <row r="167">
      <c r="B167" s="3"/>
      <c r="C167" s="6"/>
      <c r="D167" s="6"/>
      <c r="E167" s="6"/>
      <c r="F167" s="6"/>
    </row>
    <row r="168">
      <c r="B168" s="3"/>
      <c r="C168" s="6"/>
      <c r="D168" s="6"/>
      <c r="E168" s="6"/>
      <c r="F168" s="6"/>
    </row>
    <row r="169">
      <c r="B169" s="3"/>
      <c r="C169" s="6"/>
      <c r="D169" s="6"/>
      <c r="E169" s="6"/>
      <c r="F169" s="6"/>
    </row>
    <row r="170">
      <c r="B170" s="3"/>
      <c r="C170" s="6"/>
      <c r="D170" s="6"/>
      <c r="E170" s="6"/>
      <c r="F170" s="6"/>
    </row>
    <row r="171">
      <c r="B171" s="3"/>
      <c r="C171" s="6"/>
      <c r="D171" s="6"/>
      <c r="E171" s="6"/>
      <c r="F171" s="6"/>
    </row>
    <row r="172">
      <c r="B172" s="3"/>
      <c r="C172" s="6"/>
      <c r="D172" s="6"/>
      <c r="E172" s="6"/>
      <c r="F172" s="6"/>
    </row>
    <row r="173">
      <c r="B173" s="3"/>
      <c r="C173" s="6"/>
      <c r="D173" s="6"/>
      <c r="E173" s="6"/>
      <c r="F173" s="6"/>
    </row>
    <row r="174">
      <c r="B174" s="3"/>
      <c r="C174" s="6"/>
      <c r="D174" s="6"/>
      <c r="E174" s="6"/>
      <c r="F174" s="6"/>
    </row>
    <row r="175">
      <c r="B175" s="3"/>
      <c r="C175" s="6"/>
      <c r="D175" s="6"/>
      <c r="E175" s="6"/>
      <c r="F175" s="6"/>
    </row>
    <row r="176">
      <c r="B176" s="3"/>
      <c r="C176" s="6"/>
      <c r="D176" s="6"/>
      <c r="E176" s="6"/>
      <c r="F176" s="6"/>
    </row>
    <row r="177">
      <c r="B177" s="3"/>
      <c r="C177" s="6"/>
      <c r="D177" s="6"/>
      <c r="E177" s="6"/>
      <c r="F177" s="6"/>
    </row>
    <row r="178">
      <c r="B178" s="3"/>
      <c r="C178" s="6"/>
      <c r="D178" s="6"/>
      <c r="E178" s="6"/>
      <c r="F178" s="6"/>
    </row>
    <row r="179">
      <c r="B179" s="3"/>
      <c r="C179" s="6"/>
      <c r="D179" s="6"/>
      <c r="E179" s="6"/>
      <c r="F179" s="6"/>
    </row>
    <row r="180">
      <c r="B180" s="3"/>
      <c r="C180" s="6"/>
      <c r="D180" s="6"/>
      <c r="E180" s="6"/>
      <c r="F180" s="6"/>
    </row>
    <row r="181">
      <c r="B181" s="3"/>
      <c r="C181" s="6"/>
      <c r="D181" s="6"/>
      <c r="E181" s="6"/>
      <c r="F181" s="6"/>
    </row>
    <row r="182">
      <c r="B182" s="3"/>
      <c r="C182" s="6"/>
      <c r="D182" s="6"/>
      <c r="E182" s="6"/>
      <c r="F182" s="6"/>
    </row>
    <row r="183">
      <c r="B183" s="3"/>
      <c r="C183" s="6"/>
      <c r="D183" s="6"/>
      <c r="E183" s="6"/>
      <c r="F183" s="6"/>
    </row>
    <row r="184">
      <c r="B184" s="3"/>
      <c r="C184" s="6"/>
      <c r="D184" s="6"/>
      <c r="E184" s="6"/>
      <c r="F184" s="6"/>
    </row>
    <row r="185">
      <c r="B185" s="3"/>
      <c r="C185" s="6"/>
      <c r="D185" s="6"/>
      <c r="E185" s="6"/>
      <c r="F185" s="6"/>
    </row>
    <row r="186">
      <c r="B186" s="3"/>
      <c r="C186" s="6"/>
      <c r="D186" s="6"/>
      <c r="E186" s="6"/>
      <c r="F186" s="6"/>
    </row>
    <row r="187">
      <c r="B187" s="3"/>
      <c r="C187" s="6"/>
      <c r="D187" s="6"/>
      <c r="E187" s="6"/>
      <c r="F187" s="6"/>
    </row>
    <row r="188">
      <c r="B188" s="3"/>
      <c r="C188" s="6"/>
      <c r="D188" s="6"/>
      <c r="E188" s="6"/>
      <c r="F188" s="6"/>
    </row>
    <row r="189">
      <c r="B189" s="3"/>
      <c r="C189" s="6"/>
      <c r="D189" s="6"/>
      <c r="E189" s="6"/>
      <c r="F189" s="6"/>
    </row>
    <row r="190">
      <c r="B190" s="3"/>
      <c r="C190" s="6"/>
      <c r="D190" s="6"/>
      <c r="E190" s="6"/>
      <c r="F190" s="6"/>
    </row>
    <row r="191">
      <c r="B191" s="3"/>
      <c r="C191" s="6"/>
      <c r="D191" s="6"/>
      <c r="E191" s="6"/>
      <c r="F191" s="6"/>
    </row>
    <row r="192">
      <c r="B192" s="3"/>
      <c r="C192" s="6"/>
      <c r="D192" s="6"/>
      <c r="E192" s="6"/>
      <c r="F192" s="6"/>
    </row>
    <row r="193">
      <c r="B193" s="3"/>
      <c r="C193" s="6"/>
      <c r="D193" s="6"/>
      <c r="E193" s="6"/>
      <c r="F193" s="6"/>
    </row>
    <row r="194">
      <c r="B194" s="3"/>
      <c r="C194" s="6"/>
      <c r="D194" s="6"/>
      <c r="E194" s="6"/>
      <c r="F194" s="6"/>
    </row>
    <row r="195">
      <c r="B195" s="3"/>
      <c r="C195" s="6"/>
      <c r="D195" s="6"/>
      <c r="E195" s="6"/>
      <c r="F195" s="6"/>
    </row>
    <row r="196">
      <c r="B196" s="3"/>
      <c r="C196" s="6"/>
      <c r="D196" s="6"/>
      <c r="E196" s="6"/>
      <c r="F196" s="6"/>
    </row>
    <row r="197">
      <c r="B197" s="3"/>
      <c r="C197" s="6"/>
      <c r="D197" s="6"/>
      <c r="E197" s="6"/>
      <c r="F197" s="6"/>
    </row>
    <row r="198">
      <c r="B198" s="3"/>
      <c r="C198" s="6"/>
      <c r="D198" s="6"/>
      <c r="E198" s="6"/>
      <c r="F198" s="6"/>
    </row>
    <row r="199">
      <c r="B199" s="3"/>
      <c r="C199" s="6"/>
      <c r="D199" s="6"/>
      <c r="E199" s="6"/>
      <c r="F199" s="6"/>
    </row>
    <row r="200">
      <c r="B200" s="3"/>
      <c r="C200" s="6"/>
      <c r="D200" s="6"/>
      <c r="E200" s="6"/>
      <c r="F200" s="6"/>
    </row>
    <row r="201">
      <c r="B201" s="3"/>
      <c r="C201" s="6"/>
      <c r="D201" s="6"/>
      <c r="E201" s="6"/>
      <c r="F201" s="6"/>
    </row>
    <row r="202">
      <c r="B202" s="3"/>
      <c r="C202" s="6"/>
      <c r="D202" s="6"/>
      <c r="E202" s="6"/>
      <c r="F202" s="6"/>
    </row>
    <row r="203">
      <c r="B203" s="3"/>
      <c r="C203" s="6"/>
      <c r="D203" s="6"/>
      <c r="E203" s="6"/>
      <c r="F203" s="6"/>
    </row>
    <row r="204">
      <c r="B204" s="3"/>
      <c r="C204" s="6"/>
      <c r="D204" s="6"/>
      <c r="E204" s="6"/>
      <c r="F204" s="6"/>
    </row>
    <row r="205">
      <c r="B205" s="3"/>
      <c r="C205" s="6"/>
      <c r="D205" s="6"/>
      <c r="E205" s="6"/>
      <c r="F205" s="6"/>
    </row>
    <row r="206">
      <c r="B206" s="3"/>
      <c r="C206" s="6"/>
      <c r="D206" s="6"/>
      <c r="E206" s="6"/>
      <c r="F206" s="6"/>
    </row>
    <row r="207">
      <c r="B207" s="3"/>
      <c r="C207" s="6"/>
      <c r="D207" s="6"/>
      <c r="E207" s="6"/>
      <c r="F207" s="6"/>
    </row>
    <row r="208">
      <c r="B208" s="3"/>
      <c r="C208" s="6"/>
      <c r="D208" s="6"/>
      <c r="E208" s="6"/>
      <c r="F208" s="6"/>
    </row>
    <row r="209">
      <c r="B209" s="3"/>
      <c r="C209" s="6"/>
      <c r="D209" s="6"/>
      <c r="E209" s="6"/>
      <c r="F209" s="6"/>
    </row>
    <row r="210">
      <c r="B210" s="3"/>
      <c r="C210" s="6"/>
      <c r="D210" s="6"/>
      <c r="E210" s="6"/>
      <c r="F210" s="6"/>
    </row>
    <row r="211">
      <c r="B211" s="3"/>
      <c r="C211" s="6"/>
      <c r="D211" s="6"/>
      <c r="E211" s="6"/>
      <c r="F211" s="6"/>
    </row>
    <row r="212">
      <c r="B212" s="3"/>
      <c r="C212" s="6"/>
      <c r="D212" s="6"/>
      <c r="E212" s="6"/>
      <c r="F212" s="6"/>
    </row>
    <row r="213">
      <c r="B213" s="3"/>
      <c r="C213" s="6"/>
      <c r="D213" s="6"/>
      <c r="E213" s="6"/>
      <c r="F213" s="6"/>
    </row>
    <row r="214">
      <c r="B214" s="3"/>
      <c r="C214" s="6"/>
      <c r="D214" s="6"/>
      <c r="E214" s="6"/>
      <c r="F214" s="6"/>
    </row>
    <row r="215">
      <c r="B215" s="3"/>
      <c r="C215" s="6"/>
      <c r="D215" s="6"/>
      <c r="E215" s="6"/>
      <c r="F215" s="6"/>
    </row>
    <row r="216">
      <c r="B216" s="3"/>
      <c r="C216" s="6"/>
      <c r="D216" s="6"/>
      <c r="E216" s="6"/>
      <c r="F216" s="6"/>
    </row>
    <row r="217">
      <c r="B217" s="3"/>
      <c r="C217" s="6"/>
      <c r="D217" s="6"/>
      <c r="E217" s="6"/>
      <c r="F217" s="6"/>
    </row>
    <row r="218">
      <c r="B218" s="3"/>
      <c r="C218" s="6"/>
      <c r="D218" s="6"/>
      <c r="E218" s="6"/>
      <c r="F218" s="6"/>
    </row>
    <row r="219">
      <c r="B219" s="3"/>
      <c r="C219" s="6"/>
      <c r="D219" s="6"/>
      <c r="E219" s="6"/>
      <c r="F219" s="6"/>
    </row>
    <row r="220">
      <c r="B220" s="3"/>
      <c r="C220" s="6"/>
      <c r="D220" s="6"/>
      <c r="E220" s="6"/>
      <c r="F220" s="6"/>
    </row>
    <row r="221">
      <c r="B221" s="3"/>
      <c r="C221" s="6"/>
      <c r="D221" s="6"/>
      <c r="E221" s="6"/>
      <c r="F221" s="6"/>
    </row>
    <row r="222">
      <c r="B222" s="3"/>
      <c r="C222" s="6"/>
      <c r="D222" s="6"/>
      <c r="E222" s="6"/>
      <c r="F222" s="6"/>
    </row>
    <row r="223">
      <c r="B223" s="3"/>
      <c r="C223" s="6"/>
      <c r="D223" s="6"/>
      <c r="E223" s="6"/>
      <c r="F223" s="6"/>
    </row>
    <row r="224">
      <c r="B224" s="3"/>
      <c r="C224" s="6"/>
      <c r="D224" s="6"/>
      <c r="E224" s="6"/>
      <c r="F224" s="6"/>
    </row>
    <row r="225">
      <c r="B225" s="3"/>
      <c r="C225" s="6"/>
      <c r="D225" s="6"/>
      <c r="E225" s="6"/>
      <c r="F225" s="6"/>
    </row>
    <row r="226">
      <c r="B226" s="3"/>
      <c r="C226" s="6"/>
      <c r="D226" s="6"/>
      <c r="E226" s="6"/>
      <c r="F226" s="6"/>
    </row>
    <row r="227">
      <c r="B227" s="3"/>
      <c r="C227" s="6"/>
      <c r="D227" s="6"/>
      <c r="E227" s="6"/>
      <c r="F227" s="6"/>
    </row>
    <row r="228">
      <c r="B228" s="3"/>
      <c r="C228" s="6"/>
      <c r="D228" s="6"/>
      <c r="E228" s="6"/>
      <c r="F228" s="6"/>
    </row>
    <row r="229">
      <c r="B229" s="3"/>
      <c r="C229" s="6"/>
      <c r="D229" s="6"/>
      <c r="E229" s="6"/>
      <c r="F229" s="6"/>
    </row>
    <row r="230">
      <c r="B230" s="3"/>
      <c r="C230" s="6"/>
      <c r="D230" s="6"/>
      <c r="E230" s="6"/>
      <c r="F230" s="6"/>
    </row>
    <row r="231">
      <c r="B231" s="3"/>
      <c r="C231" s="6"/>
      <c r="D231" s="6"/>
      <c r="E231" s="6"/>
      <c r="F231" s="6"/>
    </row>
    <row r="232">
      <c r="B232" s="3"/>
      <c r="C232" s="6"/>
      <c r="D232" s="6"/>
      <c r="E232" s="6"/>
      <c r="F232" s="6"/>
    </row>
    <row r="233">
      <c r="B233" s="3"/>
      <c r="C233" s="6"/>
      <c r="D233" s="6"/>
      <c r="E233" s="6"/>
      <c r="F233" s="6"/>
    </row>
    <row r="234">
      <c r="B234" s="3"/>
      <c r="C234" s="6"/>
      <c r="D234" s="6"/>
      <c r="E234" s="6"/>
      <c r="F234" s="6"/>
    </row>
    <row r="235">
      <c r="B235" s="3"/>
      <c r="C235" s="6"/>
      <c r="D235" s="6"/>
      <c r="E235" s="6"/>
      <c r="F235" s="6"/>
    </row>
    <row r="236">
      <c r="B236" s="3"/>
      <c r="C236" s="6"/>
      <c r="D236" s="6"/>
      <c r="E236" s="6"/>
      <c r="F236" s="6"/>
    </row>
    <row r="237">
      <c r="B237" s="3"/>
      <c r="C237" s="6"/>
      <c r="D237" s="6"/>
      <c r="E237" s="6"/>
      <c r="F237" s="6"/>
    </row>
    <row r="238">
      <c r="B238" s="3"/>
      <c r="C238" s="6"/>
      <c r="D238" s="6"/>
      <c r="E238" s="6"/>
      <c r="F238" s="6"/>
    </row>
    <row r="239">
      <c r="B239" s="3"/>
      <c r="C239" s="6"/>
      <c r="D239" s="6"/>
      <c r="E239" s="6"/>
      <c r="F239" s="6"/>
    </row>
    <row r="240">
      <c r="B240" s="3"/>
      <c r="C240" s="6"/>
      <c r="D240" s="6"/>
      <c r="E240" s="6"/>
      <c r="F240" s="6"/>
    </row>
    <row r="241">
      <c r="B241" s="3"/>
      <c r="C241" s="6"/>
      <c r="D241" s="6"/>
      <c r="E241" s="6"/>
      <c r="F241" s="6"/>
    </row>
    <row r="242">
      <c r="B242" s="3"/>
      <c r="C242" s="6"/>
      <c r="D242" s="6"/>
      <c r="E242" s="6"/>
      <c r="F242" s="6"/>
    </row>
    <row r="243">
      <c r="B243" s="3"/>
      <c r="C243" s="6"/>
      <c r="D243" s="6"/>
      <c r="E243" s="6"/>
      <c r="F243" s="6"/>
    </row>
    <row r="244">
      <c r="B244" s="3"/>
      <c r="C244" s="6"/>
      <c r="D244" s="6"/>
      <c r="E244" s="6"/>
      <c r="F244" s="6"/>
    </row>
    <row r="245">
      <c r="B245" s="3"/>
      <c r="C245" s="6"/>
      <c r="D245" s="6"/>
      <c r="E245" s="6"/>
      <c r="F245" s="6"/>
    </row>
    <row r="246">
      <c r="B246" s="3"/>
      <c r="C246" s="6"/>
      <c r="D246" s="6"/>
      <c r="E246" s="6"/>
      <c r="F246" s="6"/>
    </row>
    <row r="247">
      <c r="B247" s="3"/>
      <c r="C247" s="6"/>
      <c r="D247" s="6"/>
      <c r="E247" s="6"/>
      <c r="F247" s="6"/>
    </row>
    <row r="248">
      <c r="B248" s="3"/>
      <c r="C248" s="6"/>
      <c r="D248" s="6"/>
      <c r="E248" s="6"/>
      <c r="F248" s="6"/>
    </row>
    <row r="249">
      <c r="B249" s="3"/>
      <c r="C249" s="6"/>
      <c r="D249" s="6"/>
      <c r="E249" s="6"/>
      <c r="F249" s="6"/>
    </row>
    <row r="250">
      <c r="B250" s="3"/>
      <c r="C250" s="6"/>
      <c r="D250" s="6"/>
      <c r="E250" s="6"/>
      <c r="F250" s="6"/>
    </row>
    <row r="251">
      <c r="B251" s="3"/>
      <c r="C251" s="6"/>
      <c r="D251" s="6"/>
      <c r="E251" s="6"/>
      <c r="F251" s="6"/>
    </row>
    <row r="252">
      <c r="B252" s="3"/>
      <c r="C252" s="6"/>
      <c r="D252" s="6"/>
      <c r="E252" s="6"/>
      <c r="F252" s="6"/>
    </row>
    <row r="253">
      <c r="B253" s="3"/>
      <c r="C253" s="6"/>
      <c r="D253" s="6"/>
      <c r="E253" s="6"/>
      <c r="F253" s="6"/>
    </row>
    <row r="254">
      <c r="B254" s="3"/>
      <c r="C254" s="6"/>
      <c r="D254" s="6"/>
      <c r="E254" s="6"/>
      <c r="F254" s="6"/>
    </row>
    <row r="255">
      <c r="B255" s="3"/>
      <c r="C255" s="6"/>
      <c r="D255" s="6"/>
      <c r="E255" s="6"/>
      <c r="F255" s="6"/>
    </row>
    <row r="256">
      <c r="B256" s="3"/>
      <c r="C256" s="6"/>
      <c r="D256" s="6"/>
      <c r="E256" s="6"/>
      <c r="F256" s="6"/>
    </row>
    <row r="257">
      <c r="B257" s="3"/>
      <c r="C257" s="6"/>
      <c r="D257" s="6"/>
      <c r="E257" s="6"/>
      <c r="F257" s="6"/>
    </row>
    <row r="258">
      <c r="B258" s="3"/>
      <c r="C258" s="6"/>
      <c r="D258" s="6"/>
      <c r="E258" s="6"/>
      <c r="F258" s="6"/>
    </row>
    <row r="259">
      <c r="B259" s="3"/>
      <c r="C259" s="6"/>
      <c r="D259" s="6"/>
      <c r="E259" s="6"/>
      <c r="F259" s="6"/>
    </row>
    <row r="260">
      <c r="B260" s="3"/>
      <c r="C260" s="6"/>
      <c r="D260" s="6"/>
      <c r="E260" s="6"/>
      <c r="F260" s="6"/>
    </row>
    <row r="261">
      <c r="B261" s="3"/>
      <c r="C261" s="6"/>
      <c r="D261" s="6"/>
      <c r="E261" s="6"/>
      <c r="F261" s="6"/>
    </row>
    <row r="262">
      <c r="B262" s="3"/>
      <c r="C262" s="6"/>
      <c r="D262" s="6"/>
      <c r="E262" s="6"/>
      <c r="F262" s="6"/>
    </row>
    <row r="263">
      <c r="B263" s="3"/>
      <c r="C263" s="6"/>
      <c r="D263" s="6"/>
      <c r="E263" s="6"/>
      <c r="F263" s="6"/>
    </row>
    <row r="264">
      <c r="B264" s="3"/>
      <c r="C264" s="6"/>
      <c r="D264" s="6"/>
      <c r="E264" s="6"/>
      <c r="F264" s="6"/>
    </row>
    <row r="265">
      <c r="B265" s="3"/>
      <c r="C265" s="6"/>
      <c r="D265" s="6"/>
      <c r="E265" s="6"/>
      <c r="F265" s="6"/>
    </row>
    <row r="266">
      <c r="B266" s="3"/>
      <c r="C266" s="6"/>
      <c r="D266" s="6"/>
      <c r="E266" s="6"/>
      <c r="F266" s="6"/>
    </row>
    <row r="267">
      <c r="B267" s="3"/>
      <c r="C267" s="6"/>
      <c r="D267" s="6"/>
      <c r="E267" s="6"/>
      <c r="F267" s="6"/>
    </row>
    <row r="268">
      <c r="B268" s="3"/>
      <c r="C268" s="6"/>
      <c r="D268" s="6"/>
      <c r="E268" s="6"/>
      <c r="F268" s="6"/>
    </row>
    <row r="269">
      <c r="B269" s="3"/>
      <c r="C269" s="6"/>
      <c r="D269" s="6"/>
      <c r="E269" s="6"/>
      <c r="F269" s="6"/>
    </row>
    <row r="270">
      <c r="B270" s="3"/>
      <c r="C270" s="6"/>
      <c r="D270" s="6"/>
      <c r="E270" s="6"/>
      <c r="F270" s="6"/>
    </row>
    <row r="271">
      <c r="B271" s="3"/>
      <c r="C271" s="6"/>
      <c r="D271" s="6"/>
      <c r="E271" s="6"/>
      <c r="F271" s="6"/>
    </row>
    <row r="272">
      <c r="B272" s="3"/>
      <c r="C272" s="6"/>
      <c r="D272" s="6"/>
      <c r="E272" s="6"/>
      <c r="F272" s="6"/>
    </row>
    <row r="273">
      <c r="B273" s="3"/>
      <c r="C273" s="6"/>
      <c r="D273" s="6"/>
      <c r="E273" s="6"/>
      <c r="F273" s="6"/>
    </row>
    <row r="274">
      <c r="B274" s="3"/>
      <c r="C274" s="6"/>
      <c r="D274" s="6"/>
      <c r="E274" s="6"/>
      <c r="F274" s="6"/>
    </row>
    <row r="275">
      <c r="B275" s="3"/>
      <c r="C275" s="6"/>
      <c r="D275" s="6"/>
      <c r="E275" s="6"/>
      <c r="F275" s="6"/>
    </row>
    <row r="276">
      <c r="B276" s="3"/>
      <c r="C276" s="6"/>
      <c r="D276" s="6"/>
      <c r="E276" s="6"/>
      <c r="F276" s="6"/>
    </row>
    <row r="277">
      <c r="B277" s="3"/>
      <c r="C277" s="6"/>
      <c r="D277" s="6"/>
      <c r="E277" s="6"/>
      <c r="F277" s="6"/>
    </row>
    <row r="278">
      <c r="B278" s="3"/>
      <c r="C278" s="6"/>
      <c r="D278" s="6"/>
      <c r="E278" s="6"/>
      <c r="F278" s="6"/>
    </row>
    <row r="279">
      <c r="B279" s="3"/>
      <c r="C279" s="6"/>
      <c r="D279" s="6"/>
      <c r="E279" s="6"/>
      <c r="F279" s="6"/>
    </row>
    <row r="280">
      <c r="B280" s="3"/>
      <c r="C280" s="6"/>
      <c r="D280" s="6"/>
      <c r="E280" s="6"/>
      <c r="F280" s="6"/>
    </row>
    <row r="281">
      <c r="B281" s="3"/>
      <c r="C281" s="6"/>
      <c r="D281" s="6"/>
      <c r="E281" s="6"/>
      <c r="F281" s="6"/>
    </row>
    <row r="282">
      <c r="B282" s="3"/>
      <c r="C282" s="6"/>
      <c r="D282" s="6"/>
      <c r="E282" s="6"/>
      <c r="F282" s="6"/>
    </row>
    <row r="283">
      <c r="B283" s="3"/>
      <c r="C283" s="6"/>
      <c r="D283" s="6"/>
      <c r="E283" s="6"/>
      <c r="F283" s="6"/>
    </row>
    <row r="284">
      <c r="B284" s="3"/>
      <c r="C284" s="6"/>
      <c r="D284" s="6"/>
      <c r="E284" s="6"/>
      <c r="F284" s="6"/>
    </row>
    <row r="285">
      <c r="B285" s="3"/>
      <c r="C285" s="6"/>
      <c r="D285" s="6"/>
      <c r="E285" s="6"/>
      <c r="F285" s="6"/>
    </row>
    <row r="286">
      <c r="B286" s="3"/>
      <c r="C286" s="6"/>
      <c r="D286" s="6"/>
      <c r="E286" s="6"/>
      <c r="F286" s="6"/>
    </row>
    <row r="287">
      <c r="B287" s="3"/>
      <c r="C287" s="6"/>
      <c r="D287" s="6"/>
      <c r="E287" s="6"/>
      <c r="F287" s="6"/>
    </row>
    <row r="288">
      <c r="B288" s="3"/>
      <c r="C288" s="6"/>
      <c r="D288" s="6"/>
      <c r="E288" s="6"/>
      <c r="F288" s="6"/>
    </row>
    <row r="289">
      <c r="B289" s="3"/>
      <c r="C289" s="6"/>
      <c r="D289" s="6"/>
      <c r="E289" s="6"/>
      <c r="F289" s="6"/>
    </row>
    <row r="290">
      <c r="B290" s="3"/>
      <c r="C290" s="6"/>
      <c r="D290" s="6"/>
      <c r="E290" s="6"/>
      <c r="F290" s="6"/>
    </row>
    <row r="291">
      <c r="B291" s="3"/>
      <c r="C291" s="6"/>
      <c r="D291" s="6"/>
      <c r="E291" s="6"/>
      <c r="F291" s="6"/>
    </row>
    <row r="292">
      <c r="B292" s="3"/>
      <c r="C292" s="6"/>
      <c r="D292" s="6"/>
      <c r="E292" s="6"/>
      <c r="F292" s="6"/>
    </row>
    <row r="293">
      <c r="B293" s="3"/>
      <c r="C293" s="6"/>
      <c r="D293" s="6"/>
      <c r="E293" s="6"/>
      <c r="F293" s="6"/>
    </row>
    <row r="294">
      <c r="B294" s="3"/>
      <c r="C294" s="6"/>
      <c r="D294" s="6"/>
      <c r="E294" s="6"/>
      <c r="F294" s="6"/>
    </row>
    <row r="295">
      <c r="B295" s="3"/>
      <c r="C295" s="6"/>
      <c r="D295" s="6"/>
      <c r="E295" s="6"/>
      <c r="F295" s="6"/>
    </row>
    <row r="296">
      <c r="B296" s="3"/>
      <c r="C296" s="6"/>
      <c r="D296" s="6"/>
      <c r="E296" s="6"/>
      <c r="F296" s="6"/>
    </row>
    <row r="297">
      <c r="B297" s="3"/>
      <c r="C297" s="6"/>
      <c r="D297" s="6"/>
      <c r="E297" s="6"/>
      <c r="F297" s="6"/>
    </row>
    <row r="298">
      <c r="B298" s="3"/>
      <c r="C298" s="6"/>
      <c r="D298" s="6"/>
      <c r="E298" s="6"/>
      <c r="F298" s="6"/>
    </row>
    <row r="299">
      <c r="B299" s="3"/>
      <c r="C299" s="6"/>
      <c r="D299" s="6"/>
      <c r="E299" s="6"/>
      <c r="F299" s="6"/>
    </row>
    <row r="300">
      <c r="B300" s="3"/>
      <c r="C300" s="6"/>
      <c r="D300" s="6"/>
      <c r="E300" s="6"/>
      <c r="F300" s="6"/>
    </row>
    <row r="301">
      <c r="B301" s="3"/>
      <c r="C301" s="6"/>
      <c r="D301" s="6"/>
      <c r="E301" s="6"/>
      <c r="F301" s="6"/>
    </row>
    <row r="302">
      <c r="B302" s="3"/>
      <c r="C302" s="6"/>
      <c r="D302" s="6"/>
      <c r="E302" s="6"/>
      <c r="F302" s="6"/>
    </row>
    <row r="303">
      <c r="B303" s="3"/>
      <c r="C303" s="6"/>
      <c r="D303" s="6"/>
      <c r="E303" s="6"/>
      <c r="F303" s="6"/>
    </row>
    <row r="304">
      <c r="B304" s="3"/>
      <c r="C304" s="6"/>
      <c r="D304" s="6"/>
      <c r="E304" s="6"/>
      <c r="F304" s="6"/>
    </row>
    <row r="305">
      <c r="B305" s="3"/>
      <c r="C305" s="6"/>
      <c r="D305" s="6"/>
      <c r="E305" s="6"/>
      <c r="F305" s="6"/>
    </row>
    <row r="306">
      <c r="B306" s="3"/>
      <c r="C306" s="6"/>
      <c r="D306" s="6"/>
      <c r="E306" s="6"/>
      <c r="F306" s="6"/>
    </row>
    <row r="307">
      <c r="B307" s="3"/>
      <c r="C307" s="6"/>
      <c r="D307" s="6"/>
      <c r="E307" s="6"/>
      <c r="F307" s="6"/>
    </row>
    <row r="308">
      <c r="B308" s="3"/>
      <c r="C308" s="6"/>
      <c r="D308" s="6"/>
      <c r="E308" s="6"/>
      <c r="F308" s="6"/>
    </row>
    <row r="309">
      <c r="B309" s="3"/>
      <c r="C309" s="6"/>
      <c r="D309" s="6"/>
      <c r="E309" s="6"/>
      <c r="F309" s="6"/>
    </row>
    <row r="310">
      <c r="B310" s="3"/>
      <c r="C310" s="6"/>
      <c r="D310" s="6"/>
      <c r="E310" s="6"/>
      <c r="F310" s="6"/>
    </row>
    <row r="311">
      <c r="B311" s="3"/>
      <c r="C311" s="6"/>
      <c r="D311" s="6"/>
      <c r="E311" s="6"/>
      <c r="F311" s="6"/>
    </row>
    <row r="312">
      <c r="B312" s="3"/>
      <c r="C312" s="6"/>
      <c r="D312" s="6"/>
      <c r="E312" s="6"/>
      <c r="F312" s="6"/>
    </row>
    <row r="313">
      <c r="B313" s="3"/>
      <c r="C313" s="6"/>
      <c r="D313" s="6"/>
      <c r="E313" s="6"/>
      <c r="F313" s="6"/>
    </row>
    <row r="314">
      <c r="B314" s="3"/>
      <c r="C314" s="6"/>
      <c r="D314" s="6"/>
      <c r="E314" s="6"/>
      <c r="F314" s="6"/>
    </row>
    <row r="315">
      <c r="B315" s="3"/>
      <c r="C315" s="6"/>
      <c r="D315" s="6"/>
      <c r="E315" s="6"/>
      <c r="F315" s="6"/>
    </row>
    <row r="316">
      <c r="B316" s="3"/>
      <c r="C316" s="6"/>
      <c r="D316" s="6"/>
      <c r="E316" s="6"/>
      <c r="F316" s="6"/>
    </row>
    <row r="317">
      <c r="B317" s="3"/>
      <c r="C317" s="6"/>
      <c r="D317" s="6"/>
      <c r="E317" s="6"/>
      <c r="F317" s="6"/>
    </row>
    <row r="318">
      <c r="B318" s="3"/>
      <c r="C318" s="6"/>
      <c r="D318" s="6"/>
      <c r="E318" s="6"/>
      <c r="F318" s="6"/>
    </row>
    <row r="319">
      <c r="B319" s="3"/>
      <c r="C319" s="6"/>
      <c r="D319" s="6"/>
      <c r="E319" s="6"/>
      <c r="F319" s="6"/>
    </row>
    <row r="320">
      <c r="B320" s="3"/>
      <c r="C320" s="6"/>
      <c r="D320" s="6"/>
      <c r="E320" s="6"/>
      <c r="F320" s="6"/>
    </row>
    <row r="321">
      <c r="B321" s="3"/>
      <c r="C321" s="6"/>
      <c r="D321" s="6"/>
      <c r="E321" s="6"/>
      <c r="F321" s="6"/>
    </row>
    <row r="322">
      <c r="B322" s="3"/>
      <c r="C322" s="6"/>
      <c r="D322" s="6"/>
      <c r="E322" s="6"/>
      <c r="F322" s="6"/>
    </row>
    <row r="323">
      <c r="B323" s="3"/>
      <c r="C323" s="6"/>
      <c r="D323" s="6"/>
      <c r="E323" s="6"/>
      <c r="F323" s="6"/>
    </row>
    <row r="324">
      <c r="B324" s="3"/>
      <c r="C324" s="6"/>
      <c r="D324" s="6"/>
      <c r="E324" s="6"/>
      <c r="F324" s="6"/>
    </row>
    <row r="325">
      <c r="B325" s="3"/>
      <c r="C325" s="6"/>
      <c r="D325" s="6"/>
      <c r="E325" s="6"/>
      <c r="F325" s="6"/>
    </row>
    <row r="326">
      <c r="B326" s="3"/>
      <c r="C326" s="6"/>
      <c r="D326" s="6"/>
      <c r="E326" s="6"/>
      <c r="F326" s="6"/>
    </row>
    <row r="327">
      <c r="B327" s="3"/>
      <c r="C327" s="6"/>
      <c r="D327" s="6"/>
      <c r="E327" s="6"/>
      <c r="F327" s="6"/>
    </row>
    <row r="328">
      <c r="B328" s="3"/>
      <c r="C328" s="6"/>
      <c r="D328" s="6"/>
      <c r="E328" s="6"/>
      <c r="F328" s="6"/>
    </row>
    <row r="329">
      <c r="B329" s="3"/>
      <c r="C329" s="6"/>
      <c r="D329" s="6"/>
      <c r="E329" s="6"/>
      <c r="F329" s="6"/>
    </row>
    <row r="330">
      <c r="B330" s="3"/>
      <c r="C330" s="6"/>
      <c r="D330" s="6"/>
      <c r="E330" s="6"/>
      <c r="F330" s="6"/>
    </row>
    <row r="331">
      <c r="B331" s="3"/>
      <c r="C331" s="6"/>
      <c r="D331" s="6"/>
      <c r="E331" s="6"/>
      <c r="F331" s="6"/>
    </row>
    <row r="332">
      <c r="B332" s="3"/>
      <c r="C332" s="6"/>
      <c r="D332" s="6"/>
      <c r="E332" s="6"/>
      <c r="F332" s="6"/>
    </row>
    <row r="333">
      <c r="B333" s="3"/>
      <c r="C333" s="6"/>
      <c r="D333" s="6"/>
      <c r="E333" s="6"/>
      <c r="F333" s="6"/>
    </row>
    <row r="334">
      <c r="B334" s="3"/>
      <c r="C334" s="6"/>
      <c r="D334" s="6"/>
      <c r="E334" s="6"/>
      <c r="F334" s="6"/>
    </row>
    <row r="335">
      <c r="B335" s="3"/>
      <c r="C335" s="6"/>
      <c r="D335" s="6"/>
      <c r="E335" s="6"/>
      <c r="F335" s="6"/>
    </row>
    <row r="336">
      <c r="B336" s="3"/>
      <c r="C336" s="6"/>
      <c r="D336" s="6"/>
      <c r="E336" s="6"/>
      <c r="F336" s="6"/>
    </row>
    <row r="337">
      <c r="B337" s="3"/>
      <c r="C337" s="6"/>
      <c r="D337" s="6"/>
      <c r="E337" s="6"/>
      <c r="F337" s="6"/>
    </row>
    <row r="338">
      <c r="B338" s="3"/>
      <c r="C338" s="6"/>
      <c r="D338" s="6"/>
      <c r="E338" s="6"/>
      <c r="F338" s="6"/>
    </row>
    <row r="339">
      <c r="B339" s="3"/>
      <c r="C339" s="6"/>
      <c r="D339" s="6"/>
      <c r="E339" s="6"/>
      <c r="F339" s="6"/>
    </row>
    <row r="340">
      <c r="B340" s="3"/>
      <c r="C340" s="6"/>
      <c r="D340" s="6"/>
      <c r="E340" s="6"/>
      <c r="F340" s="6"/>
    </row>
    <row r="341">
      <c r="B341" s="3"/>
      <c r="C341" s="6"/>
      <c r="D341" s="6"/>
      <c r="E341" s="6"/>
      <c r="F341" s="6"/>
    </row>
    <row r="342">
      <c r="B342" s="3"/>
      <c r="C342" s="6"/>
      <c r="D342" s="6"/>
      <c r="E342" s="6"/>
      <c r="F342" s="6"/>
    </row>
    <row r="343">
      <c r="B343" s="3"/>
      <c r="C343" s="6"/>
      <c r="D343" s="6"/>
      <c r="E343" s="6"/>
      <c r="F343" s="6"/>
    </row>
    <row r="344">
      <c r="B344" s="3"/>
      <c r="C344" s="6"/>
      <c r="D344" s="6"/>
      <c r="E344" s="6"/>
      <c r="F344" s="6"/>
    </row>
    <row r="345">
      <c r="B345" s="3"/>
      <c r="C345" s="6"/>
      <c r="D345" s="6"/>
      <c r="E345" s="6"/>
      <c r="F345" s="6"/>
    </row>
    <row r="346">
      <c r="B346" s="3"/>
      <c r="C346" s="6"/>
      <c r="D346" s="6"/>
      <c r="E346" s="6"/>
      <c r="F346" s="6"/>
    </row>
    <row r="347">
      <c r="B347" s="3"/>
      <c r="C347" s="6"/>
      <c r="D347" s="6"/>
      <c r="E347" s="6"/>
      <c r="F347" s="6"/>
    </row>
    <row r="348">
      <c r="B348" s="3"/>
      <c r="C348" s="6"/>
      <c r="D348" s="6"/>
      <c r="E348" s="6"/>
      <c r="F348" s="6"/>
    </row>
    <row r="349">
      <c r="B349" s="3"/>
      <c r="C349" s="6"/>
      <c r="D349" s="6"/>
      <c r="E349" s="6"/>
      <c r="F349" s="6"/>
    </row>
    <row r="350">
      <c r="B350" s="3"/>
      <c r="C350" s="6"/>
      <c r="D350" s="6"/>
      <c r="E350" s="6"/>
      <c r="F350" s="6"/>
    </row>
    <row r="351">
      <c r="B351" s="3"/>
      <c r="C351" s="6"/>
      <c r="D351" s="6"/>
      <c r="E351" s="6"/>
      <c r="F351" s="6"/>
    </row>
    <row r="352">
      <c r="B352" s="3"/>
      <c r="C352" s="6"/>
      <c r="D352" s="6"/>
      <c r="E352" s="6"/>
      <c r="F352" s="6"/>
    </row>
    <row r="353">
      <c r="B353" s="3"/>
      <c r="C353" s="6"/>
      <c r="D353" s="6"/>
      <c r="E353" s="6"/>
      <c r="F353" s="6"/>
    </row>
    <row r="354">
      <c r="B354" s="3"/>
      <c r="C354" s="6"/>
      <c r="D354" s="6"/>
      <c r="E354" s="6"/>
      <c r="F354" s="6"/>
    </row>
    <row r="355">
      <c r="B355" s="3"/>
      <c r="C355" s="6"/>
      <c r="D355" s="6"/>
      <c r="E355" s="6"/>
      <c r="F355" s="6"/>
    </row>
    <row r="356">
      <c r="B356" s="3"/>
      <c r="C356" s="6"/>
      <c r="D356" s="6"/>
      <c r="E356" s="6"/>
      <c r="F356" s="6"/>
    </row>
    <row r="357">
      <c r="B357" s="3"/>
      <c r="C357" s="6"/>
      <c r="D357" s="6"/>
      <c r="E357" s="6"/>
      <c r="F357" s="6"/>
    </row>
    <row r="358">
      <c r="B358" s="3"/>
      <c r="C358" s="6"/>
      <c r="D358" s="6"/>
      <c r="E358" s="6"/>
      <c r="F358" s="6"/>
    </row>
    <row r="359">
      <c r="B359" s="3"/>
      <c r="C359" s="6"/>
      <c r="D359" s="6"/>
      <c r="E359" s="6"/>
      <c r="F359" s="6"/>
    </row>
    <row r="360">
      <c r="B360" s="3"/>
      <c r="C360" s="6"/>
      <c r="D360" s="6"/>
      <c r="E360" s="6"/>
      <c r="F360" s="6"/>
    </row>
    <row r="361">
      <c r="B361" s="3"/>
      <c r="C361" s="6"/>
      <c r="D361" s="6"/>
      <c r="E361" s="6"/>
      <c r="F361" s="6"/>
    </row>
    <row r="362">
      <c r="B362" s="3"/>
      <c r="C362" s="6"/>
      <c r="D362" s="6"/>
      <c r="E362" s="6"/>
      <c r="F362" s="6"/>
    </row>
    <row r="363">
      <c r="B363" s="3"/>
      <c r="C363" s="6"/>
      <c r="D363" s="6"/>
      <c r="E363" s="6"/>
      <c r="F363" s="6"/>
    </row>
    <row r="364">
      <c r="B364" s="3"/>
      <c r="C364" s="6"/>
      <c r="D364" s="6"/>
      <c r="E364" s="6"/>
      <c r="F364" s="6"/>
    </row>
    <row r="365">
      <c r="B365" s="3"/>
      <c r="C365" s="6"/>
      <c r="D365" s="6"/>
      <c r="E365" s="6"/>
      <c r="F365" s="6"/>
    </row>
    <row r="366">
      <c r="B366" s="3"/>
      <c r="C366" s="6"/>
      <c r="D366" s="6"/>
      <c r="E366" s="6"/>
      <c r="F366" s="6"/>
    </row>
    <row r="367">
      <c r="B367" s="3"/>
      <c r="C367" s="6"/>
      <c r="D367" s="6"/>
      <c r="E367" s="6"/>
      <c r="F367" s="6"/>
    </row>
    <row r="368">
      <c r="B368" s="3"/>
      <c r="C368" s="6"/>
      <c r="D368" s="6"/>
      <c r="E368" s="6"/>
      <c r="F368" s="6"/>
    </row>
    <row r="369">
      <c r="B369" s="3"/>
      <c r="C369" s="6"/>
      <c r="D369" s="6"/>
      <c r="E369" s="6"/>
      <c r="F369" s="6"/>
    </row>
    <row r="370">
      <c r="B370" s="3"/>
      <c r="C370" s="6"/>
      <c r="D370" s="6"/>
      <c r="E370" s="6"/>
      <c r="F370" s="6"/>
    </row>
    <row r="371">
      <c r="B371" s="3"/>
      <c r="C371" s="6"/>
      <c r="D371" s="6"/>
      <c r="E371" s="6"/>
      <c r="F371" s="6"/>
    </row>
    <row r="372">
      <c r="B372" s="3"/>
      <c r="C372" s="6"/>
      <c r="D372" s="6"/>
      <c r="E372" s="6"/>
      <c r="F372" s="6"/>
    </row>
    <row r="373">
      <c r="B373" s="3"/>
      <c r="C373" s="6"/>
      <c r="D373" s="6"/>
      <c r="E373" s="6"/>
      <c r="F373" s="6"/>
    </row>
    <row r="374">
      <c r="B374" s="3"/>
      <c r="C374" s="6"/>
      <c r="D374" s="6"/>
      <c r="E374" s="6"/>
      <c r="F374" s="6"/>
    </row>
    <row r="375">
      <c r="B375" s="3"/>
      <c r="C375" s="6"/>
      <c r="D375" s="6"/>
      <c r="E375" s="6"/>
      <c r="F375" s="6"/>
    </row>
    <row r="376">
      <c r="B376" s="3"/>
      <c r="C376" s="6"/>
      <c r="D376" s="6"/>
      <c r="E376" s="6"/>
      <c r="F376" s="6"/>
    </row>
    <row r="377">
      <c r="B377" s="3"/>
      <c r="C377" s="6"/>
      <c r="D377" s="6"/>
      <c r="E377" s="6"/>
      <c r="F377" s="6"/>
    </row>
    <row r="378">
      <c r="B378" s="3"/>
      <c r="C378" s="6"/>
      <c r="D378" s="6"/>
      <c r="E378" s="6"/>
      <c r="F378" s="6"/>
    </row>
    <row r="379">
      <c r="B379" s="3"/>
      <c r="C379" s="6"/>
      <c r="D379" s="6"/>
      <c r="E379" s="6"/>
      <c r="F379" s="6"/>
    </row>
    <row r="380">
      <c r="B380" s="3"/>
      <c r="C380" s="6"/>
      <c r="D380" s="6"/>
      <c r="E380" s="6"/>
      <c r="F380" s="6"/>
    </row>
    <row r="381">
      <c r="B381" s="3"/>
      <c r="C381" s="6"/>
      <c r="D381" s="6"/>
      <c r="E381" s="6"/>
      <c r="F381" s="6"/>
    </row>
    <row r="382">
      <c r="B382" s="3"/>
      <c r="C382" s="6"/>
      <c r="D382" s="6"/>
      <c r="E382" s="6"/>
      <c r="F382" s="6"/>
    </row>
    <row r="383">
      <c r="B383" s="3"/>
      <c r="C383" s="6"/>
      <c r="D383" s="6"/>
      <c r="E383" s="6"/>
      <c r="F383" s="6"/>
    </row>
    <row r="384">
      <c r="B384" s="3"/>
      <c r="C384" s="6"/>
      <c r="D384" s="6"/>
      <c r="E384" s="6"/>
      <c r="F384" s="6"/>
    </row>
    <row r="385">
      <c r="B385" s="3"/>
      <c r="C385" s="6"/>
      <c r="D385" s="6"/>
      <c r="E385" s="6"/>
      <c r="F385" s="6"/>
    </row>
    <row r="386">
      <c r="B386" s="3"/>
      <c r="C386" s="6"/>
      <c r="D386" s="6"/>
      <c r="E386" s="6"/>
      <c r="F386" s="6"/>
    </row>
    <row r="387">
      <c r="B387" s="3"/>
      <c r="C387" s="6"/>
      <c r="D387" s="6"/>
      <c r="E387" s="6"/>
      <c r="F387" s="6"/>
    </row>
    <row r="388">
      <c r="B388" s="3"/>
      <c r="C388" s="6"/>
      <c r="D388" s="6"/>
      <c r="E388" s="6"/>
      <c r="F388" s="6"/>
    </row>
    <row r="389">
      <c r="B389" s="3"/>
      <c r="C389" s="6"/>
      <c r="D389" s="6"/>
      <c r="E389" s="6"/>
      <c r="F389" s="6"/>
    </row>
    <row r="390">
      <c r="B390" s="3"/>
      <c r="C390" s="6"/>
      <c r="D390" s="6"/>
      <c r="E390" s="6"/>
      <c r="F390" s="6"/>
    </row>
    <row r="391">
      <c r="B391" s="3"/>
      <c r="C391" s="6"/>
      <c r="D391" s="6"/>
      <c r="E391" s="6"/>
      <c r="F391" s="6"/>
    </row>
    <row r="392">
      <c r="B392" s="3"/>
      <c r="C392" s="6"/>
      <c r="D392" s="6"/>
      <c r="E392" s="6"/>
      <c r="F392" s="6"/>
    </row>
    <row r="393">
      <c r="B393" s="3"/>
      <c r="C393" s="6"/>
      <c r="D393" s="6"/>
      <c r="E393" s="6"/>
      <c r="F393" s="6"/>
    </row>
    <row r="394">
      <c r="B394" s="3"/>
      <c r="C394" s="6"/>
      <c r="D394" s="6"/>
      <c r="E394" s="6"/>
      <c r="F394" s="6"/>
    </row>
    <row r="395">
      <c r="B395" s="3"/>
      <c r="C395" s="6"/>
      <c r="D395" s="6"/>
      <c r="E395" s="6"/>
      <c r="F395" s="6"/>
    </row>
    <row r="396">
      <c r="B396" s="3"/>
      <c r="C396" s="6"/>
      <c r="D396" s="6"/>
      <c r="E396" s="6"/>
      <c r="F396" s="6"/>
    </row>
    <row r="397">
      <c r="B397" s="3"/>
      <c r="C397" s="6"/>
      <c r="D397" s="6"/>
      <c r="E397" s="6"/>
      <c r="F397" s="6"/>
    </row>
    <row r="398">
      <c r="B398" s="3"/>
      <c r="C398" s="6"/>
      <c r="D398" s="6"/>
      <c r="E398" s="6"/>
      <c r="F398" s="6"/>
    </row>
    <row r="399">
      <c r="B399" s="3"/>
      <c r="C399" s="6"/>
      <c r="D399" s="6"/>
      <c r="E399" s="6"/>
      <c r="F399" s="6"/>
    </row>
    <row r="400">
      <c r="B400" s="3"/>
      <c r="C400" s="6"/>
      <c r="D400" s="6"/>
      <c r="E400" s="6"/>
      <c r="F400" s="6"/>
    </row>
    <row r="401">
      <c r="B401" s="3"/>
      <c r="C401" s="6"/>
      <c r="D401" s="6"/>
      <c r="E401" s="6"/>
      <c r="F401" s="6"/>
    </row>
    <row r="402">
      <c r="B402" s="3"/>
      <c r="C402" s="6"/>
      <c r="D402" s="6"/>
      <c r="E402" s="6"/>
      <c r="F402" s="6"/>
    </row>
    <row r="403">
      <c r="B403" s="3"/>
      <c r="C403" s="6"/>
      <c r="D403" s="6"/>
      <c r="E403" s="6"/>
      <c r="F403" s="6"/>
    </row>
    <row r="404">
      <c r="B404" s="3"/>
      <c r="C404" s="6"/>
      <c r="D404" s="6"/>
      <c r="E404" s="6"/>
      <c r="F404" s="6"/>
    </row>
    <row r="405">
      <c r="B405" s="3"/>
      <c r="C405" s="6"/>
      <c r="D405" s="6"/>
      <c r="E405" s="6"/>
      <c r="F405" s="6"/>
    </row>
    <row r="406">
      <c r="B406" s="3"/>
      <c r="C406" s="6"/>
      <c r="D406" s="6"/>
      <c r="E406" s="6"/>
      <c r="F406" s="6"/>
    </row>
    <row r="407">
      <c r="B407" s="3"/>
      <c r="C407" s="6"/>
      <c r="D407" s="6"/>
      <c r="E407" s="6"/>
      <c r="F407" s="6"/>
    </row>
    <row r="408">
      <c r="B408" s="3"/>
      <c r="C408" s="6"/>
      <c r="D408" s="6"/>
      <c r="E408" s="6"/>
      <c r="F408" s="6"/>
    </row>
    <row r="409">
      <c r="B409" s="3"/>
      <c r="C409" s="6"/>
      <c r="D409" s="6"/>
      <c r="E409" s="6"/>
      <c r="F409" s="6"/>
    </row>
    <row r="410">
      <c r="B410" s="3"/>
      <c r="C410" s="6"/>
      <c r="D410" s="6"/>
      <c r="E410" s="6"/>
      <c r="F410" s="6"/>
    </row>
    <row r="411">
      <c r="B411" s="3"/>
      <c r="C411" s="6"/>
      <c r="D411" s="6"/>
      <c r="E411" s="6"/>
      <c r="F411" s="6"/>
    </row>
    <row r="412">
      <c r="B412" s="3"/>
      <c r="C412" s="6"/>
      <c r="D412" s="6"/>
      <c r="E412" s="6"/>
      <c r="F412" s="6"/>
    </row>
    <row r="413">
      <c r="B413" s="3"/>
      <c r="C413" s="6"/>
      <c r="D413" s="6"/>
      <c r="E413" s="6"/>
      <c r="F413" s="6"/>
    </row>
    <row r="414">
      <c r="B414" s="3"/>
      <c r="C414" s="6"/>
      <c r="D414" s="6"/>
      <c r="E414" s="6"/>
      <c r="F414" s="6"/>
    </row>
    <row r="415">
      <c r="B415" s="3"/>
      <c r="C415" s="6"/>
      <c r="D415" s="6"/>
      <c r="E415" s="6"/>
      <c r="F415" s="6"/>
    </row>
    <row r="416">
      <c r="B416" s="3"/>
      <c r="C416" s="6"/>
      <c r="D416" s="6"/>
      <c r="E416" s="6"/>
      <c r="F416" s="6"/>
    </row>
    <row r="417">
      <c r="B417" s="3"/>
      <c r="C417" s="6"/>
      <c r="D417" s="6"/>
      <c r="E417" s="6"/>
      <c r="F417" s="6"/>
    </row>
    <row r="418">
      <c r="B418" s="3"/>
      <c r="C418" s="6"/>
      <c r="D418" s="6"/>
      <c r="E418" s="6"/>
      <c r="F418" s="6"/>
    </row>
    <row r="419">
      <c r="B419" s="3"/>
      <c r="C419" s="6"/>
      <c r="D419" s="6"/>
      <c r="E419" s="6"/>
      <c r="F419" s="6"/>
    </row>
    <row r="420">
      <c r="B420" s="3"/>
      <c r="C420" s="6"/>
      <c r="D420" s="6"/>
      <c r="E420" s="6"/>
      <c r="F420" s="6"/>
    </row>
    <row r="421">
      <c r="B421" s="3"/>
      <c r="C421" s="6"/>
      <c r="D421" s="6"/>
      <c r="E421" s="6"/>
      <c r="F421" s="6"/>
    </row>
    <row r="422">
      <c r="B422" s="3"/>
      <c r="C422" s="6"/>
      <c r="D422" s="6"/>
      <c r="E422" s="6"/>
      <c r="F422" s="6"/>
    </row>
    <row r="423">
      <c r="B423" s="3"/>
      <c r="C423" s="6"/>
      <c r="D423" s="6"/>
      <c r="E423" s="6"/>
      <c r="F423" s="6"/>
    </row>
    <row r="424">
      <c r="B424" s="3"/>
      <c r="C424" s="6"/>
      <c r="D424" s="6"/>
      <c r="E424" s="6"/>
      <c r="F424" s="6"/>
    </row>
    <row r="425">
      <c r="B425" s="3"/>
      <c r="C425" s="6"/>
      <c r="D425" s="6"/>
      <c r="E425" s="6"/>
      <c r="F425" s="6"/>
    </row>
    <row r="426">
      <c r="B426" s="3"/>
      <c r="C426" s="6"/>
      <c r="D426" s="6"/>
      <c r="E426" s="6"/>
      <c r="F426" s="6"/>
    </row>
    <row r="427">
      <c r="B427" s="3"/>
      <c r="C427" s="6"/>
      <c r="D427" s="6"/>
      <c r="E427" s="6"/>
      <c r="F427" s="6"/>
    </row>
    <row r="428">
      <c r="B428" s="3"/>
      <c r="C428" s="6"/>
      <c r="D428" s="6"/>
      <c r="E428" s="6"/>
      <c r="F428" s="6"/>
    </row>
    <row r="429">
      <c r="B429" s="3"/>
      <c r="C429" s="6"/>
      <c r="D429" s="6"/>
      <c r="E429" s="6"/>
      <c r="F429" s="6"/>
    </row>
    <row r="430">
      <c r="B430" s="3"/>
      <c r="C430" s="6"/>
      <c r="D430" s="6"/>
      <c r="E430" s="6"/>
      <c r="F430" s="6"/>
    </row>
    <row r="431">
      <c r="B431" s="3"/>
      <c r="C431" s="6"/>
      <c r="D431" s="6"/>
      <c r="E431" s="6"/>
      <c r="F431" s="6"/>
    </row>
    <row r="432">
      <c r="B432" s="3"/>
      <c r="C432" s="6"/>
      <c r="D432" s="6"/>
      <c r="E432" s="6"/>
      <c r="F432" s="6"/>
    </row>
    <row r="433">
      <c r="B433" s="3"/>
      <c r="C433" s="6"/>
      <c r="D433" s="6"/>
      <c r="E433" s="6"/>
      <c r="F433" s="6"/>
    </row>
    <row r="434">
      <c r="B434" s="3"/>
      <c r="C434" s="6"/>
      <c r="D434" s="6"/>
      <c r="E434" s="6"/>
      <c r="F434" s="6"/>
    </row>
    <row r="435">
      <c r="B435" s="3"/>
      <c r="C435" s="6"/>
      <c r="D435" s="6"/>
      <c r="E435" s="6"/>
      <c r="F435" s="6"/>
    </row>
    <row r="436">
      <c r="B436" s="3"/>
      <c r="C436" s="6"/>
      <c r="D436" s="6"/>
      <c r="E436" s="6"/>
      <c r="F436" s="6"/>
    </row>
    <row r="437">
      <c r="B437" s="3"/>
      <c r="C437" s="6"/>
      <c r="D437" s="6"/>
      <c r="E437" s="6"/>
      <c r="F437" s="6"/>
    </row>
    <row r="438">
      <c r="B438" s="3"/>
      <c r="C438" s="6"/>
      <c r="D438" s="6"/>
      <c r="E438" s="6"/>
      <c r="F438" s="6"/>
    </row>
    <row r="439">
      <c r="B439" s="3"/>
      <c r="C439" s="6"/>
      <c r="D439" s="6"/>
      <c r="E439" s="6"/>
      <c r="F439" s="6"/>
    </row>
    <row r="440">
      <c r="B440" s="3"/>
      <c r="C440" s="6"/>
      <c r="D440" s="6"/>
      <c r="E440" s="6"/>
      <c r="F440" s="6"/>
    </row>
    <row r="441">
      <c r="B441" s="3"/>
      <c r="C441" s="6"/>
      <c r="D441" s="6"/>
      <c r="E441" s="6"/>
      <c r="F441" s="6"/>
    </row>
    <row r="442">
      <c r="B442" s="3"/>
      <c r="C442" s="6"/>
      <c r="D442" s="6"/>
      <c r="E442" s="6"/>
      <c r="F442" s="6"/>
    </row>
    <row r="443">
      <c r="B443" s="3"/>
      <c r="C443" s="6"/>
      <c r="D443" s="6"/>
      <c r="E443" s="6"/>
      <c r="F443" s="6"/>
    </row>
    <row r="444">
      <c r="B444" s="3"/>
      <c r="C444" s="6"/>
      <c r="D444" s="6"/>
      <c r="E444" s="6"/>
      <c r="F444" s="6"/>
    </row>
    <row r="445">
      <c r="B445" s="3"/>
      <c r="C445" s="6"/>
      <c r="D445" s="6"/>
      <c r="E445" s="6"/>
      <c r="F445" s="6"/>
    </row>
    <row r="446">
      <c r="B446" s="3"/>
      <c r="C446" s="6"/>
      <c r="D446" s="6"/>
      <c r="E446" s="6"/>
      <c r="F446" s="6"/>
    </row>
    <row r="447">
      <c r="B447" s="3"/>
      <c r="C447" s="6"/>
      <c r="D447" s="6"/>
      <c r="E447" s="6"/>
      <c r="F447" s="6"/>
    </row>
    <row r="448">
      <c r="B448" s="3"/>
      <c r="C448" s="6"/>
      <c r="D448" s="6"/>
      <c r="E448" s="6"/>
      <c r="F448" s="6"/>
    </row>
    <row r="449">
      <c r="B449" s="3"/>
      <c r="C449" s="6"/>
      <c r="D449" s="6"/>
      <c r="E449" s="6"/>
      <c r="F449" s="6"/>
    </row>
    <row r="450">
      <c r="B450" s="3"/>
      <c r="C450" s="6"/>
      <c r="D450" s="6"/>
      <c r="E450" s="6"/>
      <c r="F450" s="6"/>
    </row>
    <row r="451">
      <c r="B451" s="3"/>
      <c r="C451" s="6"/>
      <c r="D451" s="6"/>
      <c r="E451" s="6"/>
      <c r="F451" s="6"/>
    </row>
    <row r="452">
      <c r="B452" s="3"/>
      <c r="C452" s="6"/>
      <c r="D452" s="6"/>
      <c r="E452" s="6"/>
      <c r="F452" s="6"/>
    </row>
    <row r="453">
      <c r="B453" s="3"/>
      <c r="C453" s="6"/>
      <c r="D453" s="6"/>
      <c r="E453" s="6"/>
      <c r="F453" s="6"/>
    </row>
    <row r="454">
      <c r="B454" s="3"/>
      <c r="C454" s="6"/>
      <c r="D454" s="6"/>
      <c r="E454" s="6"/>
      <c r="F454" s="6"/>
    </row>
    <row r="455">
      <c r="B455" s="3"/>
      <c r="C455" s="6"/>
      <c r="D455" s="6"/>
      <c r="E455" s="6"/>
      <c r="F455" s="6"/>
    </row>
    <row r="456">
      <c r="B456" s="3"/>
      <c r="C456" s="6"/>
      <c r="D456" s="6"/>
      <c r="E456" s="6"/>
      <c r="F456" s="6"/>
    </row>
    <row r="457">
      <c r="B457" s="3"/>
      <c r="C457" s="6"/>
      <c r="D457" s="6"/>
      <c r="E457" s="6"/>
      <c r="F457" s="6"/>
    </row>
    <row r="458">
      <c r="B458" s="3"/>
      <c r="C458" s="6"/>
      <c r="D458" s="6"/>
      <c r="E458" s="6"/>
      <c r="F458" s="6"/>
    </row>
    <row r="459">
      <c r="B459" s="3"/>
      <c r="C459" s="6"/>
      <c r="D459" s="6"/>
      <c r="E459" s="6"/>
      <c r="F459" s="6"/>
    </row>
    <row r="460">
      <c r="B460" s="3"/>
      <c r="C460" s="6"/>
      <c r="D460" s="6"/>
      <c r="E460" s="6"/>
      <c r="F460" s="6"/>
    </row>
    <row r="461">
      <c r="B461" s="3"/>
      <c r="C461" s="6"/>
      <c r="D461" s="6"/>
      <c r="E461" s="6"/>
      <c r="F461" s="6"/>
    </row>
    <row r="462">
      <c r="B462" s="3"/>
      <c r="C462" s="6"/>
      <c r="D462" s="6"/>
      <c r="E462" s="6"/>
      <c r="F462" s="6"/>
    </row>
    <row r="463">
      <c r="B463" s="3"/>
      <c r="C463" s="6"/>
      <c r="D463" s="6"/>
      <c r="E463" s="6"/>
      <c r="F463" s="6"/>
    </row>
    <row r="464">
      <c r="B464" s="3"/>
      <c r="C464" s="6"/>
      <c r="D464" s="6"/>
      <c r="E464" s="6"/>
      <c r="F464" s="6"/>
    </row>
    <row r="465">
      <c r="B465" s="3"/>
      <c r="C465" s="6"/>
      <c r="D465" s="6"/>
      <c r="E465" s="6"/>
      <c r="F465" s="6"/>
    </row>
    <row r="466">
      <c r="B466" s="3"/>
      <c r="C466" s="6"/>
      <c r="D466" s="6"/>
      <c r="E466" s="6"/>
      <c r="F466" s="6"/>
    </row>
    <row r="467">
      <c r="B467" s="3"/>
      <c r="C467" s="6"/>
      <c r="D467" s="6"/>
      <c r="E467" s="6"/>
      <c r="F467" s="6"/>
    </row>
    <row r="468">
      <c r="B468" s="3"/>
      <c r="C468" s="6"/>
      <c r="D468" s="6"/>
      <c r="E468" s="6"/>
      <c r="F468" s="6"/>
    </row>
    <row r="469">
      <c r="B469" s="3"/>
      <c r="C469" s="6"/>
      <c r="D469" s="6"/>
      <c r="E469" s="6"/>
      <c r="F469" s="6"/>
    </row>
    <row r="470">
      <c r="B470" s="3"/>
      <c r="C470" s="6"/>
      <c r="D470" s="6"/>
      <c r="E470" s="6"/>
      <c r="F470" s="6"/>
    </row>
    <row r="471">
      <c r="B471" s="3"/>
      <c r="C471" s="6"/>
      <c r="D471" s="6"/>
      <c r="E471" s="6"/>
      <c r="F471" s="6"/>
    </row>
    <row r="472">
      <c r="B472" s="3"/>
      <c r="C472" s="6"/>
      <c r="D472" s="6"/>
      <c r="E472" s="6"/>
      <c r="F472" s="6"/>
    </row>
    <row r="473">
      <c r="B473" s="3"/>
      <c r="C473" s="6"/>
      <c r="D473" s="6"/>
      <c r="E473" s="6"/>
      <c r="F473" s="6"/>
    </row>
    <row r="474">
      <c r="B474" s="3"/>
      <c r="C474" s="6"/>
      <c r="D474" s="6"/>
      <c r="E474" s="6"/>
      <c r="F474" s="6"/>
    </row>
    <row r="475">
      <c r="B475" s="3"/>
      <c r="C475" s="6"/>
      <c r="D475" s="6"/>
      <c r="E475" s="6"/>
      <c r="F475" s="6"/>
    </row>
    <row r="476">
      <c r="B476" s="3"/>
      <c r="C476" s="6"/>
      <c r="D476" s="6"/>
      <c r="E476" s="6"/>
      <c r="F476" s="6"/>
    </row>
    <row r="477">
      <c r="B477" s="3"/>
      <c r="C477" s="6"/>
      <c r="D477" s="6"/>
      <c r="E477" s="6"/>
      <c r="F477" s="6"/>
    </row>
    <row r="478">
      <c r="B478" s="3"/>
      <c r="C478" s="6"/>
      <c r="D478" s="6"/>
      <c r="E478" s="6"/>
      <c r="F478" s="6"/>
    </row>
    <row r="479">
      <c r="B479" s="3"/>
      <c r="C479" s="6"/>
      <c r="D479" s="6"/>
      <c r="E479" s="6"/>
      <c r="F479" s="6"/>
    </row>
    <row r="480">
      <c r="B480" s="3"/>
      <c r="C480" s="6"/>
      <c r="D480" s="6"/>
      <c r="E480" s="6"/>
      <c r="F480" s="6"/>
    </row>
    <row r="481">
      <c r="B481" s="3"/>
      <c r="C481" s="6"/>
      <c r="D481" s="6"/>
      <c r="E481" s="6"/>
      <c r="F481" s="6"/>
    </row>
    <row r="482">
      <c r="B482" s="3"/>
      <c r="C482" s="6"/>
      <c r="D482" s="6"/>
      <c r="E482" s="6"/>
      <c r="F482" s="6"/>
    </row>
    <row r="483">
      <c r="B483" s="3"/>
      <c r="C483" s="6"/>
      <c r="D483" s="6"/>
      <c r="E483" s="6"/>
      <c r="F483" s="6"/>
    </row>
    <row r="484">
      <c r="B484" s="3"/>
      <c r="C484" s="6"/>
      <c r="D484" s="6"/>
      <c r="E484" s="6"/>
      <c r="F484" s="6"/>
    </row>
    <row r="485">
      <c r="B485" s="3"/>
      <c r="C485" s="6"/>
      <c r="D485" s="6"/>
      <c r="E485" s="6"/>
      <c r="F485" s="6"/>
    </row>
    <row r="486">
      <c r="B486" s="3"/>
      <c r="C486" s="6"/>
      <c r="D486" s="6"/>
      <c r="E486" s="6"/>
      <c r="F486" s="6"/>
    </row>
    <row r="487">
      <c r="B487" s="3"/>
      <c r="C487" s="6"/>
      <c r="D487" s="6"/>
      <c r="E487" s="6"/>
      <c r="F487" s="6"/>
    </row>
    <row r="488">
      <c r="B488" s="3"/>
      <c r="C488" s="6"/>
      <c r="D488" s="6"/>
      <c r="E488" s="6"/>
      <c r="F488" s="6"/>
    </row>
    <row r="489">
      <c r="B489" s="3"/>
      <c r="C489" s="6"/>
      <c r="D489" s="6"/>
      <c r="E489" s="6"/>
      <c r="F489" s="6"/>
    </row>
    <row r="490">
      <c r="B490" s="3"/>
      <c r="C490" s="6"/>
      <c r="D490" s="6"/>
      <c r="E490" s="6"/>
      <c r="F490" s="6"/>
    </row>
    <row r="491">
      <c r="B491" s="3"/>
      <c r="C491" s="6"/>
      <c r="D491" s="6"/>
      <c r="E491" s="6"/>
      <c r="F491" s="6"/>
    </row>
    <row r="492">
      <c r="B492" s="3"/>
      <c r="C492" s="6"/>
      <c r="D492" s="6"/>
      <c r="E492" s="6"/>
      <c r="F492" s="6"/>
    </row>
    <row r="493">
      <c r="B493" s="3"/>
      <c r="C493" s="6"/>
      <c r="D493" s="6"/>
      <c r="E493" s="6"/>
      <c r="F493" s="6"/>
    </row>
    <row r="494">
      <c r="B494" s="3"/>
      <c r="C494" s="6"/>
      <c r="D494" s="6"/>
      <c r="E494" s="6"/>
      <c r="F494" s="6"/>
    </row>
    <row r="495">
      <c r="B495" s="3"/>
      <c r="C495" s="6"/>
      <c r="D495" s="6"/>
      <c r="E495" s="6"/>
      <c r="F495" s="6"/>
    </row>
    <row r="496">
      <c r="B496" s="3"/>
      <c r="C496" s="6"/>
      <c r="D496" s="6"/>
      <c r="E496" s="6"/>
      <c r="F496" s="6"/>
    </row>
    <row r="497">
      <c r="B497" s="3"/>
      <c r="C497" s="6"/>
      <c r="D497" s="6"/>
      <c r="E497" s="6"/>
      <c r="F497" s="6"/>
    </row>
    <row r="498">
      <c r="B498" s="3"/>
      <c r="C498" s="6"/>
      <c r="D498" s="6"/>
      <c r="E498" s="6"/>
      <c r="F498" s="6"/>
    </row>
    <row r="499">
      <c r="B499" s="3"/>
      <c r="C499" s="6"/>
      <c r="D499" s="6"/>
      <c r="E499" s="6"/>
      <c r="F499" s="6"/>
    </row>
    <row r="500">
      <c r="B500" s="3"/>
      <c r="C500" s="6"/>
      <c r="D500" s="6"/>
      <c r="E500" s="6"/>
      <c r="F500" s="6"/>
    </row>
    <row r="501">
      <c r="B501" s="3"/>
      <c r="C501" s="6"/>
      <c r="D501" s="6"/>
      <c r="E501" s="6"/>
      <c r="F501" s="6"/>
    </row>
    <row r="502">
      <c r="B502" s="3"/>
      <c r="C502" s="6"/>
      <c r="D502" s="6"/>
      <c r="E502" s="6"/>
      <c r="F502" s="6"/>
    </row>
    <row r="503">
      <c r="B503" s="3"/>
      <c r="C503" s="6"/>
      <c r="D503" s="6"/>
      <c r="E503" s="6"/>
      <c r="F503" s="6"/>
    </row>
    <row r="504">
      <c r="B504" s="3"/>
      <c r="C504" s="6"/>
      <c r="D504" s="6"/>
      <c r="E504" s="6"/>
      <c r="F504" s="6"/>
    </row>
    <row r="505">
      <c r="B505" s="3"/>
      <c r="C505" s="6"/>
      <c r="D505" s="6"/>
      <c r="E505" s="6"/>
      <c r="F505" s="6"/>
    </row>
    <row r="506">
      <c r="B506" s="3"/>
      <c r="C506" s="6"/>
      <c r="D506" s="6"/>
      <c r="E506" s="6"/>
      <c r="F506" s="6"/>
    </row>
    <row r="507">
      <c r="B507" s="3"/>
      <c r="C507" s="6"/>
      <c r="D507" s="6"/>
      <c r="E507" s="6"/>
      <c r="F507" s="6"/>
    </row>
    <row r="508">
      <c r="B508" s="3"/>
      <c r="C508" s="6"/>
      <c r="D508" s="6"/>
      <c r="E508" s="6"/>
      <c r="F508" s="6"/>
    </row>
    <row r="509">
      <c r="B509" s="3"/>
      <c r="C509" s="6"/>
      <c r="D509" s="6"/>
      <c r="E509" s="6"/>
      <c r="F509" s="6"/>
    </row>
    <row r="510">
      <c r="B510" s="3"/>
      <c r="C510" s="6"/>
      <c r="D510" s="6"/>
      <c r="E510" s="6"/>
      <c r="F510" s="6"/>
    </row>
    <row r="511">
      <c r="B511" s="3"/>
      <c r="C511" s="6"/>
      <c r="D511" s="6"/>
      <c r="E511" s="6"/>
      <c r="F511" s="6"/>
    </row>
    <row r="512">
      <c r="B512" s="3"/>
      <c r="C512" s="6"/>
      <c r="D512" s="6"/>
      <c r="E512" s="6"/>
      <c r="F512" s="6"/>
    </row>
    <row r="513">
      <c r="B513" s="3"/>
      <c r="C513" s="6"/>
      <c r="D513" s="6"/>
      <c r="E513" s="6"/>
      <c r="F513" s="6"/>
    </row>
    <row r="514">
      <c r="B514" s="3"/>
      <c r="C514" s="6"/>
      <c r="D514" s="6"/>
      <c r="E514" s="6"/>
      <c r="F514" s="6"/>
    </row>
    <row r="515">
      <c r="B515" s="3"/>
      <c r="C515" s="6"/>
      <c r="D515" s="6"/>
      <c r="E515" s="6"/>
      <c r="F515" s="6"/>
    </row>
    <row r="516">
      <c r="B516" s="3"/>
      <c r="C516" s="6"/>
      <c r="D516" s="6"/>
      <c r="E516" s="6"/>
      <c r="F516" s="6"/>
    </row>
    <row r="517">
      <c r="B517" s="3"/>
      <c r="C517" s="6"/>
      <c r="D517" s="6"/>
      <c r="E517" s="6"/>
      <c r="F517" s="6"/>
    </row>
    <row r="518">
      <c r="B518" s="3"/>
      <c r="C518" s="6"/>
      <c r="D518" s="6"/>
      <c r="E518" s="6"/>
      <c r="F518" s="6"/>
    </row>
    <row r="519">
      <c r="B519" s="3"/>
      <c r="C519" s="6"/>
      <c r="D519" s="6"/>
      <c r="E519" s="6"/>
      <c r="F519" s="6"/>
    </row>
    <row r="520">
      <c r="B520" s="3"/>
      <c r="C520" s="6"/>
      <c r="D520" s="6"/>
      <c r="E520" s="6"/>
      <c r="F520" s="6"/>
    </row>
    <row r="521">
      <c r="B521" s="3"/>
      <c r="C521" s="6"/>
      <c r="D521" s="6"/>
      <c r="E521" s="6"/>
      <c r="F521" s="6"/>
    </row>
    <row r="522">
      <c r="B522" s="3"/>
      <c r="C522" s="6"/>
      <c r="D522" s="6"/>
      <c r="E522" s="6"/>
      <c r="F522" s="6"/>
    </row>
    <row r="523">
      <c r="B523" s="3"/>
      <c r="C523" s="6"/>
      <c r="D523" s="6"/>
      <c r="E523" s="6"/>
      <c r="F523" s="6"/>
    </row>
    <row r="524">
      <c r="B524" s="3"/>
      <c r="C524" s="6"/>
      <c r="D524" s="6"/>
      <c r="E524" s="6"/>
      <c r="F524" s="6"/>
    </row>
    <row r="525">
      <c r="B525" s="3"/>
      <c r="C525" s="6"/>
      <c r="D525" s="6"/>
      <c r="E525" s="6"/>
      <c r="F525" s="6"/>
    </row>
    <row r="526">
      <c r="B526" s="3"/>
      <c r="C526" s="6"/>
      <c r="D526" s="6"/>
      <c r="E526" s="6"/>
      <c r="F526" s="6"/>
    </row>
    <row r="527">
      <c r="B527" s="3"/>
      <c r="C527" s="6"/>
      <c r="D527" s="6"/>
      <c r="E527" s="6"/>
      <c r="F527" s="6"/>
    </row>
    <row r="528">
      <c r="B528" s="3"/>
      <c r="C528" s="6"/>
      <c r="D528" s="6"/>
      <c r="E528" s="6"/>
      <c r="F528" s="6"/>
    </row>
    <row r="529">
      <c r="B529" s="3"/>
      <c r="C529" s="6"/>
      <c r="D529" s="6"/>
      <c r="E529" s="6"/>
      <c r="F529" s="6"/>
    </row>
    <row r="530">
      <c r="B530" s="3"/>
      <c r="C530" s="6"/>
      <c r="D530" s="6"/>
      <c r="E530" s="6"/>
      <c r="F530" s="6"/>
    </row>
    <row r="531">
      <c r="B531" s="3"/>
      <c r="C531" s="6"/>
      <c r="D531" s="6"/>
      <c r="E531" s="6"/>
      <c r="F531" s="6"/>
    </row>
    <row r="532">
      <c r="B532" s="3"/>
      <c r="C532" s="6"/>
      <c r="D532" s="6"/>
      <c r="E532" s="6"/>
      <c r="F532" s="6"/>
    </row>
    <row r="533">
      <c r="B533" s="3"/>
      <c r="C533" s="6"/>
      <c r="D533" s="6"/>
      <c r="E533" s="6"/>
      <c r="F533" s="6"/>
    </row>
    <row r="534">
      <c r="B534" s="3"/>
      <c r="C534" s="6"/>
      <c r="D534" s="6"/>
      <c r="E534" s="6"/>
      <c r="F534" s="6"/>
    </row>
    <row r="535">
      <c r="B535" s="3"/>
      <c r="C535" s="6"/>
      <c r="D535" s="6"/>
      <c r="E535" s="6"/>
      <c r="F535" s="6"/>
    </row>
    <row r="536">
      <c r="B536" s="3"/>
      <c r="C536" s="6"/>
      <c r="D536" s="6"/>
      <c r="E536" s="6"/>
      <c r="F536" s="6"/>
    </row>
    <row r="537">
      <c r="B537" s="3"/>
      <c r="C537" s="6"/>
      <c r="D537" s="6"/>
      <c r="E537" s="6"/>
      <c r="F537" s="6"/>
    </row>
    <row r="538">
      <c r="B538" s="3"/>
      <c r="C538" s="6"/>
      <c r="D538" s="6"/>
      <c r="E538" s="6"/>
      <c r="F538" s="6"/>
    </row>
    <row r="539">
      <c r="B539" s="3"/>
      <c r="C539" s="6"/>
      <c r="D539" s="6"/>
      <c r="E539" s="6"/>
      <c r="F539" s="6"/>
    </row>
    <row r="540">
      <c r="B540" s="3"/>
      <c r="C540" s="6"/>
      <c r="D540" s="6"/>
      <c r="E540" s="6"/>
      <c r="F540" s="6"/>
    </row>
    <row r="541">
      <c r="B541" s="3"/>
      <c r="C541" s="6"/>
      <c r="D541" s="6"/>
      <c r="E541" s="6"/>
      <c r="F541" s="6"/>
    </row>
    <row r="542">
      <c r="B542" s="3"/>
      <c r="C542" s="6"/>
      <c r="D542" s="6"/>
      <c r="E542" s="6"/>
      <c r="F542" s="6"/>
    </row>
    <row r="543">
      <c r="B543" s="3"/>
      <c r="C543" s="6"/>
      <c r="D543" s="6"/>
      <c r="E543" s="6"/>
      <c r="F543" s="6"/>
    </row>
    <row r="544">
      <c r="B544" s="3"/>
      <c r="C544" s="6"/>
      <c r="D544" s="6"/>
      <c r="E544" s="6"/>
      <c r="F544" s="6"/>
    </row>
    <row r="545">
      <c r="B545" s="3"/>
      <c r="C545" s="6"/>
      <c r="D545" s="6"/>
      <c r="E545" s="6"/>
      <c r="F545" s="6"/>
    </row>
    <row r="546">
      <c r="B546" s="3"/>
      <c r="C546" s="6"/>
      <c r="D546" s="6"/>
      <c r="E546" s="6"/>
      <c r="F546" s="6"/>
    </row>
    <row r="547">
      <c r="B547" s="3"/>
      <c r="C547" s="6"/>
      <c r="D547" s="6"/>
      <c r="E547" s="6"/>
      <c r="F547" s="6"/>
    </row>
    <row r="548">
      <c r="B548" s="3"/>
      <c r="C548" s="6"/>
      <c r="D548" s="6"/>
      <c r="E548" s="6"/>
      <c r="F548" s="6"/>
    </row>
    <row r="549">
      <c r="B549" s="3"/>
      <c r="C549" s="6"/>
      <c r="D549" s="6"/>
      <c r="E549" s="6"/>
      <c r="F549" s="6"/>
    </row>
    <row r="550">
      <c r="B550" s="3"/>
      <c r="C550" s="6"/>
      <c r="D550" s="6"/>
      <c r="E550" s="6"/>
      <c r="F550" s="6"/>
    </row>
    <row r="551">
      <c r="B551" s="3"/>
      <c r="C551" s="6"/>
      <c r="D551" s="6"/>
      <c r="E551" s="6"/>
      <c r="F551" s="6"/>
    </row>
    <row r="552">
      <c r="B552" s="3"/>
      <c r="C552" s="6"/>
      <c r="D552" s="6"/>
      <c r="E552" s="6"/>
      <c r="F552" s="6"/>
    </row>
    <row r="553">
      <c r="B553" s="3"/>
      <c r="C553" s="6"/>
      <c r="D553" s="6"/>
      <c r="E553" s="6"/>
      <c r="F553" s="6"/>
    </row>
    <row r="554">
      <c r="B554" s="3"/>
      <c r="C554" s="6"/>
      <c r="D554" s="6"/>
      <c r="E554" s="6"/>
      <c r="F554" s="6"/>
    </row>
    <row r="555">
      <c r="B555" s="3"/>
      <c r="C555" s="6"/>
      <c r="D555" s="6"/>
      <c r="E555" s="6"/>
      <c r="F555" s="6"/>
    </row>
    <row r="556">
      <c r="B556" s="3"/>
      <c r="C556" s="6"/>
      <c r="D556" s="6"/>
      <c r="E556" s="6"/>
      <c r="F556" s="6"/>
    </row>
    <row r="557">
      <c r="B557" s="3"/>
      <c r="C557" s="6"/>
      <c r="D557" s="6"/>
      <c r="E557" s="6"/>
      <c r="F557" s="6"/>
    </row>
    <row r="558">
      <c r="B558" s="3"/>
      <c r="C558" s="6"/>
      <c r="D558" s="6"/>
      <c r="E558" s="6"/>
      <c r="F558" s="6"/>
    </row>
    <row r="559">
      <c r="B559" s="3"/>
      <c r="C559" s="6"/>
      <c r="D559" s="6"/>
      <c r="E559" s="6"/>
      <c r="F559" s="6"/>
    </row>
    <row r="560">
      <c r="B560" s="3"/>
      <c r="C560" s="6"/>
      <c r="D560" s="6"/>
      <c r="E560" s="6"/>
      <c r="F560" s="6"/>
    </row>
    <row r="561">
      <c r="B561" s="3"/>
      <c r="C561" s="6"/>
      <c r="D561" s="6"/>
      <c r="E561" s="6"/>
      <c r="F561" s="6"/>
    </row>
    <row r="562">
      <c r="B562" s="3"/>
      <c r="C562" s="6"/>
      <c r="D562" s="6"/>
      <c r="E562" s="6"/>
      <c r="F562" s="6"/>
    </row>
    <row r="563">
      <c r="B563" s="3"/>
      <c r="C563" s="6"/>
      <c r="D563" s="6"/>
      <c r="E563" s="6"/>
      <c r="F563" s="6"/>
    </row>
    <row r="564">
      <c r="B564" s="3"/>
      <c r="C564" s="6"/>
      <c r="D564" s="6"/>
      <c r="E564" s="6"/>
      <c r="F564" s="6"/>
    </row>
    <row r="565">
      <c r="B565" s="3"/>
      <c r="C565" s="6"/>
      <c r="D565" s="6"/>
      <c r="E565" s="6"/>
      <c r="F565" s="6"/>
    </row>
    <row r="566">
      <c r="B566" s="3"/>
      <c r="C566" s="6"/>
      <c r="D566" s="6"/>
      <c r="E566" s="6"/>
      <c r="F566" s="6"/>
    </row>
    <row r="567">
      <c r="B567" s="3"/>
      <c r="C567" s="6"/>
      <c r="D567" s="6"/>
      <c r="E567" s="6"/>
      <c r="F567" s="6"/>
    </row>
    <row r="568">
      <c r="B568" s="3"/>
      <c r="C568" s="6"/>
      <c r="D568" s="6"/>
      <c r="E568" s="6"/>
      <c r="F568" s="6"/>
    </row>
    <row r="569">
      <c r="B569" s="3"/>
      <c r="C569" s="6"/>
      <c r="D569" s="6"/>
      <c r="E569" s="6"/>
      <c r="F569" s="6"/>
    </row>
    <row r="570">
      <c r="B570" s="3"/>
      <c r="C570" s="6"/>
      <c r="D570" s="6"/>
      <c r="E570" s="6"/>
      <c r="F570" s="6"/>
    </row>
    <row r="571">
      <c r="B571" s="3"/>
      <c r="C571" s="6"/>
      <c r="D571" s="6"/>
      <c r="E571" s="6"/>
      <c r="F571" s="6"/>
    </row>
    <row r="572">
      <c r="B572" s="3"/>
      <c r="C572" s="6"/>
      <c r="D572" s="6"/>
      <c r="E572" s="6"/>
      <c r="F572" s="6"/>
    </row>
    <row r="573">
      <c r="B573" s="3"/>
      <c r="C573" s="6"/>
      <c r="D573" s="6"/>
      <c r="E573" s="6"/>
      <c r="F573" s="6"/>
    </row>
    <row r="574">
      <c r="B574" s="3"/>
      <c r="C574" s="6"/>
      <c r="D574" s="6"/>
      <c r="E574" s="6"/>
      <c r="F574" s="6"/>
    </row>
    <row r="575">
      <c r="B575" s="3"/>
      <c r="C575" s="6"/>
      <c r="D575" s="6"/>
      <c r="E575" s="6"/>
      <c r="F575" s="6"/>
    </row>
    <row r="576">
      <c r="B576" s="3"/>
      <c r="C576" s="6"/>
      <c r="D576" s="6"/>
      <c r="E576" s="6"/>
      <c r="F576" s="6"/>
    </row>
    <row r="577">
      <c r="B577" s="3"/>
      <c r="C577" s="6"/>
      <c r="D577" s="6"/>
      <c r="E577" s="6"/>
      <c r="F577" s="6"/>
    </row>
    <row r="578">
      <c r="B578" s="3"/>
      <c r="C578" s="6"/>
      <c r="D578" s="6"/>
      <c r="E578" s="6"/>
      <c r="F578" s="6"/>
    </row>
    <row r="579">
      <c r="B579" s="3"/>
      <c r="C579" s="6"/>
      <c r="D579" s="6"/>
      <c r="E579" s="6"/>
      <c r="F579" s="6"/>
    </row>
    <row r="580">
      <c r="B580" s="3"/>
      <c r="C580" s="6"/>
      <c r="D580" s="6"/>
      <c r="E580" s="6"/>
      <c r="F580" s="6"/>
    </row>
    <row r="581">
      <c r="B581" s="3"/>
      <c r="C581" s="6"/>
      <c r="D581" s="6"/>
      <c r="E581" s="6"/>
      <c r="F581" s="6"/>
    </row>
    <row r="582">
      <c r="B582" s="3"/>
      <c r="C582" s="6"/>
      <c r="D582" s="6"/>
      <c r="E582" s="6"/>
      <c r="F582" s="6"/>
    </row>
    <row r="583">
      <c r="B583" s="3"/>
      <c r="C583" s="6"/>
      <c r="D583" s="6"/>
      <c r="E583" s="6"/>
      <c r="F583" s="6"/>
    </row>
    <row r="584">
      <c r="B584" s="3"/>
      <c r="C584" s="6"/>
      <c r="D584" s="6"/>
      <c r="E584" s="6"/>
      <c r="F584" s="6"/>
    </row>
    <row r="585">
      <c r="B585" s="3"/>
      <c r="C585" s="6"/>
      <c r="D585" s="6"/>
      <c r="E585" s="6"/>
      <c r="F585" s="6"/>
    </row>
    <row r="586">
      <c r="B586" s="3"/>
      <c r="C586" s="6"/>
      <c r="D586" s="6"/>
      <c r="E586" s="6"/>
      <c r="F586" s="6"/>
    </row>
    <row r="587">
      <c r="B587" s="3"/>
      <c r="C587" s="6"/>
      <c r="D587" s="6"/>
      <c r="E587" s="6"/>
      <c r="F587" s="6"/>
    </row>
    <row r="588">
      <c r="B588" s="3"/>
      <c r="C588" s="6"/>
      <c r="D588" s="6"/>
      <c r="E588" s="6"/>
      <c r="F588" s="6"/>
    </row>
    <row r="589">
      <c r="B589" s="3"/>
      <c r="C589" s="6"/>
      <c r="D589" s="6"/>
      <c r="E589" s="6"/>
      <c r="F589" s="6"/>
    </row>
    <row r="590">
      <c r="B590" s="3"/>
      <c r="C590" s="6"/>
      <c r="D590" s="6"/>
      <c r="E590" s="6"/>
      <c r="F590" s="6"/>
    </row>
    <row r="591">
      <c r="B591" s="3"/>
      <c r="C591" s="6"/>
      <c r="D591" s="6"/>
      <c r="E591" s="6"/>
      <c r="F591" s="6"/>
    </row>
    <row r="592">
      <c r="B592" s="3"/>
      <c r="C592" s="6"/>
      <c r="D592" s="6"/>
      <c r="E592" s="6"/>
      <c r="F592" s="6"/>
    </row>
    <row r="593">
      <c r="B593" s="3"/>
      <c r="C593" s="6"/>
      <c r="D593" s="6"/>
      <c r="E593" s="6"/>
      <c r="F593" s="6"/>
    </row>
    <row r="594">
      <c r="B594" s="3"/>
      <c r="C594" s="6"/>
      <c r="D594" s="6"/>
      <c r="E594" s="6"/>
      <c r="F594" s="6"/>
    </row>
    <row r="595">
      <c r="B595" s="3"/>
      <c r="C595" s="6"/>
      <c r="D595" s="6"/>
      <c r="E595" s="6"/>
      <c r="F595" s="6"/>
    </row>
    <row r="596">
      <c r="B596" s="3"/>
      <c r="C596" s="6"/>
      <c r="D596" s="6"/>
      <c r="E596" s="6"/>
      <c r="F596" s="6"/>
    </row>
    <row r="597">
      <c r="B597" s="3"/>
      <c r="C597" s="6"/>
      <c r="D597" s="6"/>
      <c r="E597" s="6"/>
      <c r="F597" s="6"/>
    </row>
    <row r="598">
      <c r="B598" s="3"/>
      <c r="C598" s="6"/>
      <c r="D598" s="6"/>
      <c r="E598" s="6"/>
      <c r="F598" s="6"/>
    </row>
    <row r="599">
      <c r="B599" s="3"/>
      <c r="C599" s="6"/>
      <c r="D599" s="6"/>
      <c r="E599" s="6"/>
      <c r="F599" s="6"/>
    </row>
    <row r="600">
      <c r="B600" s="3"/>
      <c r="C600" s="6"/>
      <c r="D600" s="6"/>
      <c r="E600" s="6"/>
      <c r="F600" s="6"/>
    </row>
    <row r="601">
      <c r="B601" s="3"/>
      <c r="C601" s="6"/>
      <c r="D601" s="6"/>
      <c r="E601" s="6"/>
      <c r="F601" s="6"/>
    </row>
    <row r="602">
      <c r="B602" s="3"/>
      <c r="C602" s="6"/>
      <c r="D602" s="6"/>
      <c r="E602" s="6"/>
      <c r="F602" s="6"/>
    </row>
    <row r="603">
      <c r="B603" s="3"/>
      <c r="C603" s="6"/>
      <c r="D603" s="6"/>
      <c r="E603" s="6"/>
      <c r="F603" s="6"/>
    </row>
    <row r="604">
      <c r="B604" s="3"/>
      <c r="C604" s="6"/>
      <c r="D604" s="6"/>
      <c r="E604" s="6"/>
      <c r="F604" s="6"/>
    </row>
    <row r="605">
      <c r="B605" s="3"/>
      <c r="C605" s="6"/>
      <c r="D605" s="6"/>
      <c r="E605" s="6"/>
      <c r="F605" s="6"/>
    </row>
    <row r="606">
      <c r="B606" s="3"/>
      <c r="C606" s="6"/>
      <c r="D606" s="6"/>
      <c r="E606" s="6"/>
      <c r="F606" s="6"/>
    </row>
    <row r="607">
      <c r="B607" s="3"/>
      <c r="C607" s="6"/>
      <c r="D607" s="6"/>
      <c r="E607" s="6"/>
      <c r="F607" s="6"/>
    </row>
    <row r="608">
      <c r="B608" s="3"/>
      <c r="C608" s="6"/>
      <c r="D608" s="6"/>
      <c r="E608" s="6"/>
      <c r="F608" s="6"/>
    </row>
    <row r="609">
      <c r="B609" s="3"/>
      <c r="C609" s="6"/>
      <c r="D609" s="6"/>
      <c r="E609" s="6"/>
      <c r="F609" s="6"/>
    </row>
    <row r="610">
      <c r="B610" s="3"/>
      <c r="C610" s="6"/>
      <c r="D610" s="6"/>
      <c r="E610" s="6"/>
      <c r="F610" s="6"/>
    </row>
    <row r="611">
      <c r="B611" s="3"/>
      <c r="C611" s="6"/>
      <c r="D611" s="6"/>
      <c r="E611" s="6"/>
      <c r="F611" s="6"/>
    </row>
    <row r="612">
      <c r="B612" s="3"/>
      <c r="C612" s="6"/>
      <c r="D612" s="6"/>
      <c r="E612" s="6"/>
      <c r="F612" s="6"/>
    </row>
    <row r="613">
      <c r="B613" s="3"/>
      <c r="C613" s="6"/>
      <c r="D613" s="6"/>
      <c r="E613" s="6"/>
      <c r="F613" s="6"/>
    </row>
    <row r="614">
      <c r="B614" s="3"/>
      <c r="C614" s="6"/>
      <c r="D614" s="6"/>
      <c r="E614" s="6"/>
      <c r="F614" s="6"/>
    </row>
    <row r="615">
      <c r="B615" s="3"/>
      <c r="C615" s="6"/>
      <c r="D615" s="6"/>
      <c r="E615" s="6"/>
      <c r="F615" s="6"/>
    </row>
    <row r="616">
      <c r="B616" s="3"/>
      <c r="C616" s="6"/>
      <c r="D616" s="6"/>
      <c r="E616" s="6"/>
      <c r="F616" s="6"/>
    </row>
    <row r="617">
      <c r="B617" s="3"/>
      <c r="C617" s="6"/>
      <c r="D617" s="6"/>
      <c r="E617" s="6"/>
      <c r="F617" s="6"/>
    </row>
    <row r="618">
      <c r="B618" s="3"/>
      <c r="C618" s="6"/>
      <c r="D618" s="6"/>
      <c r="E618" s="6"/>
      <c r="F618" s="6"/>
    </row>
    <row r="619">
      <c r="B619" s="3"/>
      <c r="C619" s="6"/>
      <c r="D619" s="6"/>
      <c r="E619" s="6"/>
      <c r="F619" s="6"/>
    </row>
    <row r="620">
      <c r="B620" s="3"/>
      <c r="C620" s="6"/>
      <c r="D620" s="6"/>
      <c r="E620" s="6"/>
      <c r="F620" s="6"/>
    </row>
    <row r="621">
      <c r="B621" s="3"/>
      <c r="C621" s="6"/>
      <c r="D621" s="6"/>
      <c r="E621" s="6"/>
      <c r="F621" s="6"/>
    </row>
    <row r="622">
      <c r="B622" s="3"/>
      <c r="C622" s="6"/>
      <c r="D622" s="6"/>
      <c r="E622" s="6"/>
      <c r="F622" s="6"/>
    </row>
    <row r="623">
      <c r="B623" s="3"/>
      <c r="C623" s="6"/>
      <c r="D623" s="6"/>
      <c r="E623" s="6"/>
      <c r="F623" s="6"/>
    </row>
    <row r="624">
      <c r="B624" s="3"/>
      <c r="C624" s="6"/>
      <c r="D624" s="6"/>
      <c r="E624" s="6"/>
      <c r="F624" s="6"/>
    </row>
    <row r="625">
      <c r="B625" s="3"/>
      <c r="C625" s="6"/>
      <c r="D625" s="6"/>
      <c r="E625" s="6"/>
      <c r="F625" s="6"/>
    </row>
    <row r="626">
      <c r="B626" s="3"/>
      <c r="C626" s="6"/>
      <c r="D626" s="6"/>
      <c r="E626" s="6"/>
      <c r="F626" s="6"/>
    </row>
    <row r="627">
      <c r="B627" s="3"/>
      <c r="C627" s="6"/>
      <c r="D627" s="6"/>
      <c r="E627" s="6"/>
      <c r="F627" s="6"/>
    </row>
    <row r="628">
      <c r="B628" s="3"/>
      <c r="C628" s="6"/>
      <c r="D628" s="6"/>
      <c r="E628" s="6"/>
      <c r="F628" s="6"/>
    </row>
    <row r="629">
      <c r="B629" s="3"/>
      <c r="C629" s="6"/>
      <c r="D629" s="6"/>
      <c r="E629" s="6"/>
      <c r="F629" s="6"/>
    </row>
    <row r="630">
      <c r="B630" s="3"/>
      <c r="C630" s="6"/>
      <c r="D630" s="6"/>
      <c r="E630" s="6"/>
      <c r="F630" s="6"/>
    </row>
    <row r="631">
      <c r="B631" s="3"/>
      <c r="C631" s="6"/>
      <c r="D631" s="6"/>
      <c r="E631" s="6"/>
      <c r="F631" s="6"/>
    </row>
    <row r="632">
      <c r="B632" s="3"/>
      <c r="C632" s="6"/>
      <c r="D632" s="6"/>
      <c r="E632" s="6"/>
      <c r="F632" s="6"/>
    </row>
    <row r="633">
      <c r="B633" s="3"/>
      <c r="C633" s="6"/>
      <c r="D633" s="6"/>
      <c r="E633" s="6"/>
      <c r="F633" s="6"/>
    </row>
    <row r="634">
      <c r="B634" s="3"/>
      <c r="C634" s="6"/>
      <c r="D634" s="6"/>
      <c r="E634" s="6"/>
      <c r="F634" s="6"/>
    </row>
    <row r="635">
      <c r="B635" s="3"/>
      <c r="C635" s="6"/>
      <c r="D635" s="6"/>
      <c r="E635" s="6"/>
      <c r="F635" s="6"/>
    </row>
    <row r="636">
      <c r="B636" s="3"/>
      <c r="C636" s="6"/>
      <c r="D636" s="6"/>
      <c r="E636" s="6"/>
      <c r="F636" s="6"/>
    </row>
    <row r="637">
      <c r="B637" s="3"/>
      <c r="C637" s="6"/>
      <c r="D637" s="6"/>
      <c r="E637" s="6"/>
      <c r="F637" s="6"/>
    </row>
    <row r="638">
      <c r="B638" s="3"/>
      <c r="C638" s="6"/>
      <c r="D638" s="6"/>
      <c r="E638" s="6"/>
      <c r="F638" s="6"/>
    </row>
    <row r="639">
      <c r="B639" s="3"/>
      <c r="C639" s="6"/>
      <c r="D639" s="6"/>
      <c r="E639" s="6"/>
      <c r="F639" s="6"/>
    </row>
    <row r="640">
      <c r="B640" s="3"/>
      <c r="C640" s="6"/>
      <c r="D640" s="6"/>
      <c r="E640" s="6"/>
      <c r="F640" s="6"/>
    </row>
    <row r="641">
      <c r="B641" s="3"/>
      <c r="C641" s="6"/>
      <c r="D641" s="6"/>
      <c r="E641" s="6"/>
      <c r="F641" s="6"/>
    </row>
    <row r="642">
      <c r="B642" s="3"/>
      <c r="C642" s="6"/>
      <c r="D642" s="6"/>
      <c r="E642" s="6"/>
      <c r="F642" s="6"/>
    </row>
    <row r="643">
      <c r="B643" s="3"/>
      <c r="C643" s="6"/>
      <c r="D643" s="6"/>
      <c r="E643" s="6"/>
      <c r="F643" s="6"/>
    </row>
    <row r="644">
      <c r="B644" s="3"/>
      <c r="C644" s="6"/>
      <c r="D644" s="6"/>
      <c r="E644" s="6"/>
      <c r="F644" s="6"/>
    </row>
    <row r="645">
      <c r="B645" s="3"/>
      <c r="C645" s="6"/>
      <c r="D645" s="6"/>
      <c r="E645" s="6"/>
      <c r="F645" s="6"/>
    </row>
    <row r="646">
      <c r="B646" s="3"/>
      <c r="C646" s="6"/>
      <c r="D646" s="6"/>
      <c r="E646" s="6"/>
      <c r="F646" s="6"/>
    </row>
    <row r="647">
      <c r="B647" s="3"/>
      <c r="C647" s="6"/>
      <c r="D647" s="6"/>
      <c r="E647" s="6"/>
      <c r="F647" s="6"/>
    </row>
    <row r="648">
      <c r="B648" s="3"/>
      <c r="C648" s="6"/>
      <c r="D648" s="6"/>
      <c r="E648" s="6"/>
      <c r="F648" s="6"/>
    </row>
    <row r="649">
      <c r="B649" s="3"/>
      <c r="C649" s="6"/>
      <c r="D649" s="6"/>
      <c r="E649" s="6"/>
      <c r="F649" s="6"/>
    </row>
    <row r="650">
      <c r="B650" s="3"/>
      <c r="C650" s="6"/>
      <c r="D650" s="6"/>
      <c r="E650" s="6"/>
      <c r="F650" s="6"/>
    </row>
    <row r="651">
      <c r="B651" s="3"/>
      <c r="C651" s="6"/>
      <c r="D651" s="6"/>
      <c r="E651" s="6"/>
      <c r="F651" s="6"/>
    </row>
    <row r="652">
      <c r="B652" s="3"/>
      <c r="C652" s="6"/>
      <c r="D652" s="6"/>
      <c r="E652" s="6"/>
      <c r="F652" s="6"/>
    </row>
    <row r="653">
      <c r="B653" s="3"/>
      <c r="C653" s="6"/>
      <c r="D653" s="6"/>
      <c r="E653" s="6"/>
      <c r="F653" s="6"/>
    </row>
    <row r="654">
      <c r="B654" s="3"/>
      <c r="C654" s="6"/>
      <c r="D654" s="6"/>
      <c r="E654" s="6"/>
      <c r="F654" s="6"/>
    </row>
    <row r="655">
      <c r="B655" s="3"/>
      <c r="C655" s="6"/>
      <c r="D655" s="6"/>
      <c r="E655" s="6"/>
      <c r="F655" s="6"/>
    </row>
    <row r="656">
      <c r="B656" s="3"/>
      <c r="C656" s="6"/>
      <c r="D656" s="6"/>
      <c r="E656" s="6"/>
      <c r="F656" s="6"/>
    </row>
    <row r="657">
      <c r="B657" s="3"/>
      <c r="C657" s="6"/>
      <c r="D657" s="6"/>
      <c r="E657" s="6"/>
      <c r="F657" s="6"/>
    </row>
    <row r="658">
      <c r="B658" s="3"/>
      <c r="C658" s="6"/>
      <c r="D658" s="6"/>
      <c r="E658" s="6"/>
      <c r="F658" s="6"/>
    </row>
    <row r="659">
      <c r="B659" s="3"/>
      <c r="C659" s="6"/>
      <c r="D659" s="6"/>
      <c r="E659" s="6"/>
      <c r="F659" s="6"/>
    </row>
    <row r="660">
      <c r="B660" s="3"/>
      <c r="C660" s="6"/>
      <c r="D660" s="6"/>
      <c r="E660" s="6"/>
      <c r="F660" s="6"/>
    </row>
    <row r="661">
      <c r="B661" s="3"/>
      <c r="C661" s="6"/>
      <c r="D661" s="6"/>
      <c r="E661" s="6"/>
      <c r="F661" s="6"/>
    </row>
    <row r="662">
      <c r="B662" s="3"/>
      <c r="C662" s="6"/>
      <c r="D662" s="6"/>
      <c r="E662" s="6"/>
      <c r="F662" s="6"/>
    </row>
    <row r="663">
      <c r="B663" s="3"/>
      <c r="C663" s="6"/>
      <c r="D663" s="6"/>
      <c r="E663" s="6"/>
      <c r="F663" s="6"/>
    </row>
    <row r="664">
      <c r="B664" s="3"/>
      <c r="C664" s="6"/>
      <c r="D664" s="6"/>
      <c r="E664" s="6"/>
      <c r="F664" s="6"/>
    </row>
    <row r="665">
      <c r="B665" s="3"/>
      <c r="C665" s="6"/>
      <c r="D665" s="6"/>
      <c r="E665" s="6"/>
      <c r="F665" s="6"/>
    </row>
    <row r="666">
      <c r="B666" s="3"/>
      <c r="C666" s="6"/>
      <c r="D666" s="6"/>
      <c r="E666" s="6"/>
      <c r="F666" s="6"/>
    </row>
    <row r="667">
      <c r="B667" s="3"/>
      <c r="C667" s="6"/>
      <c r="D667" s="6"/>
      <c r="E667" s="6"/>
      <c r="F667" s="6"/>
    </row>
    <row r="668">
      <c r="B668" s="3"/>
      <c r="C668" s="6"/>
      <c r="D668" s="6"/>
      <c r="E668" s="6"/>
      <c r="F668" s="6"/>
    </row>
    <row r="669">
      <c r="B669" s="3"/>
      <c r="C669" s="6"/>
      <c r="D669" s="6"/>
      <c r="E669" s="6"/>
      <c r="F669" s="6"/>
    </row>
    <row r="670">
      <c r="B670" s="3"/>
      <c r="C670" s="6"/>
      <c r="D670" s="6"/>
      <c r="E670" s="6"/>
      <c r="F670" s="6"/>
    </row>
    <row r="671">
      <c r="B671" s="3"/>
      <c r="C671" s="6"/>
      <c r="D671" s="6"/>
      <c r="E671" s="6"/>
      <c r="F671" s="6"/>
    </row>
    <row r="672">
      <c r="B672" s="3"/>
      <c r="C672" s="6"/>
      <c r="D672" s="6"/>
      <c r="E672" s="6"/>
      <c r="F672" s="6"/>
    </row>
    <row r="673">
      <c r="B673" s="3"/>
      <c r="C673" s="6"/>
      <c r="D673" s="6"/>
      <c r="E673" s="6"/>
      <c r="F673" s="6"/>
    </row>
    <row r="674">
      <c r="B674" s="3"/>
      <c r="C674" s="6"/>
      <c r="D674" s="6"/>
      <c r="E674" s="6"/>
      <c r="F674" s="6"/>
    </row>
    <row r="675">
      <c r="B675" s="3"/>
      <c r="C675" s="6"/>
      <c r="D675" s="6"/>
      <c r="E675" s="6"/>
      <c r="F675" s="6"/>
    </row>
    <row r="676">
      <c r="B676" s="3"/>
      <c r="C676" s="6"/>
      <c r="D676" s="6"/>
      <c r="E676" s="6"/>
      <c r="F676" s="6"/>
    </row>
    <row r="677">
      <c r="B677" s="3"/>
      <c r="C677" s="6"/>
      <c r="D677" s="6"/>
      <c r="E677" s="6"/>
      <c r="F677" s="6"/>
    </row>
    <row r="678">
      <c r="B678" s="3"/>
      <c r="C678" s="6"/>
      <c r="D678" s="6"/>
      <c r="E678" s="6"/>
      <c r="F678" s="6"/>
    </row>
    <row r="679">
      <c r="B679" s="3"/>
      <c r="C679" s="6"/>
      <c r="D679" s="6"/>
      <c r="E679" s="6"/>
      <c r="F679" s="6"/>
    </row>
    <row r="680">
      <c r="B680" s="3"/>
      <c r="C680" s="6"/>
      <c r="D680" s="6"/>
      <c r="E680" s="6"/>
      <c r="F680" s="6"/>
    </row>
    <row r="681">
      <c r="B681" s="3"/>
      <c r="C681" s="6"/>
      <c r="D681" s="6"/>
      <c r="E681" s="6"/>
      <c r="F681" s="6"/>
    </row>
    <row r="682">
      <c r="B682" s="3"/>
      <c r="C682" s="6"/>
      <c r="D682" s="6"/>
      <c r="E682" s="6"/>
      <c r="F682" s="6"/>
    </row>
    <row r="683">
      <c r="B683" s="3"/>
      <c r="C683" s="6"/>
      <c r="D683" s="6"/>
      <c r="E683" s="6"/>
      <c r="F683" s="6"/>
    </row>
    <row r="684">
      <c r="B684" s="3"/>
      <c r="C684" s="6"/>
      <c r="D684" s="6"/>
      <c r="E684" s="6"/>
      <c r="F684" s="6"/>
    </row>
    <row r="685">
      <c r="B685" s="3"/>
      <c r="C685" s="6"/>
      <c r="D685" s="6"/>
      <c r="E685" s="6"/>
      <c r="F685" s="6"/>
    </row>
    <row r="686">
      <c r="B686" s="3"/>
      <c r="C686" s="6"/>
      <c r="D686" s="6"/>
      <c r="E686" s="6"/>
      <c r="F686" s="6"/>
    </row>
    <row r="687">
      <c r="B687" s="3"/>
      <c r="C687" s="6"/>
      <c r="D687" s="6"/>
      <c r="E687" s="6"/>
      <c r="F687" s="6"/>
    </row>
    <row r="688">
      <c r="B688" s="3"/>
      <c r="C688" s="6"/>
      <c r="D688" s="6"/>
      <c r="E688" s="6"/>
      <c r="F688" s="6"/>
    </row>
    <row r="689">
      <c r="B689" s="3"/>
      <c r="C689" s="6"/>
      <c r="D689" s="6"/>
      <c r="E689" s="6"/>
      <c r="F689" s="6"/>
    </row>
    <row r="690">
      <c r="B690" s="3"/>
      <c r="C690" s="6"/>
      <c r="D690" s="6"/>
      <c r="E690" s="6"/>
      <c r="F690" s="6"/>
    </row>
    <row r="691">
      <c r="B691" s="3"/>
      <c r="C691" s="6"/>
      <c r="D691" s="6"/>
      <c r="E691" s="6"/>
      <c r="F691" s="6"/>
    </row>
    <row r="692">
      <c r="B692" s="3"/>
      <c r="C692" s="6"/>
      <c r="D692" s="6"/>
      <c r="E692" s="6"/>
      <c r="F692" s="6"/>
    </row>
    <row r="693">
      <c r="B693" s="3"/>
      <c r="C693" s="6"/>
      <c r="D693" s="6"/>
      <c r="E693" s="6"/>
      <c r="F693" s="6"/>
    </row>
    <row r="694">
      <c r="B694" s="3"/>
      <c r="C694" s="6"/>
      <c r="D694" s="6"/>
      <c r="E694" s="6"/>
      <c r="F694" s="6"/>
    </row>
    <row r="695">
      <c r="B695" s="3"/>
      <c r="C695" s="6"/>
      <c r="D695" s="6"/>
      <c r="E695" s="6"/>
      <c r="F695" s="6"/>
    </row>
    <row r="696">
      <c r="B696" s="3"/>
      <c r="C696" s="6"/>
      <c r="D696" s="6"/>
      <c r="E696" s="6"/>
      <c r="F696" s="6"/>
    </row>
    <row r="697">
      <c r="B697" s="3"/>
      <c r="C697" s="6"/>
      <c r="D697" s="6"/>
      <c r="E697" s="6"/>
      <c r="F697" s="6"/>
    </row>
    <row r="698">
      <c r="B698" s="3"/>
      <c r="C698" s="6"/>
      <c r="D698" s="6"/>
      <c r="E698" s="6"/>
      <c r="F698" s="6"/>
    </row>
    <row r="699">
      <c r="B699" s="3"/>
      <c r="C699" s="6"/>
      <c r="D699" s="6"/>
      <c r="E699" s="6"/>
      <c r="F699" s="6"/>
    </row>
    <row r="700">
      <c r="B700" s="3"/>
      <c r="C700" s="6"/>
      <c r="D700" s="6"/>
      <c r="E700" s="6"/>
      <c r="F700" s="6"/>
    </row>
    <row r="701">
      <c r="B701" s="3"/>
      <c r="C701" s="6"/>
      <c r="D701" s="6"/>
      <c r="E701" s="6"/>
      <c r="F701" s="6"/>
    </row>
    <row r="702">
      <c r="B702" s="3"/>
      <c r="C702" s="6"/>
      <c r="D702" s="6"/>
      <c r="E702" s="6"/>
      <c r="F702" s="6"/>
    </row>
    <row r="703">
      <c r="B703" s="3"/>
      <c r="C703" s="6"/>
      <c r="D703" s="6"/>
      <c r="E703" s="6"/>
      <c r="F703" s="6"/>
    </row>
    <row r="704">
      <c r="B704" s="3"/>
      <c r="C704" s="6"/>
      <c r="D704" s="6"/>
      <c r="E704" s="6"/>
      <c r="F704" s="6"/>
    </row>
    <row r="705">
      <c r="B705" s="3"/>
      <c r="C705" s="6"/>
      <c r="D705" s="6"/>
      <c r="E705" s="6"/>
      <c r="F705" s="6"/>
    </row>
    <row r="706">
      <c r="B706" s="3"/>
      <c r="C706" s="6"/>
      <c r="D706" s="6"/>
      <c r="E706" s="6"/>
      <c r="F706" s="6"/>
    </row>
    <row r="707">
      <c r="B707" s="3"/>
      <c r="C707" s="6"/>
      <c r="D707" s="6"/>
      <c r="E707" s="6"/>
      <c r="F707" s="6"/>
    </row>
    <row r="708">
      <c r="B708" s="3"/>
      <c r="C708" s="6"/>
      <c r="D708" s="6"/>
      <c r="E708" s="6"/>
      <c r="F708" s="6"/>
    </row>
    <row r="709">
      <c r="B709" s="3"/>
      <c r="C709" s="6"/>
      <c r="D709" s="6"/>
      <c r="E709" s="6"/>
      <c r="F709" s="6"/>
    </row>
    <row r="710">
      <c r="B710" s="3"/>
      <c r="C710" s="6"/>
      <c r="D710" s="6"/>
      <c r="E710" s="6"/>
      <c r="F710" s="6"/>
    </row>
    <row r="711">
      <c r="B711" s="3"/>
      <c r="C711" s="6"/>
      <c r="D711" s="6"/>
      <c r="E711" s="6"/>
      <c r="F711" s="6"/>
    </row>
    <row r="712">
      <c r="B712" s="3"/>
      <c r="C712" s="6"/>
      <c r="D712" s="6"/>
      <c r="E712" s="6"/>
      <c r="F712" s="6"/>
    </row>
    <row r="713">
      <c r="B713" s="3"/>
      <c r="C713" s="6"/>
      <c r="D713" s="6"/>
      <c r="E713" s="6"/>
      <c r="F713" s="6"/>
    </row>
    <row r="714">
      <c r="B714" s="3"/>
      <c r="C714" s="6"/>
      <c r="D714" s="6"/>
      <c r="E714" s="6"/>
      <c r="F714" s="6"/>
    </row>
    <row r="715">
      <c r="B715" s="3"/>
      <c r="C715" s="6"/>
      <c r="D715" s="6"/>
      <c r="E715" s="6"/>
      <c r="F715" s="6"/>
    </row>
    <row r="716">
      <c r="B716" s="3"/>
      <c r="C716" s="6"/>
      <c r="D716" s="6"/>
      <c r="E716" s="6"/>
      <c r="F716" s="6"/>
    </row>
    <row r="717">
      <c r="B717" s="3"/>
      <c r="C717" s="6"/>
      <c r="D717" s="6"/>
      <c r="E717" s="6"/>
      <c r="F717" s="6"/>
    </row>
    <row r="718">
      <c r="B718" s="3"/>
      <c r="C718" s="6"/>
      <c r="D718" s="6"/>
      <c r="E718" s="6"/>
      <c r="F718" s="6"/>
    </row>
    <row r="719">
      <c r="B719" s="3"/>
      <c r="C719" s="6"/>
      <c r="D719" s="6"/>
      <c r="E719" s="6"/>
      <c r="F719" s="6"/>
    </row>
    <row r="720">
      <c r="B720" s="3"/>
      <c r="C720" s="6"/>
      <c r="D720" s="6"/>
      <c r="E720" s="6"/>
      <c r="F720" s="6"/>
    </row>
    <row r="721">
      <c r="B721" s="3"/>
      <c r="C721" s="6"/>
      <c r="D721" s="6"/>
      <c r="E721" s="6"/>
      <c r="F721" s="6"/>
    </row>
    <row r="722">
      <c r="B722" s="3"/>
      <c r="C722" s="6"/>
      <c r="D722" s="6"/>
      <c r="E722" s="6"/>
      <c r="F722" s="6"/>
    </row>
    <row r="723">
      <c r="B723" s="3"/>
      <c r="C723" s="6"/>
      <c r="D723" s="6"/>
      <c r="E723" s="6"/>
      <c r="F723" s="6"/>
    </row>
    <row r="724">
      <c r="B724" s="3"/>
      <c r="C724" s="6"/>
      <c r="D724" s="6"/>
      <c r="E724" s="6"/>
      <c r="F724" s="6"/>
    </row>
    <row r="725">
      <c r="B725" s="3"/>
      <c r="C725" s="6"/>
      <c r="D725" s="6"/>
      <c r="E725" s="6"/>
      <c r="F725" s="6"/>
    </row>
    <row r="726">
      <c r="B726" s="3"/>
      <c r="C726" s="6"/>
      <c r="D726" s="6"/>
      <c r="E726" s="6"/>
      <c r="F726" s="6"/>
    </row>
    <row r="727">
      <c r="B727" s="3"/>
      <c r="C727" s="6"/>
      <c r="D727" s="6"/>
      <c r="E727" s="6"/>
      <c r="F727" s="6"/>
    </row>
    <row r="728">
      <c r="B728" s="3"/>
      <c r="C728" s="6"/>
      <c r="D728" s="6"/>
      <c r="E728" s="6"/>
      <c r="F728" s="6"/>
    </row>
    <row r="729">
      <c r="B729" s="3"/>
      <c r="C729" s="6"/>
      <c r="D729" s="6"/>
      <c r="E729" s="6"/>
      <c r="F729" s="6"/>
    </row>
    <row r="730">
      <c r="B730" s="3"/>
      <c r="C730" s="6"/>
      <c r="D730" s="6"/>
      <c r="E730" s="6"/>
      <c r="F730" s="6"/>
    </row>
    <row r="731">
      <c r="B731" s="3"/>
      <c r="C731" s="6"/>
      <c r="D731" s="6"/>
      <c r="E731" s="6"/>
      <c r="F731" s="6"/>
    </row>
    <row r="732">
      <c r="B732" s="3"/>
      <c r="C732" s="6"/>
      <c r="D732" s="6"/>
      <c r="E732" s="6"/>
      <c r="F732" s="6"/>
    </row>
    <row r="733">
      <c r="B733" s="3"/>
      <c r="C733" s="6"/>
      <c r="D733" s="6"/>
      <c r="E733" s="6"/>
      <c r="F733" s="6"/>
    </row>
    <row r="734">
      <c r="B734" s="3"/>
      <c r="C734" s="6"/>
      <c r="D734" s="6"/>
      <c r="E734" s="6"/>
      <c r="F734" s="6"/>
    </row>
    <row r="735">
      <c r="B735" s="3"/>
      <c r="C735" s="6"/>
      <c r="D735" s="6"/>
      <c r="E735" s="6"/>
      <c r="F735" s="6"/>
    </row>
    <row r="736">
      <c r="B736" s="3"/>
      <c r="C736" s="6"/>
      <c r="D736" s="6"/>
      <c r="E736" s="6"/>
      <c r="F736" s="6"/>
    </row>
    <row r="737">
      <c r="B737" s="3"/>
      <c r="C737" s="6"/>
      <c r="D737" s="6"/>
      <c r="E737" s="6"/>
      <c r="F737" s="6"/>
    </row>
    <row r="738">
      <c r="B738" s="3"/>
      <c r="C738" s="6"/>
      <c r="D738" s="6"/>
      <c r="E738" s="6"/>
      <c r="F738" s="6"/>
    </row>
    <row r="739">
      <c r="B739" s="3"/>
      <c r="C739" s="6"/>
      <c r="D739" s="6"/>
      <c r="E739" s="6"/>
      <c r="F739" s="6"/>
    </row>
    <row r="740">
      <c r="B740" s="3"/>
      <c r="C740" s="6"/>
      <c r="D740" s="6"/>
      <c r="E740" s="6"/>
      <c r="F740" s="6"/>
    </row>
    <row r="741">
      <c r="B741" s="3"/>
      <c r="C741" s="6"/>
      <c r="D741" s="6"/>
      <c r="E741" s="6"/>
      <c r="F741" s="6"/>
    </row>
    <row r="742">
      <c r="B742" s="3"/>
      <c r="C742" s="6"/>
      <c r="D742" s="6"/>
      <c r="E742" s="6"/>
      <c r="F742" s="6"/>
    </row>
    <row r="743">
      <c r="B743" s="3"/>
      <c r="C743" s="6"/>
      <c r="D743" s="6"/>
      <c r="E743" s="6"/>
      <c r="F743" s="6"/>
    </row>
    <row r="744">
      <c r="B744" s="3"/>
      <c r="C744" s="6"/>
      <c r="D744" s="6"/>
      <c r="E744" s="6"/>
      <c r="F744" s="6"/>
    </row>
    <row r="745">
      <c r="B745" s="3"/>
      <c r="C745" s="6"/>
      <c r="D745" s="6"/>
      <c r="E745" s="6"/>
      <c r="F745" s="6"/>
    </row>
    <row r="746">
      <c r="B746" s="3"/>
      <c r="C746" s="6"/>
      <c r="D746" s="6"/>
      <c r="E746" s="6"/>
      <c r="F746" s="6"/>
    </row>
    <row r="747">
      <c r="B747" s="3"/>
      <c r="C747" s="6"/>
      <c r="D747" s="6"/>
      <c r="E747" s="6"/>
      <c r="F747" s="6"/>
    </row>
    <row r="748">
      <c r="B748" s="3"/>
      <c r="C748" s="6"/>
      <c r="D748" s="6"/>
      <c r="E748" s="6"/>
      <c r="F748" s="6"/>
    </row>
    <row r="749">
      <c r="B749" s="3"/>
      <c r="C749" s="6"/>
      <c r="D749" s="6"/>
      <c r="E749" s="6"/>
      <c r="F749" s="6"/>
    </row>
    <row r="750">
      <c r="B750" s="3"/>
      <c r="C750" s="6"/>
      <c r="D750" s="6"/>
      <c r="E750" s="6"/>
      <c r="F750" s="6"/>
    </row>
    <row r="751">
      <c r="B751" s="3"/>
      <c r="C751" s="6"/>
      <c r="D751" s="6"/>
      <c r="E751" s="6"/>
      <c r="F751" s="6"/>
    </row>
    <row r="752">
      <c r="B752" s="3"/>
      <c r="C752" s="6"/>
      <c r="D752" s="6"/>
      <c r="E752" s="6"/>
      <c r="F752" s="6"/>
    </row>
    <row r="753">
      <c r="B753" s="3"/>
      <c r="C753" s="6"/>
      <c r="D753" s="6"/>
      <c r="E753" s="6"/>
      <c r="F753" s="6"/>
    </row>
    <row r="754">
      <c r="B754" s="3"/>
      <c r="C754" s="6"/>
      <c r="D754" s="6"/>
      <c r="E754" s="6"/>
      <c r="F754" s="6"/>
    </row>
    <row r="755">
      <c r="B755" s="3"/>
      <c r="C755" s="6"/>
      <c r="D755" s="6"/>
      <c r="E755" s="6"/>
      <c r="F755" s="6"/>
    </row>
    <row r="756">
      <c r="B756" s="3"/>
      <c r="C756" s="6"/>
      <c r="D756" s="6"/>
      <c r="E756" s="6"/>
      <c r="F756" s="6"/>
    </row>
    <row r="757">
      <c r="B757" s="3"/>
      <c r="C757" s="6"/>
      <c r="D757" s="6"/>
      <c r="E757" s="6"/>
      <c r="F757" s="6"/>
    </row>
    <row r="758">
      <c r="B758" s="3"/>
      <c r="C758" s="6"/>
      <c r="D758" s="6"/>
      <c r="E758" s="6"/>
      <c r="F758" s="6"/>
    </row>
    <row r="759">
      <c r="B759" s="3"/>
      <c r="C759" s="6"/>
      <c r="D759" s="6"/>
      <c r="E759" s="6"/>
      <c r="F759" s="6"/>
    </row>
    <row r="760">
      <c r="B760" s="3"/>
      <c r="C760" s="6"/>
      <c r="D760" s="6"/>
      <c r="E760" s="6"/>
      <c r="F760" s="6"/>
    </row>
    <row r="761">
      <c r="B761" s="3"/>
      <c r="C761" s="6"/>
      <c r="D761" s="6"/>
      <c r="E761" s="6"/>
      <c r="F761" s="6"/>
    </row>
    <row r="762">
      <c r="B762" s="3"/>
      <c r="C762" s="6"/>
      <c r="D762" s="6"/>
      <c r="E762" s="6"/>
      <c r="F762" s="6"/>
    </row>
    <row r="763">
      <c r="B763" s="3"/>
      <c r="C763" s="6"/>
      <c r="D763" s="6"/>
      <c r="E763" s="6"/>
      <c r="F763" s="6"/>
    </row>
    <row r="764">
      <c r="B764" s="3"/>
      <c r="C764" s="6"/>
      <c r="D764" s="6"/>
      <c r="E764" s="6"/>
      <c r="F764" s="6"/>
    </row>
    <row r="765">
      <c r="B765" s="3"/>
      <c r="C765" s="6"/>
      <c r="D765" s="6"/>
      <c r="E765" s="6"/>
      <c r="F765" s="6"/>
    </row>
    <row r="766">
      <c r="B766" s="3"/>
      <c r="C766" s="6"/>
      <c r="D766" s="6"/>
      <c r="E766" s="6"/>
      <c r="F766" s="6"/>
    </row>
    <row r="767">
      <c r="B767" s="3"/>
      <c r="C767" s="6"/>
      <c r="D767" s="6"/>
      <c r="E767" s="6"/>
      <c r="F767" s="6"/>
    </row>
    <row r="768">
      <c r="B768" s="3"/>
      <c r="C768" s="6"/>
      <c r="D768" s="6"/>
      <c r="E768" s="6"/>
      <c r="F768" s="6"/>
    </row>
    <row r="769">
      <c r="B769" s="3"/>
      <c r="C769" s="6"/>
      <c r="D769" s="6"/>
      <c r="E769" s="6"/>
      <c r="F769" s="6"/>
    </row>
    <row r="770">
      <c r="B770" s="3"/>
      <c r="C770" s="6"/>
      <c r="D770" s="6"/>
      <c r="E770" s="6"/>
      <c r="F770" s="6"/>
    </row>
    <row r="771">
      <c r="B771" s="3"/>
      <c r="C771" s="6"/>
      <c r="D771" s="6"/>
      <c r="E771" s="6"/>
      <c r="F771" s="6"/>
    </row>
    <row r="772">
      <c r="B772" s="3"/>
      <c r="C772" s="6"/>
      <c r="D772" s="6"/>
      <c r="E772" s="6"/>
      <c r="F772" s="6"/>
    </row>
    <row r="773">
      <c r="B773" s="3"/>
      <c r="C773" s="6"/>
      <c r="D773" s="6"/>
      <c r="E773" s="6"/>
      <c r="F773" s="6"/>
    </row>
    <row r="774">
      <c r="B774" s="3"/>
      <c r="C774" s="6"/>
      <c r="D774" s="6"/>
      <c r="E774" s="6"/>
      <c r="F774" s="6"/>
    </row>
    <row r="775">
      <c r="B775" s="3"/>
      <c r="C775" s="6"/>
      <c r="D775" s="6"/>
      <c r="E775" s="6"/>
      <c r="F775" s="6"/>
    </row>
    <row r="776">
      <c r="B776" s="3"/>
      <c r="C776" s="6"/>
      <c r="D776" s="6"/>
      <c r="E776" s="6"/>
      <c r="F776" s="6"/>
    </row>
    <row r="777">
      <c r="B777" s="3"/>
      <c r="C777" s="6"/>
      <c r="D777" s="6"/>
      <c r="E777" s="6"/>
      <c r="F777" s="6"/>
    </row>
    <row r="778">
      <c r="B778" s="3"/>
      <c r="C778" s="6"/>
      <c r="D778" s="6"/>
      <c r="E778" s="6"/>
      <c r="F778" s="6"/>
    </row>
    <row r="779">
      <c r="B779" s="3"/>
      <c r="C779" s="6"/>
      <c r="D779" s="6"/>
      <c r="E779" s="6"/>
      <c r="F779" s="6"/>
    </row>
    <row r="780">
      <c r="B780" s="3"/>
      <c r="C780" s="6"/>
      <c r="D780" s="6"/>
      <c r="E780" s="6"/>
      <c r="F780" s="6"/>
    </row>
    <row r="781">
      <c r="B781" s="3"/>
      <c r="C781" s="6"/>
      <c r="D781" s="6"/>
      <c r="E781" s="6"/>
      <c r="F781" s="6"/>
    </row>
    <row r="782">
      <c r="B782" s="3"/>
      <c r="C782" s="6"/>
      <c r="D782" s="6"/>
      <c r="E782" s="6"/>
      <c r="F782" s="6"/>
    </row>
    <row r="783">
      <c r="B783" s="3"/>
      <c r="C783" s="6"/>
      <c r="D783" s="6"/>
      <c r="E783" s="6"/>
      <c r="F783" s="6"/>
    </row>
    <row r="784">
      <c r="B784" s="3"/>
      <c r="C784" s="6"/>
      <c r="D784" s="6"/>
      <c r="E784" s="6"/>
      <c r="F784" s="6"/>
    </row>
    <row r="785">
      <c r="B785" s="3"/>
      <c r="C785" s="6"/>
      <c r="D785" s="6"/>
      <c r="E785" s="6"/>
      <c r="F785" s="6"/>
    </row>
    <row r="786">
      <c r="B786" s="3"/>
      <c r="C786" s="6"/>
      <c r="D786" s="6"/>
      <c r="E786" s="6"/>
      <c r="F786" s="6"/>
    </row>
    <row r="787">
      <c r="B787" s="3"/>
      <c r="C787" s="6"/>
      <c r="D787" s="6"/>
      <c r="E787" s="6"/>
      <c r="F787" s="6"/>
    </row>
    <row r="788">
      <c r="B788" s="3"/>
      <c r="C788" s="6"/>
      <c r="D788" s="6"/>
      <c r="E788" s="6"/>
      <c r="F788" s="6"/>
    </row>
    <row r="789">
      <c r="B789" s="3"/>
      <c r="C789" s="6"/>
      <c r="D789" s="6"/>
      <c r="E789" s="6"/>
      <c r="F789" s="6"/>
    </row>
    <row r="790">
      <c r="B790" s="3"/>
      <c r="C790" s="6"/>
      <c r="D790" s="6"/>
      <c r="E790" s="6"/>
      <c r="F790" s="6"/>
    </row>
    <row r="791">
      <c r="B791" s="3"/>
      <c r="C791" s="6"/>
      <c r="D791" s="6"/>
      <c r="E791" s="6"/>
      <c r="F791" s="6"/>
    </row>
    <row r="792">
      <c r="B792" s="3"/>
      <c r="C792" s="6"/>
      <c r="D792" s="6"/>
      <c r="E792" s="6"/>
      <c r="F792" s="6"/>
    </row>
    <row r="793">
      <c r="B793" s="3"/>
      <c r="C793" s="6"/>
      <c r="D793" s="6"/>
      <c r="E793" s="6"/>
      <c r="F793" s="6"/>
    </row>
    <row r="794">
      <c r="B794" s="3"/>
      <c r="C794" s="6"/>
      <c r="D794" s="6"/>
      <c r="E794" s="6"/>
      <c r="F794" s="6"/>
    </row>
    <row r="795">
      <c r="B795" s="3"/>
      <c r="C795" s="6"/>
      <c r="D795" s="6"/>
      <c r="E795" s="6"/>
      <c r="F795" s="6"/>
    </row>
    <row r="796">
      <c r="B796" s="3"/>
      <c r="C796" s="6"/>
      <c r="D796" s="6"/>
      <c r="E796" s="6"/>
      <c r="F796" s="6"/>
    </row>
    <row r="797">
      <c r="B797" s="3"/>
      <c r="C797" s="6"/>
      <c r="D797" s="6"/>
      <c r="E797" s="6"/>
      <c r="F797" s="6"/>
    </row>
    <row r="798">
      <c r="B798" s="3"/>
      <c r="C798" s="6"/>
      <c r="D798" s="6"/>
      <c r="E798" s="6"/>
      <c r="F798" s="6"/>
    </row>
    <row r="799">
      <c r="B799" s="3"/>
      <c r="C799" s="6"/>
      <c r="D799" s="6"/>
      <c r="E799" s="6"/>
      <c r="F799" s="6"/>
    </row>
    <row r="800">
      <c r="B800" s="3"/>
      <c r="C800" s="6"/>
      <c r="D800" s="6"/>
      <c r="E800" s="6"/>
      <c r="F800" s="6"/>
    </row>
    <row r="801">
      <c r="B801" s="3"/>
      <c r="C801" s="6"/>
      <c r="D801" s="6"/>
      <c r="E801" s="6"/>
      <c r="F801" s="6"/>
    </row>
    <row r="802">
      <c r="B802" s="3"/>
      <c r="C802" s="6"/>
      <c r="D802" s="6"/>
      <c r="E802" s="6"/>
      <c r="F802" s="6"/>
    </row>
    <row r="803">
      <c r="B803" s="3"/>
      <c r="C803" s="6"/>
      <c r="D803" s="6"/>
      <c r="E803" s="6"/>
      <c r="F803" s="6"/>
    </row>
    <row r="804">
      <c r="B804" s="3"/>
      <c r="C804" s="6"/>
      <c r="D804" s="6"/>
      <c r="E804" s="6"/>
      <c r="F804" s="6"/>
    </row>
    <row r="805">
      <c r="B805" s="3"/>
      <c r="C805" s="6"/>
      <c r="D805" s="6"/>
      <c r="E805" s="6"/>
      <c r="F805" s="6"/>
    </row>
    <row r="806">
      <c r="B806" s="3"/>
      <c r="C806" s="6"/>
      <c r="D806" s="6"/>
      <c r="E806" s="6"/>
      <c r="F806" s="6"/>
    </row>
    <row r="807">
      <c r="B807" s="3"/>
      <c r="C807" s="6"/>
      <c r="D807" s="6"/>
      <c r="E807" s="6"/>
      <c r="F807" s="6"/>
    </row>
    <row r="808">
      <c r="B808" s="3"/>
      <c r="C808" s="6"/>
      <c r="D808" s="6"/>
      <c r="E808" s="6"/>
      <c r="F808" s="6"/>
    </row>
    <row r="809">
      <c r="B809" s="3"/>
      <c r="C809" s="6"/>
      <c r="D809" s="6"/>
      <c r="E809" s="6"/>
      <c r="F809" s="6"/>
    </row>
    <row r="810">
      <c r="B810" s="3"/>
      <c r="C810" s="6"/>
      <c r="D810" s="6"/>
      <c r="E810" s="6"/>
      <c r="F810" s="6"/>
    </row>
    <row r="811">
      <c r="B811" s="3"/>
      <c r="C811" s="6"/>
      <c r="D811" s="6"/>
      <c r="E811" s="6"/>
      <c r="F811" s="6"/>
    </row>
    <row r="812">
      <c r="B812" s="3"/>
      <c r="C812" s="6"/>
      <c r="D812" s="6"/>
      <c r="E812" s="6"/>
      <c r="F812" s="6"/>
    </row>
    <row r="813">
      <c r="B813" s="3"/>
      <c r="C813" s="6"/>
      <c r="D813" s="6"/>
      <c r="E813" s="6"/>
      <c r="F813" s="6"/>
    </row>
    <row r="814">
      <c r="B814" s="3"/>
      <c r="C814" s="6"/>
      <c r="D814" s="6"/>
      <c r="E814" s="6"/>
      <c r="F814" s="6"/>
    </row>
    <row r="815">
      <c r="B815" s="3"/>
      <c r="C815" s="6"/>
      <c r="D815" s="6"/>
      <c r="E815" s="6"/>
      <c r="F815" s="6"/>
    </row>
    <row r="816">
      <c r="B816" s="3"/>
      <c r="C816" s="6"/>
      <c r="D816" s="6"/>
      <c r="E816" s="6"/>
      <c r="F816" s="6"/>
    </row>
    <row r="817">
      <c r="B817" s="3"/>
      <c r="C817" s="6"/>
      <c r="D817" s="6"/>
      <c r="E817" s="6"/>
      <c r="F817" s="6"/>
    </row>
    <row r="818">
      <c r="B818" s="3"/>
      <c r="C818" s="6"/>
      <c r="D818" s="6"/>
      <c r="E818" s="6"/>
      <c r="F818" s="6"/>
    </row>
    <row r="819">
      <c r="B819" s="3"/>
      <c r="C819" s="6"/>
      <c r="D819" s="6"/>
      <c r="E819" s="6"/>
      <c r="F819" s="6"/>
    </row>
    <row r="820">
      <c r="B820" s="3"/>
      <c r="C820" s="6"/>
      <c r="D820" s="6"/>
      <c r="E820" s="6"/>
      <c r="F820" s="6"/>
    </row>
    <row r="821">
      <c r="B821" s="3"/>
      <c r="C821" s="6"/>
      <c r="D821" s="6"/>
      <c r="E821" s="6"/>
      <c r="F821" s="6"/>
    </row>
    <row r="822">
      <c r="B822" s="3"/>
      <c r="C822" s="6"/>
      <c r="D822" s="6"/>
      <c r="E822" s="6"/>
      <c r="F822" s="6"/>
    </row>
    <row r="823">
      <c r="B823" s="3"/>
      <c r="C823" s="6"/>
      <c r="D823" s="6"/>
      <c r="E823" s="6"/>
      <c r="F823" s="6"/>
    </row>
    <row r="824">
      <c r="B824" s="3"/>
      <c r="C824" s="6"/>
      <c r="D824" s="6"/>
      <c r="E824" s="6"/>
      <c r="F824" s="6"/>
    </row>
    <row r="825">
      <c r="B825" s="3"/>
      <c r="C825" s="6"/>
      <c r="D825" s="6"/>
      <c r="E825" s="6"/>
      <c r="F825" s="6"/>
    </row>
    <row r="826">
      <c r="B826" s="3"/>
      <c r="C826" s="6"/>
      <c r="D826" s="6"/>
      <c r="E826" s="6"/>
      <c r="F826" s="6"/>
    </row>
    <row r="827">
      <c r="B827" s="3"/>
      <c r="C827" s="6"/>
      <c r="D827" s="6"/>
      <c r="E827" s="6"/>
      <c r="F827" s="6"/>
    </row>
    <row r="828">
      <c r="B828" s="3"/>
      <c r="C828" s="6"/>
      <c r="D828" s="6"/>
      <c r="E828" s="6"/>
      <c r="F828" s="6"/>
    </row>
    <row r="829">
      <c r="B829" s="3"/>
      <c r="C829" s="6"/>
      <c r="D829" s="6"/>
      <c r="E829" s="6"/>
      <c r="F829" s="6"/>
    </row>
    <row r="830">
      <c r="B830" s="3"/>
      <c r="C830" s="6"/>
      <c r="D830" s="6"/>
      <c r="E830" s="6"/>
      <c r="F830" s="6"/>
    </row>
    <row r="831">
      <c r="B831" s="3"/>
      <c r="C831" s="6"/>
      <c r="D831" s="6"/>
      <c r="E831" s="6"/>
      <c r="F831" s="6"/>
    </row>
    <row r="832">
      <c r="B832" s="3"/>
      <c r="C832" s="6"/>
      <c r="D832" s="6"/>
      <c r="E832" s="6"/>
      <c r="F832" s="6"/>
    </row>
    <row r="833">
      <c r="B833" s="3"/>
      <c r="C833" s="6"/>
      <c r="D833" s="6"/>
      <c r="E833" s="6"/>
      <c r="F833" s="6"/>
    </row>
    <row r="834">
      <c r="B834" s="3"/>
      <c r="C834" s="6"/>
      <c r="D834" s="6"/>
      <c r="E834" s="6"/>
      <c r="F834" s="6"/>
    </row>
    <row r="835">
      <c r="B835" s="3"/>
      <c r="C835" s="6"/>
      <c r="D835" s="6"/>
      <c r="E835" s="6"/>
      <c r="F835" s="6"/>
    </row>
    <row r="836">
      <c r="B836" s="3"/>
      <c r="C836" s="6"/>
      <c r="D836" s="6"/>
      <c r="E836" s="6"/>
      <c r="F836" s="6"/>
    </row>
    <row r="837">
      <c r="B837" s="3"/>
      <c r="C837" s="6"/>
      <c r="D837" s="6"/>
      <c r="E837" s="6"/>
      <c r="F837" s="6"/>
    </row>
    <row r="838">
      <c r="B838" s="3"/>
      <c r="C838" s="6"/>
      <c r="D838" s="6"/>
      <c r="E838" s="6"/>
      <c r="F838" s="6"/>
    </row>
    <row r="839">
      <c r="B839" s="3"/>
      <c r="C839" s="6"/>
      <c r="D839" s="6"/>
      <c r="E839" s="6"/>
      <c r="F839" s="6"/>
    </row>
    <row r="840">
      <c r="B840" s="3"/>
      <c r="C840" s="6"/>
      <c r="D840" s="6"/>
      <c r="E840" s="6"/>
      <c r="F840" s="6"/>
    </row>
    <row r="841">
      <c r="B841" s="3"/>
      <c r="C841" s="6"/>
      <c r="D841" s="6"/>
      <c r="E841" s="6"/>
      <c r="F841" s="6"/>
    </row>
    <row r="842">
      <c r="B842" s="3"/>
      <c r="C842" s="6"/>
      <c r="D842" s="6"/>
      <c r="E842" s="6"/>
      <c r="F842" s="6"/>
    </row>
    <row r="843">
      <c r="B843" s="3"/>
      <c r="C843" s="6"/>
      <c r="D843" s="6"/>
      <c r="E843" s="6"/>
      <c r="F843" s="6"/>
    </row>
    <row r="844">
      <c r="B844" s="3"/>
      <c r="C844" s="6"/>
      <c r="D844" s="6"/>
      <c r="E844" s="6"/>
      <c r="F844" s="6"/>
    </row>
    <row r="845">
      <c r="B845" s="3"/>
      <c r="C845" s="6"/>
      <c r="D845" s="6"/>
      <c r="E845" s="6"/>
      <c r="F845" s="6"/>
    </row>
    <row r="846">
      <c r="B846" s="3"/>
      <c r="C846" s="6"/>
      <c r="D846" s="6"/>
      <c r="E846" s="6"/>
      <c r="F846" s="6"/>
    </row>
    <row r="847">
      <c r="B847" s="3"/>
      <c r="C847" s="6"/>
      <c r="D847" s="6"/>
      <c r="E847" s="6"/>
      <c r="F847" s="6"/>
    </row>
    <row r="848">
      <c r="B848" s="3"/>
      <c r="C848" s="6"/>
      <c r="D848" s="6"/>
      <c r="E848" s="6"/>
      <c r="F848" s="6"/>
    </row>
    <row r="849">
      <c r="B849" s="3"/>
      <c r="C849" s="6"/>
      <c r="D849" s="6"/>
      <c r="E849" s="6"/>
      <c r="F849" s="6"/>
    </row>
    <row r="850">
      <c r="B850" s="3"/>
      <c r="C850" s="6"/>
      <c r="D850" s="6"/>
      <c r="E850" s="6"/>
      <c r="F850" s="6"/>
    </row>
    <row r="851">
      <c r="B851" s="3"/>
      <c r="C851" s="6"/>
      <c r="D851" s="6"/>
      <c r="E851" s="6"/>
      <c r="F851" s="6"/>
    </row>
    <row r="852">
      <c r="B852" s="3"/>
      <c r="C852" s="6"/>
      <c r="D852" s="6"/>
      <c r="E852" s="6"/>
      <c r="F852" s="6"/>
    </row>
    <row r="853">
      <c r="B853" s="3"/>
      <c r="C853" s="6"/>
      <c r="D853" s="6"/>
      <c r="E853" s="6"/>
      <c r="F853" s="6"/>
    </row>
    <row r="854">
      <c r="B854" s="3"/>
      <c r="C854" s="6"/>
      <c r="D854" s="6"/>
      <c r="E854" s="6"/>
      <c r="F854" s="6"/>
    </row>
    <row r="855">
      <c r="B855" s="3"/>
      <c r="C855" s="6"/>
      <c r="D855" s="6"/>
      <c r="E855" s="6"/>
      <c r="F855" s="6"/>
    </row>
    <row r="856">
      <c r="B856" s="3"/>
      <c r="C856" s="6"/>
      <c r="D856" s="6"/>
      <c r="E856" s="6"/>
      <c r="F856" s="6"/>
    </row>
    <row r="857">
      <c r="B857" s="3"/>
      <c r="C857" s="6"/>
      <c r="D857" s="6"/>
      <c r="E857" s="6"/>
      <c r="F857" s="6"/>
    </row>
    <row r="858">
      <c r="B858" s="3"/>
      <c r="C858" s="6"/>
      <c r="D858" s="6"/>
      <c r="E858" s="6"/>
      <c r="F858" s="6"/>
    </row>
    <row r="859">
      <c r="B859" s="3"/>
      <c r="C859" s="6"/>
      <c r="D859" s="6"/>
      <c r="E859" s="6"/>
      <c r="F859" s="6"/>
    </row>
    <row r="860">
      <c r="B860" s="3"/>
      <c r="C860" s="6"/>
      <c r="D860" s="6"/>
      <c r="E860" s="6"/>
      <c r="F860" s="6"/>
    </row>
    <row r="861">
      <c r="B861" s="3"/>
      <c r="C861" s="6"/>
      <c r="D861" s="6"/>
      <c r="E861" s="6"/>
      <c r="F861" s="6"/>
    </row>
    <row r="862">
      <c r="B862" s="3"/>
      <c r="C862" s="6"/>
      <c r="D862" s="6"/>
      <c r="E862" s="6"/>
      <c r="F862" s="6"/>
    </row>
    <row r="863">
      <c r="B863" s="3"/>
      <c r="C863" s="6"/>
      <c r="D863" s="6"/>
      <c r="E863" s="6"/>
      <c r="F863" s="6"/>
    </row>
    <row r="864">
      <c r="B864" s="3"/>
      <c r="C864" s="6"/>
      <c r="D864" s="6"/>
      <c r="E864" s="6"/>
      <c r="F864" s="6"/>
    </row>
    <row r="865">
      <c r="B865" s="3"/>
      <c r="C865" s="6"/>
      <c r="D865" s="6"/>
      <c r="E865" s="6"/>
      <c r="F865" s="6"/>
    </row>
    <row r="866">
      <c r="B866" s="3"/>
      <c r="C866" s="6"/>
      <c r="D866" s="6"/>
      <c r="E866" s="6"/>
      <c r="F866" s="6"/>
    </row>
    <row r="867">
      <c r="B867" s="3"/>
      <c r="C867" s="6"/>
      <c r="D867" s="6"/>
      <c r="E867" s="6"/>
      <c r="F867" s="6"/>
    </row>
    <row r="868">
      <c r="B868" s="3"/>
      <c r="C868" s="6"/>
      <c r="D868" s="6"/>
      <c r="E868" s="6"/>
      <c r="F868" s="6"/>
    </row>
    <row r="869">
      <c r="B869" s="3"/>
      <c r="C869" s="6"/>
      <c r="D869" s="6"/>
      <c r="E869" s="6"/>
      <c r="F869" s="6"/>
    </row>
    <row r="870">
      <c r="B870" s="3"/>
      <c r="C870" s="6"/>
      <c r="D870" s="6"/>
      <c r="E870" s="6"/>
      <c r="F870" s="6"/>
    </row>
    <row r="871">
      <c r="B871" s="3"/>
      <c r="C871" s="6"/>
      <c r="D871" s="6"/>
      <c r="E871" s="6"/>
      <c r="F871" s="6"/>
    </row>
    <row r="872">
      <c r="B872" s="3"/>
      <c r="C872" s="6"/>
      <c r="D872" s="6"/>
      <c r="E872" s="6"/>
      <c r="F872" s="6"/>
    </row>
    <row r="873">
      <c r="B873" s="3"/>
      <c r="C873" s="6"/>
      <c r="D873" s="6"/>
      <c r="E873" s="6"/>
      <c r="F873" s="6"/>
    </row>
    <row r="874">
      <c r="B874" s="3"/>
      <c r="C874" s="6"/>
      <c r="D874" s="6"/>
      <c r="E874" s="6"/>
      <c r="F874" s="6"/>
    </row>
    <row r="875">
      <c r="B875" s="3"/>
      <c r="C875" s="6"/>
      <c r="D875" s="6"/>
      <c r="E875" s="6"/>
      <c r="F875" s="6"/>
    </row>
    <row r="876">
      <c r="B876" s="3"/>
      <c r="C876" s="6"/>
      <c r="D876" s="6"/>
      <c r="E876" s="6"/>
      <c r="F876" s="6"/>
    </row>
    <row r="877">
      <c r="B877" s="3"/>
      <c r="C877" s="6"/>
      <c r="D877" s="6"/>
      <c r="E877" s="6"/>
      <c r="F877" s="6"/>
    </row>
    <row r="878">
      <c r="B878" s="3"/>
      <c r="C878" s="6"/>
      <c r="D878" s="6"/>
      <c r="E878" s="6"/>
      <c r="F878" s="6"/>
    </row>
    <row r="879">
      <c r="B879" s="3"/>
      <c r="C879" s="6"/>
      <c r="D879" s="6"/>
      <c r="E879" s="6"/>
      <c r="F879" s="6"/>
    </row>
    <row r="880">
      <c r="B880" s="3"/>
      <c r="C880" s="6"/>
      <c r="D880" s="6"/>
      <c r="E880" s="6"/>
      <c r="F880" s="6"/>
    </row>
    <row r="881">
      <c r="B881" s="3"/>
      <c r="C881" s="6"/>
      <c r="D881" s="6"/>
      <c r="E881" s="6"/>
      <c r="F881" s="6"/>
    </row>
    <row r="882">
      <c r="B882" s="3"/>
      <c r="C882" s="6"/>
      <c r="D882" s="6"/>
      <c r="E882" s="6"/>
      <c r="F882" s="6"/>
    </row>
    <row r="883">
      <c r="B883" s="3"/>
      <c r="C883" s="6"/>
      <c r="D883" s="6"/>
      <c r="E883" s="6"/>
      <c r="F883" s="6"/>
    </row>
    <row r="884">
      <c r="B884" s="3"/>
      <c r="C884" s="6"/>
      <c r="D884" s="6"/>
      <c r="E884" s="6"/>
      <c r="F884" s="6"/>
    </row>
    <row r="885">
      <c r="B885" s="3"/>
      <c r="C885" s="6"/>
      <c r="D885" s="6"/>
      <c r="E885" s="6"/>
      <c r="F885" s="6"/>
    </row>
    <row r="886">
      <c r="B886" s="3"/>
      <c r="C886" s="6"/>
      <c r="D886" s="6"/>
      <c r="E886" s="6"/>
      <c r="F886" s="6"/>
    </row>
    <row r="887">
      <c r="B887" s="3"/>
      <c r="C887" s="6"/>
      <c r="D887" s="6"/>
      <c r="E887" s="6"/>
      <c r="F887" s="6"/>
    </row>
    <row r="888">
      <c r="B888" s="3"/>
      <c r="C888" s="6"/>
      <c r="D888" s="6"/>
      <c r="E888" s="6"/>
      <c r="F888" s="6"/>
    </row>
    <row r="889">
      <c r="B889" s="3"/>
      <c r="C889" s="6"/>
      <c r="D889" s="6"/>
      <c r="E889" s="6"/>
      <c r="F889" s="6"/>
    </row>
    <row r="890">
      <c r="B890" s="3"/>
      <c r="C890" s="6"/>
      <c r="D890" s="6"/>
      <c r="E890" s="6"/>
      <c r="F890" s="6"/>
    </row>
    <row r="891">
      <c r="B891" s="3"/>
      <c r="C891" s="6"/>
      <c r="D891" s="6"/>
      <c r="E891" s="6"/>
      <c r="F891" s="6"/>
    </row>
    <row r="892">
      <c r="B892" s="3"/>
      <c r="C892" s="6"/>
      <c r="D892" s="6"/>
      <c r="E892" s="6"/>
      <c r="F892" s="6"/>
    </row>
    <row r="893">
      <c r="B893" s="3"/>
      <c r="C893" s="6"/>
      <c r="D893" s="6"/>
      <c r="E893" s="6"/>
      <c r="F893" s="6"/>
    </row>
    <row r="894">
      <c r="B894" s="3"/>
      <c r="C894" s="6"/>
      <c r="D894" s="6"/>
      <c r="E894" s="6"/>
      <c r="F894" s="6"/>
    </row>
    <row r="895">
      <c r="B895" s="3"/>
      <c r="C895" s="6"/>
      <c r="D895" s="6"/>
      <c r="E895" s="6"/>
      <c r="F895" s="6"/>
    </row>
    <row r="896">
      <c r="B896" s="3"/>
      <c r="C896" s="6"/>
      <c r="D896" s="6"/>
      <c r="E896" s="6"/>
      <c r="F896" s="6"/>
    </row>
    <row r="897">
      <c r="B897" s="3"/>
      <c r="C897" s="6"/>
      <c r="D897" s="6"/>
      <c r="E897" s="6"/>
      <c r="F897" s="6"/>
    </row>
    <row r="898">
      <c r="B898" s="3"/>
      <c r="C898" s="6"/>
      <c r="D898" s="6"/>
      <c r="E898" s="6"/>
      <c r="F898" s="6"/>
    </row>
    <row r="899">
      <c r="B899" s="3"/>
      <c r="C899" s="6"/>
      <c r="D899" s="6"/>
      <c r="E899" s="6"/>
      <c r="F899" s="6"/>
    </row>
    <row r="900">
      <c r="B900" s="3"/>
      <c r="C900" s="6"/>
      <c r="D900" s="6"/>
      <c r="E900" s="6"/>
      <c r="F900" s="6"/>
    </row>
    <row r="901">
      <c r="B901" s="3"/>
      <c r="C901" s="6"/>
      <c r="D901" s="6"/>
      <c r="E901" s="6"/>
      <c r="F901" s="6"/>
    </row>
    <row r="902">
      <c r="B902" s="3"/>
      <c r="C902" s="6"/>
      <c r="D902" s="6"/>
      <c r="E902" s="6"/>
      <c r="F902" s="6"/>
    </row>
    <row r="903">
      <c r="B903" s="3"/>
      <c r="C903" s="6"/>
      <c r="D903" s="6"/>
      <c r="E903" s="6"/>
      <c r="F903" s="6"/>
    </row>
    <row r="904">
      <c r="B904" s="3"/>
      <c r="C904" s="6"/>
      <c r="D904" s="6"/>
      <c r="E904" s="6"/>
      <c r="F904" s="6"/>
    </row>
    <row r="905">
      <c r="B905" s="3"/>
      <c r="C905" s="6"/>
      <c r="D905" s="6"/>
      <c r="E905" s="6"/>
      <c r="F905" s="6"/>
    </row>
    <row r="906">
      <c r="B906" s="3"/>
      <c r="C906" s="6"/>
      <c r="D906" s="6"/>
      <c r="E906" s="6"/>
      <c r="F906" s="6"/>
    </row>
    <row r="907">
      <c r="B907" s="3"/>
      <c r="C907" s="6"/>
      <c r="D907" s="6"/>
      <c r="E907" s="6"/>
      <c r="F907" s="6"/>
    </row>
    <row r="908">
      <c r="B908" s="3"/>
      <c r="C908" s="6"/>
      <c r="D908" s="6"/>
      <c r="E908" s="6"/>
      <c r="F908" s="6"/>
    </row>
    <row r="909">
      <c r="B909" s="3"/>
      <c r="C909" s="6"/>
      <c r="D909" s="6"/>
      <c r="E909" s="6"/>
      <c r="F909" s="6"/>
    </row>
    <row r="910">
      <c r="B910" s="3"/>
      <c r="C910" s="6"/>
      <c r="D910" s="6"/>
      <c r="E910" s="6"/>
      <c r="F910" s="6"/>
    </row>
    <row r="911">
      <c r="B911" s="3"/>
      <c r="C911" s="6"/>
      <c r="D911" s="6"/>
      <c r="E911" s="6"/>
      <c r="F911" s="6"/>
    </row>
    <row r="912">
      <c r="B912" s="3"/>
      <c r="C912" s="6"/>
      <c r="D912" s="6"/>
      <c r="E912" s="6"/>
      <c r="F912" s="6"/>
    </row>
    <row r="913">
      <c r="B913" s="3"/>
      <c r="C913" s="6"/>
      <c r="D913" s="6"/>
      <c r="E913" s="6"/>
      <c r="F913" s="6"/>
    </row>
    <row r="914">
      <c r="B914" s="3"/>
      <c r="C914" s="6"/>
      <c r="D914" s="6"/>
      <c r="E914" s="6"/>
      <c r="F914" s="6"/>
    </row>
    <row r="915">
      <c r="B915" s="3"/>
      <c r="C915" s="6"/>
      <c r="D915" s="6"/>
      <c r="E915" s="6"/>
      <c r="F915" s="6"/>
    </row>
    <row r="916">
      <c r="B916" s="3"/>
      <c r="C916" s="6"/>
      <c r="D916" s="6"/>
      <c r="E916" s="6"/>
      <c r="F916" s="6"/>
    </row>
    <row r="917">
      <c r="B917" s="3"/>
      <c r="C917" s="6"/>
      <c r="D917" s="6"/>
      <c r="E917" s="6"/>
      <c r="F917" s="6"/>
    </row>
    <row r="918">
      <c r="B918" s="3"/>
      <c r="C918" s="6"/>
      <c r="D918" s="6"/>
      <c r="E918" s="6"/>
      <c r="F918" s="6"/>
    </row>
    <row r="919">
      <c r="B919" s="3"/>
      <c r="C919" s="6"/>
      <c r="D919" s="6"/>
      <c r="E919" s="6"/>
      <c r="F919" s="6"/>
    </row>
    <row r="920">
      <c r="B920" s="3"/>
      <c r="C920" s="6"/>
      <c r="D920" s="6"/>
      <c r="E920" s="6"/>
      <c r="F920" s="6"/>
    </row>
    <row r="921">
      <c r="B921" s="3"/>
      <c r="C921" s="6"/>
      <c r="D921" s="6"/>
      <c r="E921" s="6"/>
      <c r="F921" s="6"/>
    </row>
    <row r="922">
      <c r="B922" s="3"/>
      <c r="C922" s="6"/>
      <c r="D922" s="6"/>
      <c r="E922" s="6"/>
      <c r="F922" s="6"/>
    </row>
    <row r="923">
      <c r="B923" s="3"/>
      <c r="C923" s="6"/>
      <c r="D923" s="6"/>
      <c r="E923" s="6"/>
      <c r="F923" s="6"/>
    </row>
    <row r="924">
      <c r="B924" s="3"/>
      <c r="C924" s="6"/>
      <c r="D924" s="6"/>
      <c r="E924" s="6"/>
      <c r="F924" s="6"/>
    </row>
    <row r="925">
      <c r="B925" s="3"/>
      <c r="C925" s="6"/>
      <c r="D925" s="6"/>
      <c r="E925" s="6"/>
      <c r="F925" s="6"/>
    </row>
    <row r="926">
      <c r="B926" s="3"/>
      <c r="C926" s="6"/>
      <c r="D926" s="6"/>
      <c r="E926" s="6"/>
      <c r="F926" s="6"/>
    </row>
    <row r="927">
      <c r="B927" s="3"/>
      <c r="C927" s="6"/>
      <c r="D927" s="6"/>
      <c r="E927" s="6"/>
      <c r="F927" s="6"/>
    </row>
    <row r="928">
      <c r="B928" s="3"/>
      <c r="C928" s="6"/>
      <c r="D928" s="6"/>
      <c r="E928" s="6"/>
      <c r="F928" s="6"/>
    </row>
    <row r="929">
      <c r="B929" s="3"/>
      <c r="C929" s="6"/>
      <c r="D929" s="6"/>
      <c r="E929" s="6"/>
      <c r="F929" s="6"/>
    </row>
    <row r="930">
      <c r="B930" s="3"/>
      <c r="C930" s="6"/>
      <c r="D930" s="6"/>
      <c r="E930" s="6"/>
      <c r="F930" s="6"/>
    </row>
    <row r="931">
      <c r="B931" s="3"/>
      <c r="C931" s="6"/>
      <c r="D931" s="6"/>
      <c r="E931" s="6"/>
      <c r="F931" s="6"/>
    </row>
    <row r="932">
      <c r="B932" s="3"/>
      <c r="C932" s="6"/>
      <c r="D932" s="6"/>
      <c r="E932" s="6"/>
      <c r="F932" s="6"/>
    </row>
    <row r="933">
      <c r="B933" s="3"/>
      <c r="C933" s="6"/>
      <c r="D933" s="6"/>
      <c r="E933" s="6"/>
      <c r="F933" s="6"/>
    </row>
    <row r="934">
      <c r="B934" s="3"/>
      <c r="C934" s="6"/>
      <c r="D934" s="6"/>
      <c r="E934" s="6"/>
      <c r="F934" s="6"/>
    </row>
    <row r="935">
      <c r="B935" s="3"/>
      <c r="C935" s="6"/>
      <c r="D935" s="6"/>
      <c r="E935" s="6"/>
      <c r="F935" s="6"/>
    </row>
    <row r="936">
      <c r="B936" s="3"/>
      <c r="C936" s="6"/>
      <c r="D936" s="6"/>
      <c r="E936" s="6"/>
      <c r="F936" s="6"/>
    </row>
    <row r="937">
      <c r="B937" s="3"/>
      <c r="C937" s="6"/>
      <c r="D937" s="6"/>
      <c r="E937" s="6"/>
      <c r="F937" s="6"/>
    </row>
    <row r="938">
      <c r="B938" s="3"/>
      <c r="C938" s="6"/>
      <c r="D938" s="6"/>
      <c r="E938" s="6"/>
      <c r="F938" s="6"/>
    </row>
    <row r="939">
      <c r="B939" s="3"/>
      <c r="C939" s="6"/>
      <c r="D939" s="6"/>
      <c r="E939" s="6"/>
      <c r="F939" s="6"/>
    </row>
    <row r="940">
      <c r="B940" s="3"/>
      <c r="C940" s="6"/>
      <c r="D940" s="6"/>
      <c r="E940" s="6"/>
      <c r="F940" s="6"/>
    </row>
    <row r="941">
      <c r="B941" s="3"/>
      <c r="C941" s="6"/>
      <c r="D941" s="6"/>
      <c r="E941" s="6"/>
      <c r="F941" s="6"/>
    </row>
    <row r="942">
      <c r="B942" s="3"/>
      <c r="C942" s="6"/>
      <c r="D942" s="6"/>
      <c r="E942" s="6"/>
      <c r="F942" s="6"/>
    </row>
    <row r="943">
      <c r="B943" s="3"/>
      <c r="C943" s="6"/>
      <c r="D943" s="6"/>
      <c r="E943" s="6"/>
      <c r="F943" s="6"/>
    </row>
    <row r="944">
      <c r="B944" s="3"/>
      <c r="C944" s="6"/>
      <c r="D944" s="6"/>
      <c r="E944" s="6"/>
      <c r="F944" s="6"/>
    </row>
    <row r="945">
      <c r="B945" s="3"/>
      <c r="C945" s="6"/>
      <c r="D945" s="6"/>
      <c r="E945" s="6"/>
      <c r="F945" s="6"/>
    </row>
    <row r="946">
      <c r="B946" s="3"/>
      <c r="C946" s="6"/>
      <c r="D946" s="6"/>
      <c r="E946" s="6"/>
      <c r="F946" s="6"/>
    </row>
    <row r="947">
      <c r="B947" s="3"/>
      <c r="C947" s="6"/>
      <c r="D947" s="6"/>
      <c r="E947" s="6"/>
      <c r="F947" s="6"/>
    </row>
    <row r="948">
      <c r="B948" s="3"/>
      <c r="C948" s="6"/>
      <c r="D948" s="6"/>
      <c r="E948" s="6"/>
      <c r="F948" s="6"/>
    </row>
    <row r="949">
      <c r="B949" s="3"/>
      <c r="C949" s="6"/>
      <c r="D949" s="6"/>
      <c r="E949" s="6"/>
      <c r="F949" s="6"/>
    </row>
    <row r="950">
      <c r="B950" s="3"/>
      <c r="C950" s="6"/>
      <c r="D950" s="6"/>
      <c r="E950" s="6"/>
      <c r="F950" s="6"/>
    </row>
    <row r="951">
      <c r="B951" s="3"/>
      <c r="C951" s="6"/>
      <c r="D951" s="6"/>
      <c r="E951" s="6"/>
      <c r="F951" s="6"/>
    </row>
    <row r="952">
      <c r="B952" s="3"/>
      <c r="C952" s="6"/>
      <c r="D952" s="6"/>
      <c r="E952" s="6"/>
      <c r="F952" s="6"/>
    </row>
    <row r="953">
      <c r="B953" s="3"/>
      <c r="C953" s="6"/>
      <c r="D953" s="6"/>
      <c r="E953" s="6"/>
      <c r="F953" s="6"/>
    </row>
    <row r="954">
      <c r="B954" s="3"/>
      <c r="C954" s="6"/>
      <c r="D954" s="6"/>
      <c r="E954" s="6"/>
      <c r="F954" s="6"/>
    </row>
    <row r="955">
      <c r="B955" s="3"/>
      <c r="C955" s="6"/>
      <c r="D955" s="6"/>
      <c r="E955" s="6"/>
      <c r="F955" s="6"/>
    </row>
    <row r="956">
      <c r="B956" s="3"/>
      <c r="C956" s="6"/>
      <c r="D956" s="6"/>
      <c r="E956" s="6"/>
      <c r="F956" s="6"/>
    </row>
    <row r="957">
      <c r="B957" s="3"/>
      <c r="C957" s="6"/>
      <c r="D957" s="6"/>
      <c r="E957" s="6"/>
      <c r="F957" s="6"/>
    </row>
    <row r="958">
      <c r="B958" s="3"/>
      <c r="C958" s="6"/>
      <c r="D958" s="6"/>
      <c r="E958" s="6"/>
      <c r="F958" s="6"/>
    </row>
    <row r="959">
      <c r="B959" s="3"/>
      <c r="C959" s="6"/>
      <c r="D959" s="6"/>
      <c r="E959" s="6"/>
      <c r="F959" s="6"/>
    </row>
    <row r="960">
      <c r="B960" s="3"/>
      <c r="C960" s="6"/>
      <c r="D960" s="6"/>
      <c r="E960" s="6"/>
      <c r="F960" s="6"/>
    </row>
    <row r="961">
      <c r="B961" s="3"/>
      <c r="C961" s="6"/>
      <c r="D961" s="6"/>
      <c r="E961" s="6"/>
      <c r="F961" s="6"/>
    </row>
    <row r="962">
      <c r="B962" s="3"/>
      <c r="C962" s="6"/>
      <c r="D962" s="6"/>
      <c r="E962" s="6"/>
      <c r="F962" s="6"/>
    </row>
    <row r="963">
      <c r="B963" s="3"/>
      <c r="C963" s="6"/>
      <c r="D963" s="6"/>
      <c r="E963" s="6"/>
      <c r="F963" s="6"/>
    </row>
    <row r="964">
      <c r="B964" s="3"/>
      <c r="C964" s="6"/>
      <c r="D964" s="6"/>
      <c r="E964" s="6"/>
      <c r="F964" s="6"/>
    </row>
    <row r="965">
      <c r="B965" s="3"/>
      <c r="C965" s="6"/>
      <c r="D965" s="6"/>
      <c r="E965" s="6"/>
      <c r="F965" s="6"/>
    </row>
    <row r="966">
      <c r="B966" s="3"/>
      <c r="C966" s="6"/>
      <c r="D966" s="6"/>
      <c r="E966" s="6"/>
      <c r="F966" s="6"/>
    </row>
    <row r="967">
      <c r="B967" s="3"/>
      <c r="C967" s="6"/>
      <c r="D967" s="6"/>
      <c r="E967" s="6"/>
      <c r="F967" s="6"/>
    </row>
    <row r="968">
      <c r="B968" s="3"/>
      <c r="C968" s="6"/>
      <c r="D968" s="6"/>
      <c r="E968" s="6"/>
      <c r="F968" s="6"/>
    </row>
    <row r="969">
      <c r="B969" s="3"/>
      <c r="C969" s="6"/>
      <c r="D969" s="6"/>
      <c r="E969" s="6"/>
      <c r="F969" s="6"/>
    </row>
    <row r="970">
      <c r="B970" s="3"/>
      <c r="C970" s="6"/>
      <c r="D970" s="6"/>
      <c r="E970" s="6"/>
      <c r="F970" s="6"/>
    </row>
    <row r="971">
      <c r="B971" s="3"/>
      <c r="C971" s="6"/>
      <c r="D971" s="6"/>
      <c r="E971" s="6"/>
      <c r="F971" s="6"/>
    </row>
    <row r="972">
      <c r="B972" s="3"/>
      <c r="C972" s="6"/>
      <c r="D972" s="6"/>
      <c r="E972" s="6"/>
      <c r="F972" s="6"/>
    </row>
    <row r="973">
      <c r="B973" s="3"/>
      <c r="C973" s="6"/>
      <c r="D973" s="6"/>
      <c r="E973" s="6"/>
      <c r="F973" s="6"/>
    </row>
    <row r="974">
      <c r="B974" s="3"/>
      <c r="C974" s="6"/>
      <c r="D974" s="6"/>
      <c r="E974" s="6"/>
      <c r="F974" s="6"/>
    </row>
    <row r="975">
      <c r="B975" s="3"/>
      <c r="C975" s="6"/>
      <c r="D975" s="6"/>
      <c r="E975" s="6"/>
      <c r="F975" s="6"/>
    </row>
    <row r="976">
      <c r="B976" s="3"/>
      <c r="C976" s="6"/>
      <c r="D976" s="6"/>
      <c r="E976" s="6"/>
      <c r="F976" s="6"/>
    </row>
    <row r="977">
      <c r="B977" s="3"/>
      <c r="C977" s="6"/>
      <c r="D977" s="6"/>
      <c r="E977" s="6"/>
      <c r="F977" s="6"/>
    </row>
    <row r="978">
      <c r="B978" s="3"/>
      <c r="C978" s="6"/>
      <c r="D978" s="6"/>
      <c r="E978" s="6"/>
      <c r="F978" s="6"/>
    </row>
    <row r="979">
      <c r="B979" s="3"/>
      <c r="C979" s="6"/>
      <c r="D979" s="6"/>
      <c r="E979" s="6"/>
      <c r="F979" s="6"/>
    </row>
    <row r="980">
      <c r="B980" s="3"/>
      <c r="C980" s="6"/>
      <c r="D980" s="6"/>
      <c r="E980" s="6"/>
      <c r="F980" s="6"/>
    </row>
    <row r="981">
      <c r="B981" s="3"/>
      <c r="C981" s="6"/>
      <c r="D981" s="6"/>
      <c r="E981" s="6"/>
      <c r="F981" s="6"/>
    </row>
    <row r="982">
      <c r="B982" s="3"/>
      <c r="C982" s="6"/>
      <c r="D982" s="6"/>
      <c r="E982" s="6"/>
      <c r="F982" s="6"/>
    </row>
    <row r="983">
      <c r="B983" s="3"/>
      <c r="C983" s="6"/>
      <c r="D983" s="6"/>
      <c r="E983" s="6"/>
      <c r="F983" s="6"/>
    </row>
    <row r="984">
      <c r="B984" s="3"/>
      <c r="C984" s="6"/>
      <c r="D984" s="6"/>
      <c r="E984" s="6"/>
      <c r="F984" s="6"/>
    </row>
    <row r="985">
      <c r="B985" s="3"/>
      <c r="C985" s="6"/>
      <c r="D985" s="6"/>
      <c r="E985" s="6"/>
      <c r="F985" s="6"/>
    </row>
    <row r="986">
      <c r="B986" s="3"/>
      <c r="C986" s="6"/>
      <c r="D986" s="6"/>
      <c r="E986" s="6"/>
      <c r="F986" s="6"/>
    </row>
    <row r="987">
      <c r="B987" s="3"/>
      <c r="C987" s="6"/>
      <c r="D987" s="6"/>
      <c r="E987" s="6"/>
      <c r="F987" s="6"/>
    </row>
    <row r="988">
      <c r="B988" s="3"/>
      <c r="C988" s="6"/>
      <c r="D988" s="6"/>
      <c r="E988" s="6"/>
      <c r="F988" s="6"/>
    </row>
    <row r="989">
      <c r="B989" s="3"/>
      <c r="C989" s="6"/>
      <c r="D989" s="6"/>
      <c r="E989" s="6"/>
      <c r="F989" s="6"/>
    </row>
    <row r="990">
      <c r="B990" s="3"/>
      <c r="C990" s="6"/>
      <c r="D990" s="6"/>
      <c r="E990" s="6"/>
      <c r="F990" s="6"/>
    </row>
    <row r="991">
      <c r="B991" s="3"/>
      <c r="C991" s="6"/>
      <c r="D991" s="6"/>
      <c r="E991" s="6"/>
      <c r="F991" s="6"/>
    </row>
    <row r="992">
      <c r="B992" s="3"/>
      <c r="C992" s="6"/>
      <c r="D992" s="6"/>
      <c r="E992" s="6"/>
      <c r="F992" s="6"/>
    </row>
    <row r="993">
      <c r="B993" s="3"/>
      <c r="C993" s="6"/>
      <c r="D993" s="6"/>
      <c r="E993" s="6"/>
      <c r="F993" s="6"/>
    </row>
    <row r="994">
      <c r="B994" s="3"/>
      <c r="C994" s="6"/>
      <c r="D994" s="6"/>
      <c r="E994" s="6"/>
      <c r="F994" s="6"/>
    </row>
    <row r="995">
      <c r="B995" s="3"/>
      <c r="C995" s="6"/>
      <c r="D995" s="6"/>
      <c r="E995" s="6"/>
      <c r="F995" s="6"/>
    </row>
    <row r="996">
      <c r="B996" s="3"/>
      <c r="C996" s="6"/>
      <c r="D996" s="6"/>
      <c r="E996" s="6"/>
      <c r="F996" s="6"/>
    </row>
    <row r="997">
      <c r="B997" s="3"/>
      <c r="C997" s="6"/>
      <c r="D997" s="6"/>
      <c r="E997" s="6"/>
      <c r="F997" s="6"/>
    </row>
    <row r="998">
      <c r="B998" s="3"/>
      <c r="C998" s="6"/>
      <c r="D998" s="6"/>
      <c r="E998" s="6"/>
      <c r="F998" s="6"/>
    </row>
    <row r="999">
      <c r="B999" s="3"/>
      <c r="C999" s="6"/>
      <c r="D999" s="6"/>
      <c r="E999" s="6"/>
      <c r="F999" s="6"/>
    </row>
    <row r="1000">
      <c r="B1000" s="3"/>
      <c r="C1000" s="6"/>
      <c r="D1000" s="6"/>
      <c r="E1000" s="6"/>
      <c r="F1000" s="6"/>
    </row>
    <row r="1001">
      <c r="B1001" s="3"/>
      <c r="C1001" s="6"/>
      <c r="D1001" s="6"/>
      <c r="E1001" s="6"/>
      <c r="F1001" s="6"/>
    </row>
    <row r="1002">
      <c r="B1002" s="3"/>
      <c r="C1002" s="6"/>
      <c r="D1002" s="6"/>
      <c r="E1002" s="6"/>
      <c r="F1002" s="6"/>
    </row>
    <row r="1003">
      <c r="B1003" s="3"/>
      <c r="C1003" s="6"/>
      <c r="D1003" s="6"/>
      <c r="E1003" s="6"/>
      <c r="F1003" s="6"/>
    </row>
    <row r="1004">
      <c r="B1004" s="3"/>
      <c r="C1004" s="6"/>
      <c r="D1004" s="6"/>
      <c r="E1004" s="6"/>
      <c r="F1004" s="6"/>
    </row>
    <row r="1005">
      <c r="B1005" s="3"/>
      <c r="C1005" s="6"/>
      <c r="D1005" s="6"/>
      <c r="E1005" s="6"/>
      <c r="F1005" s="6"/>
    </row>
    <row r="1006">
      <c r="B1006" s="3"/>
      <c r="C1006" s="6"/>
      <c r="D1006" s="6"/>
      <c r="E1006" s="6"/>
      <c r="F1006" s="6"/>
    </row>
    <row r="1007">
      <c r="B1007" s="3"/>
      <c r="C1007" s="6"/>
      <c r="D1007" s="6"/>
      <c r="E1007" s="6"/>
      <c r="F1007" s="6"/>
    </row>
    <row r="1008">
      <c r="B1008" s="3"/>
      <c r="C1008" s="6"/>
      <c r="D1008" s="6"/>
      <c r="E1008" s="6"/>
      <c r="F1008" s="6"/>
    </row>
    <row r="1009">
      <c r="B1009" s="3"/>
      <c r="C1009" s="6"/>
      <c r="D1009" s="6"/>
      <c r="E1009" s="6"/>
      <c r="F1009" s="6"/>
    </row>
    <row r="1010">
      <c r="B1010" s="3"/>
      <c r="C1010" s="6"/>
      <c r="D1010" s="6"/>
      <c r="E1010" s="6"/>
      <c r="F1010" s="6"/>
    </row>
    <row r="1011">
      <c r="B1011" s="3"/>
      <c r="C1011" s="6"/>
      <c r="D1011" s="6"/>
      <c r="E1011" s="6"/>
      <c r="F1011" s="6"/>
    </row>
  </sheetData>
  <hyperlinks>
    <hyperlink r:id="rId1" location="gid=0" ref="B35"/>
    <hyperlink r:id="rId2" ref="B36"/>
    <hyperlink r:id="rId3" location="gid=441054899" ref="B37"/>
    <hyperlink r:id="rId4" location="gid=0" ref="B38"/>
    <hyperlink r:id="rId5" location="gid=2089831337" ref="B39"/>
  </hyperlinks>
  <drawing r:id="rId6"/>
  <tableParts count="2">
    <tablePart r:id="rId9"/>
    <tablePart r:id="rId10"/>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25"/>
    <col customWidth="1" min="6" max="6" width="14.38"/>
  </cols>
  <sheetData>
    <row r="1">
      <c r="B1" s="511"/>
      <c r="C1" s="513" t="s">
        <v>315</v>
      </c>
      <c r="D1" s="513" t="s">
        <v>316</v>
      </c>
      <c r="E1" s="513" t="s">
        <v>317</v>
      </c>
      <c r="F1" s="513" t="s">
        <v>318</v>
      </c>
    </row>
    <row r="2">
      <c r="B2" s="512" t="s">
        <v>257</v>
      </c>
      <c r="C2" s="512">
        <v>34638.0</v>
      </c>
      <c r="D2" s="511"/>
      <c r="E2" s="511"/>
      <c r="F2" s="511"/>
    </row>
    <row r="3">
      <c r="B3" s="512" t="s">
        <v>260</v>
      </c>
      <c r="C3" s="512">
        <v>41317.0</v>
      </c>
      <c r="D3" s="572">
        <f>C3/C2</f>
        <v>1.192822911</v>
      </c>
      <c r="E3" s="511"/>
      <c r="F3" s="511"/>
    </row>
    <row r="4">
      <c r="B4" s="512" t="s">
        <v>261</v>
      </c>
      <c r="C4" s="512">
        <v>4881.0</v>
      </c>
      <c r="D4" s="515">
        <f>C4/C2</f>
        <v>0.1409146025</v>
      </c>
      <c r="E4" s="515">
        <f>C4/C3</f>
        <v>0.1181353922</v>
      </c>
      <c r="F4" s="515"/>
    </row>
    <row r="5">
      <c r="B5" s="512" t="s">
        <v>266</v>
      </c>
      <c r="C5" s="512">
        <v>238.0</v>
      </c>
      <c r="D5" s="515">
        <f>C5/C2</f>
        <v>0.006871066459</v>
      </c>
      <c r="E5" s="515">
        <f>C5/C3</f>
        <v>0.00576034078</v>
      </c>
      <c r="F5" s="515">
        <f>C5/C4</f>
        <v>0.0487604999</v>
      </c>
    </row>
    <row r="6">
      <c r="B6" s="512" t="s">
        <v>267</v>
      </c>
      <c r="C6" s="549">
        <v>151.0</v>
      </c>
      <c r="D6" s="515">
        <f>C6/C2</f>
        <v>0.004359374098</v>
      </c>
      <c r="E6" s="515">
        <f>C6/C3</f>
        <v>0.003654669991</v>
      </c>
      <c r="F6" s="515">
        <f>C6/C4</f>
        <v>0.03093628355</v>
      </c>
      <c r="H6" s="585"/>
    </row>
    <row r="7">
      <c r="B7" s="512" t="s">
        <v>319</v>
      </c>
      <c r="C7" s="549">
        <v>0.0</v>
      </c>
      <c r="D7" s="515">
        <f>C7/C2</f>
        <v>0</v>
      </c>
      <c r="E7" s="515">
        <f>C7/C3</f>
        <v>0</v>
      </c>
      <c r="F7" s="515">
        <f>C7/C3</f>
        <v>0</v>
      </c>
      <c r="H7" s="585"/>
    </row>
    <row r="8">
      <c r="A8" s="33"/>
      <c r="B8" s="560" t="s">
        <v>320</v>
      </c>
      <c r="C8" s="561">
        <v>0.0</v>
      </c>
      <c r="D8" s="562"/>
      <c r="E8" s="562"/>
      <c r="F8" s="562"/>
      <c r="G8" s="33"/>
      <c r="H8" s="586"/>
      <c r="I8" s="33"/>
      <c r="J8" s="33"/>
      <c r="K8" s="33"/>
      <c r="L8" s="33"/>
      <c r="M8" s="33"/>
      <c r="N8" s="33"/>
      <c r="O8" s="33"/>
      <c r="P8" s="33"/>
      <c r="Q8" s="33"/>
      <c r="R8" s="33"/>
      <c r="S8" s="33"/>
      <c r="T8" s="33"/>
      <c r="U8" s="33"/>
      <c r="V8" s="33"/>
      <c r="W8" s="33"/>
      <c r="X8" s="33"/>
      <c r="Y8" s="33"/>
      <c r="Z8" s="33"/>
      <c r="AA8" s="33"/>
    </row>
    <row r="9">
      <c r="A9" s="33"/>
      <c r="B9" s="563" t="s">
        <v>269</v>
      </c>
      <c r="C9" s="564">
        <v>123.0</v>
      </c>
      <c r="D9" s="565">
        <f>C9/C3</f>
        <v>0.00297698284</v>
      </c>
      <c r="E9" s="565">
        <f>C9/C4</f>
        <v>0.02519975415</v>
      </c>
      <c r="F9" s="565">
        <f>C9/C5</f>
        <v>0.5168067227</v>
      </c>
      <c r="G9" s="33"/>
      <c r="H9" s="587"/>
      <c r="I9" s="33"/>
      <c r="J9" s="33"/>
      <c r="K9" s="33"/>
      <c r="L9" s="33"/>
      <c r="M9" s="33"/>
      <c r="N9" s="33"/>
      <c r="O9" s="33"/>
      <c r="P9" s="33"/>
      <c r="Q9" s="33"/>
      <c r="R9" s="33"/>
      <c r="S9" s="33"/>
      <c r="T9" s="33"/>
      <c r="U9" s="33"/>
      <c r="V9" s="33"/>
      <c r="W9" s="33"/>
      <c r="X9" s="33"/>
      <c r="Y9" s="33"/>
      <c r="Z9" s="33"/>
      <c r="AA9" s="33"/>
    </row>
    <row r="10">
      <c r="A10" s="33"/>
      <c r="B10" s="560" t="s">
        <v>321</v>
      </c>
      <c r="C10" s="561">
        <v>0.8145695364238411</v>
      </c>
      <c r="D10" s="562"/>
      <c r="E10" s="562"/>
      <c r="F10" s="562"/>
      <c r="G10" s="33"/>
      <c r="H10" s="586"/>
      <c r="I10" s="33"/>
      <c r="J10" s="33"/>
      <c r="K10" s="33"/>
      <c r="L10" s="33"/>
      <c r="M10" s="33"/>
      <c r="N10" s="33"/>
      <c r="O10" s="33"/>
      <c r="P10" s="33"/>
      <c r="Q10" s="33"/>
      <c r="R10" s="33"/>
      <c r="S10" s="33"/>
      <c r="T10" s="33"/>
      <c r="U10" s="33"/>
      <c r="V10" s="33"/>
      <c r="W10" s="33"/>
      <c r="X10" s="33"/>
      <c r="Y10" s="33"/>
      <c r="Z10" s="33"/>
      <c r="AA10" s="33"/>
    </row>
    <row r="11">
      <c r="A11" s="33"/>
      <c r="B11" s="512" t="s">
        <v>322</v>
      </c>
      <c r="C11" s="549">
        <v>5.0</v>
      </c>
      <c r="D11" s="515">
        <f>C11/C2</f>
        <v>0.0001443501357</v>
      </c>
      <c r="E11" s="515">
        <f>C11/C3</f>
        <v>0.0001210155626</v>
      </c>
      <c r="F11" s="515">
        <f>C11/C4</f>
        <v>0.00102438025</v>
      </c>
      <c r="G11" s="33"/>
      <c r="H11" s="588"/>
      <c r="I11" s="33"/>
      <c r="J11" s="33"/>
      <c r="K11" s="33"/>
      <c r="L11" s="33"/>
      <c r="M11" s="33"/>
      <c r="N11" s="33"/>
      <c r="O11" s="33"/>
      <c r="P11" s="33"/>
      <c r="Q11" s="33"/>
      <c r="R11" s="33"/>
      <c r="S11" s="33"/>
      <c r="T11" s="33"/>
      <c r="U11" s="33"/>
      <c r="V11" s="33"/>
      <c r="W11" s="33"/>
      <c r="X11" s="33"/>
      <c r="Y11" s="33"/>
      <c r="Z11" s="33"/>
      <c r="AA11" s="33"/>
    </row>
    <row r="12">
      <c r="A12" s="33"/>
      <c r="B12" s="512" t="s">
        <v>323</v>
      </c>
      <c r="C12" s="520">
        <v>0.033112582781456956</v>
      </c>
      <c r="D12" s="515"/>
      <c r="E12" s="515"/>
      <c r="F12" s="515"/>
      <c r="G12" s="33"/>
      <c r="H12" s="589"/>
      <c r="I12" s="33"/>
      <c r="J12" s="33"/>
      <c r="K12" s="33"/>
      <c r="L12" s="33"/>
      <c r="M12" s="33"/>
      <c r="N12" s="33"/>
      <c r="O12" s="33"/>
      <c r="P12" s="33"/>
      <c r="Q12" s="33"/>
      <c r="R12" s="33"/>
      <c r="S12" s="33"/>
      <c r="T12" s="33"/>
      <c r="U12" s="33"/>
      <c r="V12" s="33"/>
      <c r="W12" s="33"/>
      <c r="X12" s="33"/>
      <c r="Y12" s="33"/>
      <c r="Z12" s="33"/>
      <c r="AA12" s="33"/>
    </row>
    <row r="13">
      <c r="A13" s="33"/>
      <c r="B13" s="512" t="s">
        <v>324</v>
      </c>
      <c r="C13" s="549">
        <v>128.0</v>
      </c>
      <c r="D13" s="515">
        <f>C13/C2</f>
        <v>0.003695363474</v>
      </c>
      <c r="E13" s="515">
        <f>C13/C3</f>
        <v>0.003097998403</v>
      </c>
      <c r="F13" s="515">
        <f>C11/C4</f>
        <v>0.00102438025</v>
      </c>
      <c r="G13" s="33"/>
      <c r="H13" s="588"/>
      <c r="I13" s="33"/>
      <c r="J13" s="33"/>
      <c r="K13" s="33"/>
      <c r="L13" s="33"/>
      <c r="M13" s="33"/>
      <c r="N13" s="33"/>
      <c r="O13" s="33"/>
      <c r="P13" s="33"/>
      <c r="Q13" s="33"/>
      <c r="R13" s="33"/>
      <c r="S13" s="33"/>
      <c r="T13" s="33"/>
      <c r="U13" s="33"/>
      <c r="V13" s="33"/>
      <c r="W13" s="33"/>
      <c r="X13" s="33"/>
      <c r="Y13" s="33"/>
      <c r="Z13" s="33"/>
      <c r="AA13" s="33"/>
    </row>
    <row r="14">
      <c r="A14" s="33"/>
      <c r="B14" s="512" t="s">
        <v>325</v>
      </c>
      <c r="C14" s="520">
        <v>0.847682119205298</v>
      </c>
      <c r="D14" s="515"/>
      <c r="E14" s="515"/>
      <c r="F14" s="515"/>
      <c r="G14" s="33"/>
      <c r="H14" s="589"/>
      <c r="I14" s="33"/>
      <c r="J14" s="33"/>
      <c r="K14" s="33"/>
      <c r="L14" s="33"/>
      <c r="M14" s="33"/>
      <c r="N14" s="33"/>
      <c r="O14" s="33"/>
      <c r="P14" s="33"/>
      <c r="Q14" s="33"/>
      <c r="R14" s="33"/>
      <c r="S14" s="33"/>
      <c r="T14" s="33"/>
      <c r="U14" s="33"/>
      <c r="V14" s="33"/>
      <c r="W14" s="33"/>
      <c r="X14" s="33"/>
      <c r="Y14" s="33"/>
      <c r="Z14" s="33"/>
      <c r="AA14" s="33"/>
    </row>
    <row r="15">
      <c r="B15" s="512" t="s">
        <v>273</v>
      </c>
      <c r="C15" s="512">
        <v>75.0</v>
      </c>
      <c r="D15" s="511"/>
      <c r="E15" s="511"/>
      <c r="F15" s="511"/>
    </row>
    <row r="16">
      <c r="B16" s="512" t="s">
        <v>282</v>
      </c>
      <c r="C16" s="549">
        <v>155.0</v>
      </c>
      <c r="D16" s="511"/>
      <c r="E16" s="511"/>
      <c r="F16" s="511"/>
      <c r="H16" s="585"/>
    </row>
    <row r="17">
      <c r="B17" s="512" t="s">
        <v>283</v>
      </c>
      <c r="C17" s="512">
        <v>306.0</v>
      </c>
      <c r="D17" s="511"/>
      <c r="E17" s="511"/>
      <c r="F17" s="511"/>
    </row>
    <row r="18">
      <c r="B18" s="512" t="s">
        <v>291</v>
      </c>
      <c r="C18" s="522">
        <v>2.401777358E9</v>
      </c>
      <c r="D18" s="523"/>
      <c r="E18" s="523"/>
      <c r="F18" s="523"/>
      <c r="H18" s="557"/>
    </row>
    <row r="19">
      <c r="B19" s="512" t="s">
        <v>292</v>
      </c>
      <c r="C19" s="522">
        <v>2.337436763E9</v>
      </c>
      <c r="D19" s="523"/>
      <c r="E19" s="523"/>
      <c r="F19" s="523"/>
      <c r="H19" s="557"/>
    </row>
    <row r="20">
      <c r="B20" s="512" t="s">
        <v>293</v>
      </c>
      <c r="C20" s="524">
        <v>0.9732112575773562</v>
      </c>
      <c r="D20" s="511"/>
      <c r="E20" s="511"/>
      <c r="F20" s="511"/>
      <c r="H20" s="590"/>
    </row>
    <row r="21">
      <c r="B21" s="512" t="s">
        <v>294</v>
      </c>
      <c r="C21" s="522">
        <v>6.4340595E7</v>
      </c>
      <c r="D21" s="511"/>
      <c r="E21" s="511"/>
      <c r="F21" s="511"/>
      <c r="H21" s="557"/>
    </row>
    <row r="22">
      <c r="B22" s="512" t="s">
        <v>295</v>
      </c>
      <c r="C22" s="522">
        <v>210263.38235294117</v>
      </c>
      <c r="D22" s="511"/>
      <c r="E22" s="511"/>
      <c r="F22" s="511"/>
      <c r="H22" s="557"/>
    </row>
    <row r="23">
      <c r="B23" s="512" t="s">
        <v>296</v>
      </c>
      <c r="C23" s="522">
        <v>9.110641042E7</v>
      </c>
      <c r="D23" s="511"/>
      <c r="E23" s="511"/>
      <c r="F23" s="511"/>
      <c r="H23" s="557"/>
    </row>
    <row r="24">
      <c r="B24" s="512" t="s">
        <v>297</v>
      </c>
      <c r="C24" s="525">
        <v>8.276346667999999E7</v>
      </c>
      <c r="D24" s="511"/>
      <c r="E24" s="511"/>
      <c r="F24" s="511"/>
      <c r="H24" s="527"/>
    </row>
    <row r="25">
      <c r="B25" s="512" t="s">
        <v>327</v>
      </c>
      <c r="C25" s="524">
        <v>0.9084263807394113</v>
      </c>
      <c r="D25" s="566" t="s">
        <v>328</v>
      </c>
      <c r="E25" s="567">
        <v>0.936</v>
      </c>
      <c r="F25" s="511"/>
      <c r="H25" s="590"/>
    </row>
    <row r="26">
      <c r="B26" s="512" t="s">
        <v>299</v>
      </c>
      <c r="C26" s="522">
        <v>3.3439172E7</v>
      </c>
      <c r="D26" s="512" t="s">
        <v>329</v>
      </c>
      <c r="E26" s="525">
        <v>3605000.0</v>
      </c>
      <c r="F26" s="511"/>
      <c r="H26" s="557"/>
    </row>
    <row r="27">
      <c r="B27" s="512" t="s">
        <v>300</v>
      </c>
      <c r="C27" s="525">
        <v>4.932429467999999E7</v>
      </c>
      <c r="D27" s="512" t="s">
        <v>331</v>
      </c>
      <c r="E27" s="504">
        <f>E26/C21</f>
        <v>0.05602994501</v>
      </c>
      <c r="F27" s="511"/>
      <c r="H27" s="527"/>
    </row>
    <row r="28">
      <c r="B28" s="512" t="s">
        <v>301</v>
      </c>
      <c r="C28" s="522">
        <v>161190.50549019605</v>
      </c>
      <c r="D28" s="512" t="s">
        <v>332</v>
      </c>
      <c r="E28" s="515">
        <f>E26/C27</f>
        <v>0.07308771516</v>
      </c>
      <c r="F28" s="511"/>
      <c r="H28" s="557"/>
    </row>
    <row r="29">
      <c r="B29" s="512" t="s">
        <v>302</v>
      </c>
      <c r="C29" s="525">
        <v>5577475.0</v>
      </c>
      <c r="D29" s="512" t="s">
        <v>333</v>
      </c>
      <c r="E29" s="515">
        <f>E26/C18</f>
        <v>0.001500971765</v>
      </c>
      <c r="F29" s="511"/>
      <c r="H29" s="527"/>
    </row>
    <row r="30">
      <c r="B30" s="512" t="s">
        <v>303</v>
      </c>
      <c r="C30" s="525">
        <v>4.374681967999999E7</v>
      </c>
      <c r="D30" s="511"/>
      <c r="E30" s="511"/>
      <c r="F30" s="511"/>
      <c r="H30" s="527"/>
    </row>
    <row r="31">
      <c r="A31" s="33"/>
      <c r="B31" s="591" t="s">
        <v>304</v>
      </c>
      <c r="C31" s="592">
        <v>9702782.8</v>
      </c>
      <c r="D31" s="591"/>
      <c r="E31" s="591"/>
      <c r="F31" s="591"/>
      <c r="G31" s="33"/>
      <c r="H31" s="593"/>
      <c r="I31" s="33"/>
      <c r="J31" s="33"/>
      <c r="K31" s="33"/>
      <c r="L31" s="33"/>
      <c r="M31" s="33"/>
      <c r="N31" s="33"/>
      <c r="O31" s="33"/>
      <c r="P31" s="33"/>
      <c r="Q31" s="33"/>
      <c r="R31" s="33"/>
      <c r="S31" s="33"/>
      <c r="T31" s="33"/>
      <c r="U31" s="33"/>
      <c r="V31" s="33"/>
      <c r="W31" s="33"/>
      <c r="X31" s="33"/>
      <c r="Y31" s="33"/>
      <c r="Z31" s="33"/>
      <c r="AA31" s="33"/>
    </row>
    <row r="32">
      <c r="A32" s="33"/>
      <c r="B32" s="594" t="s">
        <v>305</v>
      </c>
      <c r="C32" s="592">
        <v>1.091563065E7</v>
      </c>
      <c r="D32" s="594"/>
      <c r="E32" s="594"/>
      <c r="F32" s="594"/>
      <c r="G32" s="33"/>
      <c r="H32" s="593"/>
      <c r="I32" s="33"/>
      <c r="J32" s="33"/>
      <c r="K32" s="33"/>
      <c r="L32" s="33"/>
      <c r="M32" s="33"/>
      <c r="N32" s="33"/>
      <c r="O32" s="33"/>
      <c r="P32" s="33"/>
      <c r="Q32" s="33"/>
      <c r="R32" s="33"/>
      <c r="S32" s="33"/>
      <c r="T32" s="33"/>
      <c r="U32" s="33"/>
      <c r="V32" s="33"/>
      <c r="W32" s="33"/>
      <c r="X32" s="33"/>
      <c r="Y32" s="33"/>
      <c r="Z32" s="33"/>
      <c r="AA32" s="33"/>
    </row>
    <row r="33">
      <c r="B33" s="532" t="s">
        <v>343</v>
      </c>
      <c r="C33" s="534">
        <v>287744.0</v>
      </c>
      <c r="D33" s="533"/>
      <c r="E33" s="533"/>
      <c r="F33" s="533"/>
      <c r="H33" s="557"/>
    </row>
    <row r="34">
      <c r="B34" s="547" t="s">
        <v>131</v>
      </c>
      <c r="C34" s="534">
        <v>0.0</v>
      </c>
      <c r="D34" s="533"/>
      <c r="E34" s="533"/>
      <c r="F34" s="533"/>
      <c r="H34" s="557"/>
    </row>
    <row r="35">
      <c r="B35" s="536" t="s">
        <v>135</v>
      </c>
      <c r="C35" s="534">
        <v>3842181.0</v>
      </c>
      <c r="D35" s="537"/>
      <c r="E35" s="537"/>
      <c r="F35" s="537"/>
      <c r="H35" s="557"/>
    </row>
    <row r="36">
      <c r="B36" s="538" t="s">
        <v>129</v>
      </c>
      <c r="C36" s="522">
        <v>921922.56</v>
      </c>
      <c r="D36" s="511"/>
      <c r="E36" s="511"/>
      <c r="F36" s="511"/>
      <c r="H36" s="557"/>
    </row>
    <row r="37">
      <c r="B37" s="538" t="s">
        <v>127</v>
      </c>
      <c r="C37" s="522">
        <v>2186955.4064</v>
      </c>
      <c r="D37" s="511"/>
      <c r="E37" s="511"/>
      <c r="F37" s="511"/>
      <c r="H37" s="557"/>
    </row>
    <row r="38">
      <c r="B38" s="538" t="s">
        <v>336</v>
      </c>
      <c r="C38" s="522">
        <v>3361457.0</v>
      </c>
      <c r="D38" s="511"/>
      <c r="E38" s="511"/>
      <c r="F38" s="511"/>
      <c r="H38" s="557"/>
    </row>
    <row r="39">
      <c r="B39" s="538" t="s">
        <v>337</v>
      </c>
      <c r="C39" s="522">
        <v>803271.936</v>
      </c>
      <c r="D39" s="511"/>
      <c r="E39" s="511"/>
      <c r="F39" s="511"/>
      <c r="H39" s="557"/>
    </row>
    <row r="40">
      <c r="B40" s="512" t="s">
        <v>307</v>
      </c>
      <c r="C40" s="522">
        <v>1.1403531902400002E7</v>
      </c>
      <c r="D40" s="511"/>
      <c r="E40" s="511"/>
      <c r="F40" s="511"/>
      <c r="H40" s="557"/>
    </row>
    <row r="41">
      <c r="B41" s="532" t="s">
        <v>311</v>
      </c>
      <c r="C41" s="534">
        <v>1.3341326350000001E7</v>
      </c>
      <c r="D41" s="533"/>
      <c r="E41" s="533"/>
      <c r="F41" s="533"/>
      <c r="H41" s="557"/>
    </row>
    <row r="42">
      <c r="B42" s="532" t="s">
        <v>338</v>
      </c>
      <c r="C42" s="540">
        <v>-1616452.0224000067</v>
      </c>
      <c r="D42" s="533"/>
      <c r="E42" s="533"/>
      <c r="F42" s="533"/>
      <c r="H42" s="551"/>
    </row>
    <row r="43">
      <c r="B43" s="582"/>
      <c r="C43" s="583"/>
      <c r="D43" s="6"/>
      <c r="E43" s="6"/>
      <c r="F43" s="6"/>
    </row>
    <row r="44">
      <c r="A44" s="569"/>
      <c r="B44" s="528"/>
      <c r="C44" s="578"/>
      <c r="D44" s="6"/>
      <c r="E44" s="6"/>
      <c r="F44" s="6"/>
      <c r="H44" s="552"/>
    </row>
    <row r="45">
      <c r="A45" s="569"/>
      <c r="B45" s="528"/>
      <c r="C45" s="528"/>
      <c r="D45" s="6"/>
      <c r="E45" s="6"/>
      <c r="F45" s="6"/>
    </row>
    <row r="46">
      <c r="B46" s="528"/>
      <c r="C46" s="578"/>
      <c r="D46" s="6"/>
      <c r="E46" s="6"/>
      <c r="F46" s="6"/>
      <c r="H46" s="552"/>
    </row>
    <row r="47">
      <c r="A47" s="569"/>
      <c r="B47" s="528"/>
      <c r="C47" s="578"/>
      <c r="D47" s="6"/>
      <c r="E47" s="6"/>
      <c r="F47" s="6"/>
      <c r="H47" s="552"/>
    </row>
    <row r="48">
      <c r="A48" s="569"/>
      <c r="B48" s="528"/>
      <c r="C48" s="578"/>
      <c r="D48" s="6"/>
      <c r="E48" s="6"/>
      <c r="F48" s="6"/>
      <c r="H48" s="552"/>
    </row>
    <row r="49">
      <c r="B49" s="3"/>
      <c r="C49" s="6"/>
      <c r="D49" s="6"/>
      <c r="E49" s="6"/>
      <c r="F49" s="6"/>
    </row>
    <row r="50">
      <c r="B50" s="3"/>
      <c r="C50" s="6"/>
      <c r="D50" s="6"/>
      <c r="E50" s="6"/>
      <c r="F50" s="6"/>
    </row>
    <row r="51">
      <c r="B51" s="3"/>
      <c r="C51" s="6"/>
      <c r="D51" s="6"/>
      <c r="E51" s="6"/>
      <c r="F51" s="6"/>
    </row>
    <row r="52">
      <c r="B52" s="3"/>
      <c r="C52" s="6"/>
      <c r="D52" s="6"/>
      <c r="E52" s="6"/>
      <c r="F52" s="6"/>
    </row>
    <row r="53">
      <c r="B53" s="3"/>
      <c r="C53" s="6"/>
      <c r="D53" s="6"/>
      <c r="E53" s="6"/>
      <c r="F53" s="6"/>
    </row>
    <row r="54">
      <c r="B54" s="3"/>
      <c r="C54" s="6"/>
      <c r="D54" s="6"/>
      <c r="E54" s="6"/>
      <c r="F54" s="6"/>
    </row>
    <row r="55">
      <c r="B55" s="3"/>
      <c r="C55" s="6"/>
      <c r="D55" s="6"/>
      <c r="E55" s="6"/>
      <c r="F55" s="6"/>
    </row>
    <row r="56">
      <c r="B56" s="3"/>
      <c r="C56" s="6"/>
      <c r="D56" s="6"/>
      <c r="E56" s="6"/>
      <c r="F56" s="6"/>
    </row>
    <row r="57">
      <c r="B57" s="3"/>
      <c r="C57" s="6"/>
      <c r="D57" s="6"/>
      <c r="E57" s="6"/>
      <c r="F57" s="6"/>
    </row>
    <row r="58">
      <c r="B58" s="3"/>
      <c r="C58" s="6"/>
      <c r="D58" s="6"/>
      <c r="E58" s="6"/>
      <c r="F58" s="6"/>
    </row>
    <row r="59">
      <c r="B59" s="3"/>
      <c r="C59" s="6"/>
      <c r="D59" s="6"/>
      <c r="E59" s="6"/>
      <c r="F59" s="6"/>
    </row>
    <row r="60">
      <c r="B60" s="3"/>
      <c r="C60" s="6"/>
      <c r="D60" s="6"/>
      <c r="E60" s="6"/>
      <c r="F60" s="6"/>
    </row>
    <row r="61">
      <c r="B61" s="3"/>
      <c r="C61" s="6"/>
      <c r="D61" s="6"/>
      <c r="E61" s="6"/>
      <c r="F61" s="6"/>
    </row>
    <row r="62">
      <c r="B62" s="3"/>
      <c r="C62" s="6"/>
      <c r="D62" s="6"/>
      <c r="E62" s="6"/>
      <c r="F62" s="6"/>
    </row>
    <row r="63">
      <c r="B63" s="3"/>
      <c r="C63" s="6"/>
      <c r="D63" s="6"/>
      <c r="E63" s="6"/>
      <c r="F63" s="6"/>
    </row>
    <row r="64">
      <c r="B64" s="3"/>
      <c r="C64" s="6"/>
      <c r="D64" s="6"/>
      <c r="E64" s="6"/>
      <c r="F64" s="6"/>
    </row>
    <row r="65">
      <c r="B65" s="3"/>
      <c r="C65" s="6"/>
      <c r="D65" s="6"/>
      <c r="E65" s="6"/>
      <c r="F65" s="6"/>
    </row>
    <row r="66">
      <c r="B66" s="3"/>
      <c r="C66" s="6"/>
      <c r="D66" s="6"/>
      <c r="E66" s="6"/>
      <c r="F66" s="6"/>
    </row>
    <row r="67">
      <c r="B67" s="3"/>
      <c r="C67" s="6"/>
      <c r="D67" s="6"/>
      <c r="E67" s="6"/>
      <c r="F67" s="6"/>
    </row>
    <row r="68">
      <c r="B68" s="3"/>
      <c r="C68" s="6"/>
      <c r="D68" s="6"/>
      <c r="E68" s="6"/>
      <c r="F68" s="6"/>
    </row>
    <row r="69">
      <c r="B69" s="3"/>
      <c r="C69" s="6"/>
      <c r="D69" s="6"/>
      <c r="E69" s="6"/>
      <c r="F69" s="6"/>
    </row>
    <row r="70">
      <c r="B70" s="3"/>
      <c r="C70" s="6"/>
      <c r="D70" s="6"/>
      <c r="E70" s="6"/>
      <c r="F70" s="6"/>
    </row>
    <row r="71">
      <c r="B71" s="3"/>
      <c r="C71" s="6"/>
      <c r="D71" s="6"/>
      <c r="E71" s="6"/>
      <c r="F71" s="6"/>
    </row>
    <row r="72">
      <c r="B72" s="3"/>
      <c r="C72" s="6"/>
      <c r="D72" s="6"/>
      <c r="E72" s="6"/>
      <c r="F72" s="6"/>
    </row>
    <row r="73">
      <c r="B73" s="3"/>
      <c r="C73" s="6"/>
      <c r="D73" s="6"/>
      <c r="E73" s="6"/>
      <c r="F73" s="6"/>
    </row>
    <row r="74">
      <c r="B74" s="3"/>
      <c r="C74" s="6"/>
      <c r="D74" s="6"/>
      <c r="E74" s="6"/>
      <c r="F74" s="6"/>
    </row>
    <row r="75">
      <c r="B75" s="3"/>
      <c r="C75" s="6"/>
      <c r="D75" s="6"/>
      <c r="E75" s="6"/>
      <c r="F75" s="6"/>
    </row>
    <row r="76">
      <c r="B76" s="3"/>
      <c r="C76" s="6"/>
      <c r="D76" s="6"/>
      <c r="E76" s="6"/>
      <c r="F76" s="6"/>
    </row>
    <row r="77">
      <c r="B77" s="3"/>
      <c r="C77" s="6"/>
      <c r="D77" s="6"/>
      <c r="E77" s="6"/>
      <c r="F77" s="6"/>
    </row>
    <row r="78">
      <c r="B78" s="3"/>
      <c r="C78" s="6"/>
      <c r="D78" s="6"/>
      <c r="E78" s="6"/>
      <c r="F78" s="6"/>
    </row>
    <row r="79">
      <c r="B79" s="3"/>
      <c r="C79" s="6"/>
      <c r="D79" s="6"/>
      <c r="E79" s="6"/>
      <c r="F79" s="6"/>
    </row>
    <row r="80">
      <c r="B80" s="3"/>
      <c r="C80" s="6"/>
      <c r="D80" s="6"/>
      <c r="E80" s="6"/>
      <c r="F80" s="6"/>
    </row>
    <row r="81">
      <c r="B81" s="3"/>
      <c r="C81" s="6"/>
      <c r="D81" s="6"/>
      <c r="E81" s="6"/>
      <c r="F81" s="6"/>
    </row>
    <row r="82">
      <c r="B82" s="3"/>
      <c r="C82" s="6"/>
      <c r="D82" s="6"/>
      <c r="E82" s="6"/>
      <c r="F82" s="6"/>
    </row>
    <row r="83">
      <c r="B83" s="3"/>
      <c r="C83" s="6"/>
      <c r="D83" s="6"/>
      <c r="E83" s="6"/>
      <c r="F83" s="6"/>
    </row>
    <row r="84">
      <c r="B84" s="3"/>
      <c r="C84" s="6"/>
      <c r="D84" s="6"/>
      <c r="E84" s="6"/>
      <c r="F84" s="6"/>
    </row>
    <row r="85">
      <c r="B85" s="3"/>
      <c r="C85" s="6"/>
      <c r="D85" s="6"/>
      <c r="E85" s="6"/>
      <c r="F85" s="6"/>
    </row>
    <row r="86">
      <c r="B86" s="3"/>
      <c r="C86" s="6"/>
      <c r="D86" s="6"/>
      <c r="E86" s="6"/>
      <c r="F86" s="6"/>
    </row>
    <row r="87">
      <c r="B87" s="3"/>
      <c r="C87" s="6"/>
      <c r="D87" s="6"/>
      <c r="E87" s="6"/>
      <c r="F87" s="6"/>
    </row>
    <row r="88">
      <c r="B88" s="3"/>
      <c r="C88" s="6"/>
      <c r="D88" s="6"/>
      <c r="E88" s="6"/>
      <c r="F88" s="6"/>
    </row>
    <row r="89">
      <c r="B89" s="3"/>
      <c r="C89" s="6"/>
      <c r="D89" s="6"/>
      <c r="E89" s="6"/>
      <c r="F89" s="6"/>
    </row>
    <row r="90">
      <c r="B90" s="3"/>
      <c r="C90" s="6"/>
      <c r="D90" s="6"/>
      <c r="E90" s="6"/>
      <c r="F90" s="6"/>
    </row>
    <row r="91">
      <c r="B91" s="3"/>
      <c r="C91" s="6"/>
      <c r="D91" s="6"/>
      <c r="E91" s="6"/>
      <c r="F91" s="6"/>
    </row>
    <row r="92">
      <c r="B92" s="3"/>
      <c r="C92" s="6"/>
      <c r="D92" s="6"/>
      <c r="E92" s="6"/>
      <c r="F92" s="6"/>
    </row>
    <row r="93">
      <c r="B93" s="3"/>
      <c r="C93" s="6"/>
      <c r="D93" s="6"/>
      <c r="E93" s="6"/>
      <c r="F93" s="6"/>
    </row>
    <row r="94">
      <c r="B94" s="3"/>
      <c r="C94" s="6"/>
      <c r="D94" s="6"/>
      <c r="E94" s="6"/>
      <c r="F94" s="6"/>
    </row>
    <row r="95">
      <c r="B95" s="3"/>
      <c r="C95" s="6"/>
      <c r="D95" s="6"/>
      <c r="E95" s="6"/>
      <c r="F95" s="6"/>
    </row>
    <row r="96">
      <c r="B96" s="3"/>
      <c r="C96" s="6"/>
      <c r="D96" s="6"/>
      <c r="E96" s="6"/>
      <c r="F96" s="6"/>
    </row>
    <row r="97">
      <c r="B97" s="3"/>
      <c r="C97" s="6"/>
      <c r="D97" s="6"/>
      <c r="E97" s="6"/>
      <c r="F97" s="6"/>
    </row>
    <row r="98">
      <c r="B98" s="3"/>
      <c r="C98" s="6"/>
      <c r="D98" s="6"/>
      <c r="E98" s="6"/>
      <c r="F98" s="6"/>
    </row>
    <row r="99">
      <c r="B99" s="3"/>
      <c r="C99" s="6"/>
      <c r="D99" s="6"/>
      <c r="E99" s="6"/>
      <c r="F99" s="6"/>
    </row>
    <row r="100">
      <c r="B100" s="3"/>
      <c r="C100" s="6"/>
      <c r="D100" s="6"/>
      <c r="E100" s="6"/>
      <c r="F100" s="6"/>
    </row>
    <row r="101">
      <c r="B101" s="3"/>
      <c r="C101" s="6"/>
      <c r="D101" s="6"/>
      <c r="E101" s="6"/>
      <c r="F101" s="6"/>
    </row>
    <row r="102">
      <c r="B102" s="3"/>
      <c r="C102" s="6"/>
      <c r="D102" s="6"/>
      <c r="E102" s="6"/>
      <c r="F102" s="6"/>
    </row>
    <row r="103">
      <c r="B103" s="3"/>
      <c r="C103" s="6"/>
      <c r="D103" s="6"/>
      <c r="E103" s="6"/>
      <c r="F103" s="6"/>
    </row>
    <row r="104">
      <c r="B104" s="3"/>
      <c r="C104" s="6"/>
      <c r="D104" s="6"/>
      <c r="E104" s="6"/>
      <c r="F104" s="6"/>
    </row>
    <row r="105">
      <c r="B105" s="3"/>
      <c r="C105" s="6"/>
      <c r="D105" s="6"/>
      <c r="E105" s="6"/>
      <c r="F105" s="6"/>
    </row>
    <row r="106">
      <c r="B106" s="3"/>
      <c r="C106" s="6"/>
      <c r="D106" s="6"/>
      <c r="E106" s="6"/>
      <c r="F106" s="6"/>
    </row>
    <row r="107">
      <c r="B107" s="3"/>
      <c r="C107" s="6"/>
      <c r="D107" s="6"/>
      <c r="E107" s="6"/>
      <c r="F107" s="6"/>
    </row>
    <row r="108">
      <c r="B108" s="3"/>
      <c r="C108" s="6"/>
      <c r="D108" s="6"/>
      <c r="E108" s="6"/>
      <c r="F108" s="6"/>
    </row>
    <row r="109">
      <c r="B109" s="3"/>
      <c r="C109" s="6"/>
      <c r="D109" s="6"/>
      <c r="E109" s="6"/>
      <c r="F109" s="6"/>
    </row>
    <row r="110">
      <c r="B110" s="3"/>
      <c r="C110" s="6"/>
      <c r="D110" s="6"/>
      <c r="E110" s="6"/>
      <c r="F110" s="6"/>
    </row>
    <row r="111">
      <c r="B111" s="3"/>
      <c r="C111" s="6"/>
      <c r="D111" s="6"/>
      <c r="E111" s="6"/>
      <c r="F111" s="6"/>
    </row>
    <row r="112">
      <c r="B112" s="3"/>
      <c r="C112" s="6"/>
      <c r="D112" s="6"/>
      <c r="E112" s="6"/>
      <c r="F112" s="6"/>
    </row>
    <row r="113">
      <c r="B113" s="3"/>
      <c r="C113" s="6"/>
      <c r="D113" s="6"/>
      <c r="E113" s="6"/>
      <c r="F113" s="6"/>
    </row>
    <row r="114">
      <c r="B114" s="3"/>
      <c r="C114" s="6"/>
      <c r="D114" s="6"/>
      <c r="E114" s="6"/>
      <c r="F114" s="6"/>
    </row>
    <row r="115">
      <c r="B115" s="3"/>
      <c r="C115" s="6"/>
      <c r="D115" s="6"/>
      <c r="E115" s="6"/>
      <c r="F115" s="6"/>
    </row>
    <row r="116">
      <c r="B116" s="3"/>
      <c r="C116" s="6"/>
      <c r="D116" s="6"/>
      <c r="E116" s="6"/>
      <c r="F116" s="6"/>
    </row>
    <row r="117">
      <c r="B117" s="3"/>
      <c r="C117" s="6"/>
      <c r="D117" s="6"/>
      <c r="E117" s="6"/>
      <c r="F117" s="6"/>
    </row>
    <row r="118">
      <c r="B118" s="3"/>
      <c r="C118" s="6"/>
      <c r="D118" s="6"/>
      <c r="E118" s="6"/>
      <c r="F118" s="6"/>
    </row>
    <row r="119">
      <c r="B119" s="3"/>
      <c r="C119" s="6"/>
      <c r="D119" s="6"/>
      <c r="E119" s="6"/>
      <c r="F119" s="6"/>
    </row>
    <row r="120">
      <c r="B120" s="3"/>
      <c r="C120" s="6"/>
      <c r="D120" s="6"/>
      <c r="E120" s="6"/>
      <c r="F120" s="6"/>
    </row>
    <row r="121">
      <c r="B121" s="3"/>
      <c r="C121" s="6"/>
      <c r="D121" s="6"/>
      <c r="E121" s="6"/>
      <c r="F121" s="6"/>
    </row>
    <row r="122">
      <c r="B122" s="3"/>
      <c r="C122" s="6"/>
      <c r="D122" s="6"/>
      <c r="E122" s="6"/>
      <c r="F122" s="6"/>
    </row>
    <row r="123">
      <c r="B123" s="3"/>
      <c r="C123" s="6"/>
      <c r="D123" s="6"/>
      <c r="E123" s="6"/>
      <c r="F123" s="6"/>
    </row>
    <row r="124">
      <c r="B124" s="3"/>
      <c r="C124" s="6"/>
      <c r="D124" s="6"/>
      <c r="E124" s="6"/>
      <c r="F124" s="6"/>
    </row>
    <row r="125">
      <c r="B125" s="3"/>
      <c r="C125" s="6"/>
      <c r="D125" s="6"/>
      <c r="E125" s="6"/>
      <c r="F125" s="6"/>
    </row>
    <row r="126">
      <c r="B126" s="3"/>
      <c r="C126" s="6"/>
      <c r="D126" s="6"/>
      <c r="E126" s="6"/>
      <c r="F126" s="6"/>
    </row>
    <row r="127">
      <c r="B127" s="3"/>
      <c r="C127" s="6"/>
      <c r="D127" s="6"/>
      <c r="E127" s="6"/>
      <c r="F127" s="6"/>
    </row>
    <row r="128">
      <c r="B128" s="3"/>
      <c r="C128" s="6"/>
      <c r="D128" s="6"/>
      <c r="E128" s="6"/>
      <c r="F128" s="6"/>
    </row>
    <row r="129">
      <c r="B129" s="3"/>
      <c r="C129" s="6"/>
      <c r="D129" s="6"/>
      <c r="E129" s="6"/>
      <c r="F129" s="6"/>
    </row>
    <row r="130">
      <c r="B130" s="3"/>
      <c r="C130" s="6"/>
      <c r="D130" s="6"/>
      <c r="E130" s="6"/>
      <c r="F130" s="6"/>
    </row>
    <row r="131">
      <c r="B131" s="3"/>
      <c r="C131" s="6"/>
      <c r="D131" s="6"/>
      <c r="E131" s="6"/>
      <c r="F131" s="6"/>
    </row>
    <row r="132">
      <c r="B132" s="3"/>
      <c r="C132" s="6"/>
      <c r="D132" s="6"/>
      <c r="E132" s="6"/>
      <c r="F132" s="6"/>
    </row>
    <row r="133">
      <c r="B133" s="3"/>
      <c r="C133" s="6"/>
      <c r="D133" s="6"/>
      <c r="E133" s="6"/>
      <c r="F133" s="6"/>
    </row>
    <row r="134">
      <c r="B134" s="3"/>
      <c r="C134" s="6"/>
      <c r="D134" s="6"/>
      <c r="E134" s="6"/>
      <c r="F134" s="6"/>
    </row>
    <row r="135">
      <c r="B135" s="3"/>
      <c r="C135" s="6"/>
      <c r="D135" s="6"/>
      <c r="E135" s="6"/>
      <c r="F135" s="6"/>
    </row>
    <row r="136">
      <c r="B136" s="3"/>
      <c r="C136" s="6"/>
      <c r="D136" s="6"/>
      <c r="E136" s="6"/>
      <c r="F136" s="6"/>
    </row>
    <row r="137">
      <c r="B137" s="3"/>
      <c r="C137" s="6"/>
      <c r="D137" s="6"/>
      <c r="E137" s="6"/>
      <c r="F137" s="6"/>
    </row>
    <row r="138">
      <c r="B138" s="3"/>
      <c r="C138" s="6"/>
      <c r="D138" s="6"/>
      <c r="E138" s="6"/>
      <c r="F138" s="6"/>
    </row>
    <row r="139">
      <c r="B139" s="3"/>
      <c r="C139" s="6"/>
      <c r="D139" s="6"/>
      <c r="E139" s="6"/>
      <c r="F139" s="6"/>
    </row>
    <row r="140">
      <c r="B140" s="3"/>
      <c r="C140" s="6"/>
      <c r="D140" s="6"/>
      <c r="E140" s="6"/>
      <c r="F140" s="6"/>
    </row>
    <row r="141">
      <c r="B141" s="3"/>
      <c r="C141" s="6"/>
      <c r="D141" s="6"/>
      <c r="E141" s="6"/>
      <c r="F141" s="6"/>
    </row>
    <row r="142">
      <c r="B142" s="3"/>
      <c r="C142" s="6"/>
      <c r="D142" s="6"/>
      <c r="E142" s="6"/>
      <c r="F142" s="6"/>
    </row>
    <row r="143">
      <c r="B143" s="3"/>
      <c r="C143" s="6"/>
      <c r="D143" s="6"/>
      <c r="E143" s="6"/>
      <c r="F143" s="6"/>
    </row>
    <row r="144">
      <c r="B144" s="3"/>
      <c r="C144" s="6"/>
      <c r="D144" s="6"/>
      <c r="E144" s="6"/>
      <c r="F144" s="6"/>
    </row>
    <row r="145">
      <c r="B145" s="3"/>
      <c r="C145" s="6"/>
      <c r="D145" s="6"/>
      <c r="E145" s="6"/>
      <c r="F145" s="6"/>
    </row>
    <row r="146">
      <c r="B146" s="3"/>
      <c r="C146" s="6"/>
      <c r="D146" s="6"/>
      <c r="E146" s="6"/>
      <c r="F146" s="6"/>
    </row>
    <row r="147">
      <c r="B147" s="3"/>
      <c r="C147" s="6"/>
      <c r="D147" s="6"/>
      <c r="E147" s="6"/>
      <c r="F147" s="6"/>
    </row>
    <row r="148">
      <c r="B148" s="3"/>
      <c r="C148" s="6"/>
      <c r="D148" s="6"/>
      <c r="E148" s="6"/>
      <c r="F148" s="6"/>
    </row>
    <row r="149">
      <c r="B149" s="3"/>
      <c r="C149" s="6"/>
      <c r="D149" s="6"/>
      <c r="E149" s="6"/>
      <c r="F149" s="6"/>
    </row>
    <row r="150">
      <c r="B150" s="3"/>
      <c r="C150" s="6"/>
      <c r="D150" s="6"/>
      <c r="E150" s="6"/>
      <c r="F150" s="6"/>
    </row>
    <row r="151">
      <c r="B151" s="3"/>
      <c r="C151" s="6"/>
      <c r="D151" s="6"/>
      <c r="E151" s="6"/>
      <c r="F151" s="6"/>
    </row>
    <row r="152">
      <c r="B152" s="3"/>
      <c r="C152" s="6"/>
      <c r="D152" s="6"/>
      <c r="E152" s="6"/>
      <c r="F152" s="6"/>
    </row>
    <row r="153">
      <c r="B153" s="3"/>
      <c r="C153" s="6"/>
      <c r="D153" s="6"/>
      <c r="E153" s="6"/>
      <c r="F153" s="6"/>
    </row>
    <row r="154">
      <c r="B154" s="3"/>
      <c r="C154" s="6"/>
      <c r="D154" s="6"/>
      <c r="E154" s="6"/>
      <c r="F154" s="6"/>
    </row>
    <row r="155">
      <c r="B155" s="3"/>
      <c r="C155" s="6"/>
      <c r="D155" s="6"/>
      <c r="E155" s="6"/>
      <c r="F155" s="6"/>
    </row>
    <row r="156">
      <c r="B156" s="3"/>
      <c r="C156" s="6"/>
      <c r="D156" s="6"/>
      <c r="E156" s="6"/>
      <c r="F156" s="6"/>
    </row>
    <row r="157">
      <c r="B157" s="3"/>
      <c r="C157" s="6"/>
      <c r="D157" s="6"/>
      <c r="E157" s="6"/>
      <c r="F157" s="6"/>
    </row>
    <row r="158">
      <c r="B158" s="3"/>
      <c r="C158" s="6"/>
      <c r="D158" s="6"/>
      <c r="E158" s="6"/>
      <c r="F158" s="6"/>
    </row>
    <row r="159">
      <c r="B159" s="3"/>
      <c r="C159" s="6"/>
      <c r="D159" s="6"/>
      <c r="E159" s="6"/>
      <c r="F159" s="6"/>
    </row>
    <row r="160">
      <c r="B160" s="3"/>
      <c r="C160" s="6"/>
      <c r="D160" s="6"/>
      <c r="E160" s="6"/>
      <c r="F160" s="6"/>
    </row>
    <row r="161">
      <c r="B161" s="3"/>
      <c r="C161" s="6"/>
      <c r="D161" s="6"/>
      <c r="E161" s="6"/>
      <c r="F161" s="6"/>
    </row>
    <row r="162">
      <c r="B162" s="3"/>
      <c r="C162" s="6"/>
      <c r="D162" s="6"/>
      <c r="E162" s="6"/>
      <c r="F162" s="6"/>
    </row>
    <row r="163">
      <c r="B163" s="3"/>
      <c r="C163" s="6"/>
      <c r="D163" s="6"/>
      <c r="E163" s="6"/>
      <c r="F163" s="6"/>
    </row>
    <row r="164">
      <c r="B164" s="3"/>
      <c r="C164" s="6"/>
      <c r="D164" s="6"/>
      <c r="E164" s="6"/>
      <c r="F164" s="6"/>
    </row>
    <row r="165">
      <c r="B165" s="3"/>
      <c r="C165" s="6"/>
      <c r="D165" s="6"/>
      <c r="E165" s="6"/>
      <c r="F165" s="6"/>
    </row>
    <row r="166">
      <c r="B166" s="3"/>
      <c r="C166" s="6"/>
      <c r="D166" s="6"/>
      <c r="E166" s="6"/>
      <c r="F166" s="6"/>
    </row>
    <row r="167">
      <c r="B167" s="3"/>
      <c r="C167" s="6"/>
      <c r="D167" s="6"/>
      <c r="E167" s="6"/>
      <c r="F167" s="6"/>
    </row>
    <row r="168">
      <c r="B168" s="3"/>
      <c r="C168" s="6"/>
      <c r="D168" s="6"/>
      <c r="E168" s="6"/>
      <c r="F168" s="6"/>
    </row>
    <row r="169">
      <c r="B169" s="3"/>
      <c r="C169" s="6"/>
      <c r="D169" s="6"/>
      <c r="E169" s="6"/>
      <c r="F169" s="6"/>
    </row>
    <row r="170">
      <c r="B170" s="3"/>
      <c r="C170" s="6"/>
      <c r="D170" s="6"/>
      <c r="E170" s="6"/>
      <c r="F170" s="6"/>
    </row>
    <row r="171">
      <c r="B171" s="3"/>
      <c r="C171" s="6"/>
      <c r="D171" s="6"/>
      <c r="E171" s="6"/>
      <c r="F171" s="6"/>
    </row>
    <row r="172">
      <c r="B172" s="3"/>
      <c r="C172" s="6"/>
      <c r="D172" s="6"/>
      <c r="E172" s="6"/>
      <c r="F172" s="6"/>
    </row>
    <row r="173">
      <c r="B173" s="3"/>
      <c r="C173" s="6"/>
      <c r="D173" s="6"/>
      <c r="E173" s="6"/>
      <c r="F173" s="6"/>
    </row>
    <row r="174">
      <c r="B174" s="3"/>
      <c r="C174" s="6"/>
      <c r="D174" s="6"/>
      <c r="E174" s="6"/>
      <c r="F174" s="6"/>
    </row>
    <row r="175">
      <c r="B175" s="3"/>
      <c r="C175" s="6"/>
      <c r="D175" s="6"/>
      <c r="E175" s="6"/>
      <c r="F175" s="6"/>
    </row>
    <row r="176">
      <c r="B176" s="3"/>
      <c r="C176" s="6"/>
      <c r="D176" s="6"/>
      <c r="E176" s="6"/>
      <c r="F176" s="6"/>
    </row>
    <row r="177">
      <c r="B177" s="3"/>
      <c r="C177" s="6"/>
      <c r="D177" s="6"/>
      <c r="E177" s="6"/>
      <c r="F177" s="6"/>
    </row>
    <row r="178">
      <c r="B178" s="3"/>
      <c r="C178" s="6"/>
      <c r="D178" s="6"/>
      <c r="E178" s="6"/>
      <c r="F178" s="6"/>
    </row>
    <row r="179">
      <c r="B179" s="3"/>
      <c r="C179" s="6"/>
      <c r="D179" s="6"/>
      <c r="E179" s="6"/>
      <c r="F179" s="6"/>
    </row>
    <row r="180">
      <c r="B180" s="3"/>
      <c r="C180" s="6"/>
      <c r="D180" s="6"/>
      <c r="E180" s="6"/>
      <c r="F180" s="6"/>
    </row>
    <row r="181">
      <c r="B181" s="3"/>
      <c r="C181" s="6"/>
      <c r="D181" s="6"/>
      <c r="E181" s="6"/>
      <c r="F181" s="6"/>
    </row>
    <row r="182">
      <c r="B182" s="3"/>
      <c r="C182" s="6"/>
      <c r="D182" s="6"/>
      <c r="E182" s="6"/>
      <c r="F182" s="6"/>
    </row>
    <row r="183">
      <c r="B183" s="3"/>
      <c r="C183" s="6"/>
      <c r="D183" s="6"/>
      <c r="E183" s="6"/>
      <c r="F183" s="6"/>
    </row>
    <row r="184">
      <c r="B184" s="3"/>
      <c r="C184" s="6"/>
      <c r="D184" s="6"/>
      <c r="E184" s="6"/>
      <c r="F184" s="6"/>
    </row>
    <row r="185">
      <c r="B185" s="3"/>
      <c r="C185" s="6"/>
      <c r="D185" s="6"/>
      <c r="E185" s="6"/>
      <c r="F185" s="6"/>
    </row>
    <row r="186">
      <c r="B186" s="3"/>
      <c r="C186" s="6"/>
      <c r="D186" s="6"/>
      <c r="E186" s="6"/>
      <c r="F186" s="6"/>
    </row>
    <row r="187">
      <c r="B187" s="3"/>
      <c r="C187" s="6"/>
      <c r="D187" s="6"/>
      <c r="E187" s="6"/>
      <c r="F187" s="6"/>
    </row>
    <row r="188">
      <c r="B188" s="3"/>
      <c r="C188" s="6"/>
      <c r="D188" s="6"/>
      <c r="E188" s="6"/>
      <c r="F188" s="6"/>
    </row>
    <row r="189">
      <c r="B189" s="3"/>
      <c r="C189" s="6"/>
      <c r="D189" s="6"/>
      <c r="E189" s="6"/>
      <c r="F189" s="6"/>
    </row>
    <row r="190">
      <c r="B190" s="3"/>
      <c r="C190" s="6"/>
      <c r="D190" s="6"/>
      <c r="E190" s="6"/>
      <c r="F190" s="6"/>
    </row>
    <row r="191">
      <c r="B191" s="3"/>
      <c r="C191" s="6"/>
      <c r="D191" s="6"/>
      <c r="E191" s="6"/>
      <c r="F191" s="6"/>
    </row>
    <row r="192">
      <c r="B192" s="3"/>
      <c r="C192" s="6"/>
      <c r="D192" s="6"/>
      <c r="E192" s="6"/>
      <c r="F192" s="6"/>
    </row>
    <row r="193">
      <c r="B193" s="3"/>
      <c r="C193" s="6"/>
      <c r="D193" s="6"/>
      <c r="E193" s="6"/>
      <c r="F193" s="6"/>
    </row>
    <row r="194">
      <c r="B194" s="3"/>
      <c r="C194" s="6"/>
      <c r="D194" s="6"/>
      <c r="E194" s="6"/>
      <c r="F194" s="6"/>
    </row>
    <row r="195">
      <c r="B195" s="3"/>
      <c r="C195" s="6"/>
      <c r="D195" s="6"/>
      <c r="E195" s="6"/>
      <c r="F195" s="6"/>
    </row>
    <row r="196">
      <c r="B196" s="3"/>
      <c r="C196" s="6"/>
      <c r="D196" s="6"/>
      <c r="E196" s="6"/>
      <c r="F196" s="6"/>
    </row>
    <row r="197">
      <c r="B197" s="3"/>
      <c r="C197" s="6"/>
      <c r="D197" s="6"/>
      <c r="E197" s="6"/>
      <c r="F197" s="6"/>
    </row>
    <row r="198">
      <c r="B198" s="3"/>
      <c r="C198" s="6"/>
      <c r="D198" s="6"/>
      <c r="E198" s="6"/>
      <c r="F198" s="6"/>
    </row>
    <row r="199">
      <c r="B199" s="3"/>
      <c r="C199" s="6"/>
      <c r="D199" s="6"/>
      <c r="E199" s="6"/>
      <c r="F199" s="6"/>
    </row>
    <row r="200">
      <c r="B200" s="3"/>
      <c r="C200" s="6"/>
      <c r="D200" s="6"/>
      <c r="E200" s="6"/>
      <c r="F200" s="6"/>
    </row>
    <row r="201">
      <c r="B201" s="3"/>
      <c r="C201" s="6"/>
      <c r="D201" s="6"/>
      <c r="E201" s="6"/>
      <c r="F201" s="6"/>
    </row>
    <row r="202">
      <c r="B202" s="3"/>
      <c r="C202" s="6"/>
      <c r="D202" s="6"/>
      <c r="E202" s="6"/>
      <c r="F202" s="6"/>
    </row>
    <row r="203">
      <c r="B203" s="3"/>
      <c r="C203" s="6"/>
      <c r="D203" s="6"/>
      <c r="E203" s="6"/>
      <c r="F203" s="6"/>
    </row>
    <row r="204">
      <c r="B204" s="3"/>
      <c r="C204" s="6"/>
      <c r="D204" s="6"/>
      <c r="E204" s="6"/>
      <c r="F204" s="6"/>
    </row>
    <row r="205">
      <c r="B205" s="3"/>
      <c r="C205" s="6"/>
      <c r="D205" s="6"/>
      <c r="E205" s="6"/>
      <c r="F205" s="6"/>
    </row>
    <row r="206">
      <c r="B206" s="3"/>
      <c r="C206" s="6"/>
      <c r="D206" s="6"/>
      <c r="E206" s="6"/>
      <c r="F206" s="6"/>
    </row>
    <row r="207">
      <c r="B207" s="3"/>
      <c r="C207" s="6"/>
      <c r="D207" s="6"/>
      <c r="E207" s="6"/>
      <c r="F207" s="6"/>
    </row>
    <row r="208">
      <c r="B208" s="3"/>
      <c r="C208" s="6"/>
      <c r="D208" s="6"/>
      <c r="E208" s="6"/>
      <c r="F208" s="6"/>
    </row>
    <row r="209">
      <c r="B209" s="3"/>
      <c r="C209" s="6"/>
      <c r="D209" s="6"/>
      <c r="E209" s="6"/>
      <c r="F209" s="6"/>
    </row>
    <row r="210">
      <c r="B210" s="3"/>
      <c r="C210" s="6"/>
      <c r="D210" s="6"/>
      <c r="E210" s="6"/>
      <c r="F210" s="6"/>
    </row>
    <row r="211">
      <c r="B211" s="3"/>
      <c r="C211" s="6"/>
      <c r="D211" s="6"/>
      <c r="E211" s="6"/>
      <c r="F211" s="6"/>
    </row>
    <row r="212">
      <c r="B212" s="3"/>
      <c r="C212" s="6"/>
      <c r="D212" s="6"/>
      <c r="E212" s="6"/>
      <c r="F212" s="6"/>
    </row>
    <row r="213">
      <c r="B213" s="3"/>
      <c r="C213" s="6"/>
      <c r="D213" s="6"/>
      <c r="E213" s="6"/>
      <c r="F213" s="6"/>
    </row>
    <row r="214">
      <c r="B214" s="3"/>
      <c r="C214" s="6"/>
      <c r="D214" s="6"/>
      <c r="E214" s="6"/>
      <c r="F214" s="6"/>
    </row>
    <row r="215">
      <c r="B215" s="3"/>
      <c r="C215" s="6"/>
      <c r="D215" s="6"/>
      <c r="E215" s="6"/>
      <c r="F215" s="6"/>
    </row>
    <row r="216">
      <c r="B216" s="3"/>
      <c r="C216" s="6"/>
      <c r="D216" s="6"/>
      <c r="E216" s="6"/>
      <c r="F216" s="6"/>
    </row>
    <row r="217">
      <c r="B217" s="3"/>
      <c r="C217" s="6"/>
      <c r="D217" s="6"/>
      <c r="E217" s="6"/>
      <c r="F217" s="6"/>
    </row>
    <row r="218">
      <c r="B218" s="3"/>
      <c r="C218" s="6"/>
      <c r="D218" s="6"/>
      <c r="E218" s="6"/>
      <c r="F218" s="6"/>
    </row>
    <row r="219">
      <c r="B219" s="3"/>
      <c r="C219" s="6"/>
      <c r="D219" s="6"/>
      <c r="E219" s="6"/>
      <c r="F219" s="6"/>
    </row>
    <row r="220">
      <c r="B220" s="3"/>
      <c r="C220" s="6"/>
      <c r="D220" s="6"/>
      <c r="E220" s="6"/>
      <c r="F220" s="6"/>
    </row>
    <row r="221">
      <c r="B221" s="3"/>
      <c r="C221" s="6"/>
      <c r="D221" s="6"/>
      <c r="E221" s="6"/>
      <c r="F221" s="6"/>
    </row>
    <row r="222">
      <c r="B222" s="3"/>
      <c r="C222" s="6"/>
      <c r="D222" s="6"/>
      <c r="E222" s="6"/>
      <c r="F222" s="6"/>
    </row>
    <row r="223">
      <c r="B223" s="3"/>
      <c r="C223" s="6"/>
      <c r="D223" s="6"/>
      <c r="E223" s="6"/>
      <c r="F223" s="6"/>
    </row>
    <row r="224">
      <c r="B224" s="3"/>
      <c r="C224" s="6"/>
      <c r="D224" s="6"/>
      <c r="E224" s="6"/>
      <c r="F224" s="6"/>
    </row>
    <row r="225">
      <c r="B225" s="3"/>
      <c r="C225" s="6"/>
      <c r="D225" s="6"/>
      <c r="E225" s="6"/>
      <c r="F225" s="6"/>
    </row>
    <row r="226">
      <c r="B226" s="3"/>
      <c r="C226" s="6"/>
      <c r="D226" s="6"/>
      <c r="E226" s="6"/>
      <c r="F226" s="6"/>
    </row>
    <row r="227">
      <c r="B227" s="3"/>
      <c r="C227" s="6"/>
      <c r="D227" s="6"/>
      <c r="E227" s="6"/>
      <c r="F227" s="6"/>
    </row>
    <row r="228">
      <c r="B228" s="3"/>
      <c r="C228" s="6"/>
      <c r="D228" s="6"/>
      <c r="E228" s="6"/>
      <c r="F228" s="6"/>
    </row>
    <row r="229">
      <c r="B229" s="3"/>
      <c r="C229" s="6"/>
      <c r="D229" s="6"/>
      <c r="E229" s="6"/>
      <c r="F229" s="6"/>
    </row>
    <row r="230">
      <c r="B230" s="3"/>
      <c r="C230" s="6"/>
      <c r="D230" s="6"/>
      <c r="E230" s="6"/>
      <c r="F230" s="6"/>
    </row>
    <row r="231">
      <c r="B231" s="3"/>
      <c r="C231" s="6"/>
      <c r="D231" s="6"/>
      <c r="E231" s="6"/>
      <c r="F231" s="6"/>
    </row>
    <row r="232">
      <c r="B232" s="3"/>
      <c r="C232" s="6"/>
      <c r="D232" s="6"/>
      <c r="E232" s="6"/>
      <c r="F232" s="6"/>
    </row>
    <row r="233">
      <c r="B233" s="3"/>
      <c r="C233" s="6"/>
      <c r="D233" s="6"/>
      <c r="E233" s="6"/>
      <c r="F233" s="6"/>
    </row>
    <row r="234">
      <c r="B234" s="3"/>
      <c r="C234" s="6"/>
      <c r="D234" s="6"/>
      <c r="E234" s="6"/>
      <c r="F234" s="6"/>
    </row>
    <row r="235">
      <c r="B235" s="3"/>
      <c r="C235" s="6"/>
      <c r="D235" s="6"/>
      <c r="E235" s="6"/>
      <c r="F235" s="6"/>
    </row>
    <row r="236">
      <c r="B236" s="3"/>
      <c r="C236" s="6"/>
      <c r="D236" s="6"/>
      <c r="E236" s="6"/>
      <c r="F236" s="6"/>
    </row>
    <row r="237">
      <c r="B237" s="3"/>
      <c r="C237" s="6"/>
      <c r="D237" s="6"/>
      <c r="E237" s="6"/>
      <c r="F237" s="6"/>
    </row>
    <row r="238">
      <c r="B238" s="3"/>
      <c r="C238" s="6"/>
      <c r="D238" s="6"/>
      <c r="E238" s="6"/>
      <c r="F238" s="6"/>
    </row>
    <row r="239">
      <c r="B239" s="3"/>
      <c r="C239" s="6"/>
      <c r="D239" s="6"/>
      <c r="E239" s="6"/>
      <c r="F239" s="6"/>
    </row>
    <row r="240">
      <c r="B240" s="3"/>
      <c r="C240" s="6"/>
      <c r="D240" s="6"/>
      <c r="E240" s="6"/>
      <c r="F240" s="6"/>
    </row>
    <row r="241">
      <c r="B241" s="3"/>
      <c r="C241" s="6"/>
      <c r="D241" s="6"/>
      <c r="E241" s="6"/>
      <c r="F241" s="6"/>
    </row>
    <row r="242">
      <c r="B242" s="3"/>
      <c r="C242" s="6"/>
      <c r="D242" s="6"/>
      <c r="E242" s="6"/>
      <c r="F242" s="6"/>
    </row>
    <row r="243">
      <c r="B243" s="3"/>
      <c r="C243" s="6"/>
      <c r="D243" s="6"/>
      <c r="E243" s="6"/>
      <c r="F243" s="6"/>
    </row>
    <row r="244">
      <c r="B244" s="3"/>
      <c r="C244" s="6"/>
      <c r="D244" s="6"/>
      <c r="E244" s="6"/>
      <c r="F244" s="6"/>
    </row>
    <row r="245">
      <c r="B245" s="3"/>
      <c r="C245" s="6"/>
      <c r="D245" s="6"/>
      <c r="E245" s="6"/>
      <c r="F245" s="6"/>
    </row>
    <row r="246">
      <c r="B246" s="3"/>
      <c r="C246" s="6"/>
      <c r="D246" s="6"/>
      <c r="E246" s="6"/>
      <c r="F246" s="6"/>
    </row>
    <row r="247">
      <c r="B247" s="3"/>
      <c r="C247" s="6"/>
      <c r="D247" s="6"/>
      <c r="E247" s="6"/>
      <c r="F247" s="6"/>
    </row>
    <row r="248">
      <c r="B248" s="3"/>
      <c r="C248" s="6"/>
      <c r="D248" s="6"/>
      <c r="E248" s="6"/>
      <c r="F248" s="6"/>
    </row>
    <row r="249">
      <c r="B249" s="3"/>
      <c r="C249" s="6"/>
      <c r="D249" s="6"/>
      <c r="E249" s="6"/>
      <c r="F249" s="6"/>
    </row>
    <row r="250">
      <c r="B250" s="3"/>
      <c r="C250" s="6"/>
      <c r="D250" s="6"/>
      <c r="E250" s="6"/>
      <c r="F250" s="6"/>
    </row>
    <row r="251">
      <c r="B251" s="3"/>
      <c r="C251" s="6"/>
      <c r="D251" s="6"/>
      <c r="E251" s="6"/>
      <c r="F251" s="6"/>
    </row>
    <row r="252">
      <c r="B252" s="3"/>
      <c r="C252" s="6"/>
      <c r="D252" s="6"/>
      <c r="E252" s="6"/>
      <c r="F252" s="6"/>
    </row>
    <row r="253">
      <c r="B253" s="3"/>
      <c r="C253" s="6"/>
      <c r="D253" s="6"/>
      <c r="E253" s="6"/>
      <c r="F253" s="6"/>
    </row>
    <row r="254">
      <c r="B254" s="3"/>
      <c r="C254" s="6"/>
      <c r="D254" s="6"/>
      <c r="E254" s="6"/>
      <c r="F254" s="6"/>
    </row>
    <row r="255">
      <c r="B255" s="3"/>
      <c r="C255" s="6"/>
      <c r="D255" s="6"/>
      <c r="E255" s="6"/>
      <c r="F255" s="6"/>
    </row>
    <row r="256">
      <c r="B256" s="3"/>
      <c r="C256" s="6"/>
      <c r="D256" s="6"/>
      <c r="E256" s="6"/>
      <c r="F256" s="6"/>
    </row>
    <row r="257">
      <c r="B257" s="3"/>
      <c r="C257" s="6"/>
      <c r="D257" s="6"/>
      <c r="E257" s="6"/>
      <c r="F257" s="6"/>
    </row>
    <row r="258">
      <c r="B258" s="3"/>
      <c r="C258" s="6"/>
      <c r="D258" s="6"/>
      <c r="E258" s="6"/>
      <c r="F258" s="6"/>
    </row>
    <row r="259">
      <c r="B259" s="3"/>
      <c r="C259" s="6"/>
      <c r="D259" s="6"/>
      <c r="E259" s="6"/>
      <c r="F259" s="6"/>
    </row>
    <row r="260">
      <c r="B260" s="3"/>
      <c r="C260" s="6"/>
      <c r="D260" s="6"/>
      <c r="E260" s="6"/>
      <c r="F260" s="6"/>
    </row>
    <row r="261">
      <c r="B261" s="3"/>
      <c r="C261" s="6"/>
      <c r="D261" s="6"/>
      <c r="E261" s="6"/>
      <c r="F261" s="6"/>
    </row>
    <row r="262">
      <c r="B262" s="3"/>
      <c r="C262" s="6"/>
      <c r="D262" s="6"/>
      <c r="E262" s="6"/>
      <c r="F262" s="6"/>
    </row>
    <row r="263">
      <c r="B263" s="3"/>
      <c r="C263" s="6"/>
      <c r="D263" s="6"/>
      <c r="E263" s="6"/>
      <c r="F263" s="6"/>
    </row>
    <row r="264">
      <c r="B264" s="3"/>
      <c r="C264" s="6"/>
      <c r="D264" s="6"/>
      <c r="E264" s="6"/>
      <c r="F264" s="6"/>
    </row>
    <row r="265">
      <c r="B265" s="3"/>
      <c r="C265" s="6"/>
      <c r="D265" s="6"/>
      <c r="E265" s="6"/>
      <c r="F265" s="6"/>
    </row>
    <row r="266">
      <c r="B266" s="3"/>
      <c r="C266" s="6"/>
      <c r="D266" s="6"/>
      <c r="E266" s="6"/>
      <c r="F266" s="6"/>
    </row>
    <row r="267">
      <c r="B267" s="3"/>
      <c r="C267" s="6"/>
      <c r="D267" s="6"/>
      <c r="E267" s="6"/>
      <c r="F267" s="6"/>
    </row>
    <row r="268">
      <c r="B268" s="3"/>
      <c r="C268" s="6"/>
      <c r="D268" s="6"/>
      <c r="E268" s="6"/>
      <c r="F268" s="6"/>
    </row>
    <row r="269">
      <c r="B269" s="3"/>
      <c r="C269" s="6"/>
      <c r="D269" s="6"/>
      <c r="E269" s="6"/>
      <c r="F269" s="6"/>
    </row>
    <row r="270">
      <c r="B270" s="3"/>
      <c r="C270" s="6"/>
      <c r="D270" s="6"/>
      <c r="E270" s="6"/>
      <c r="F270" s="6"/>
    </row>
    <row r="271">
      <c r="B271" s="3"/>
      <c r="C271" s="6"/>
      <c r="D271" s="6"/>
      <c r="E271" s="6"/>
      <c r="F271" s="6"/>
    </row>
    <row r="272">
      <c r="B272" s="3"/>
      <c r="C272" s="6"/>
      <c r="D272" s="6"/>
      <c r="E272" s="6"/>
      <c r="F272" s="6"/>
    </row>
    <row r="273">
      <c r="B273" s="3"/>
      <c r="C273" s="6"/>
      <c r="D273" s="6"/>
      <c r="E273" s="6"/>
      <c r="F273" s="6"/>
    </row>
    <row r="274">
      <c r="B274" s="3"/>
      <c r="C274" s="6"/>
      <c r="D274" s="6"/>
      <c r="E274" s="6"/>
      <c r="F274" s="6"/>
    </row>
    <row r="275">
      <c r="B275" s="3"/>
      <c r="C275" s="6"/>
      <c r="D275" s="6"/>
      <c r="E275" s="6"/>
      <c r="F275" s="6"/>
    </row>
    <row r="276">
      <c r="B276" s="3"/>
      <c r="C276" s="6"/>
      <c r="D276" s="6"/>
      <c r="E276" s="6"/>
      <c r="F276" s="6"/>
    </row>
    <row r="277">
      <c r="B277" s="3"/>
      <c r="C277" s="6"/>
      <c r="D277" s="6"/>
      <c r="E277" s="6"/>
      <c r="F277" s="6"/>
    </row>
    <row r="278">
      <c r="B278" s="3"/>
      <c r="C278" s="6"/>
      <c r="D278" s="6"/>
      <c r="E278" s="6"/>
      <c r="F278" s="6"/>
    </row>
    <row r="279">
      <c r="B279" s="3"/>
      <c r="C279" s="6"/>
      <c r="D279" s="6"/>
      <c r="E279" s="6"/>
      <c r="F279" s="6"/>
    </row>
    <row r="280">
      <c r="B280" s="3"/>
      <c r="C280" s="6"/>
      <c r="D280" s="6"/>
      <c r="E280" s="6"/>
      <c r="F280" s="6"/>
    </row>
    <row r="281">
      <c r="B281" s="3"/>
      <c r="C281" s="6"/>
      <c r="D281" s="6"/>
      <c r="E281" s="6"/>
      <c r="F281" s="6"/>
    </row>
    <row r="282">
      <c r="B282" s="3"/>
      <c r="C282" s="6"/>
      <c r="D282" s="6"/>
      <c r="E282" s="6"/>
      <c r="F282" s="6"/>
    </row>
    <row r="283">
      <c r="B283" s="3"/>
      <c r="C283" s="6"/>
      <c r="D283" s="6"/>
      <c r="E283" s="6"/>
      <c r="F283" s="6"/>
    </row>
    <row r="284">
      <c r="B284" s="3"/>
      <c r="C284" s="6"/>
      <c r="D284" s="6"/>
      <c r="E284" s="6"/>
      <c r="F284" s="6"/>
    </row>
    <row r="285">
      <c r="B285" s="3"/>
      <c r="C285" s="6"/>
      <c r="D285" s="6"/>
      <c r="E285" s="6"/>
      <c r="F285" s="6"/>
    </row>
    <row r="286">
      <c r="B286" s="3"/>
      <c r="C286" s="6"/>
      <c r="D286" s="6"/>
      <c r="E286" s="6"/>
      <c r="F286" s="6"/>
    </row>
    <row r="287">
      <c r="B287" s="3"/>
      <c r="C287" s="6"/>
      <c r="D287" s="6"/>
      <c r="E287" s="6"/>
      <c r="F287" s="6"/>
    </row>
    <row r="288">
      <c r="B288" s="3"/>
      <c r="C288" s="6"/>
      <c r="D288" s="6"/>
      <c r="E288" s="6"/>
      <c r="F288" s="6"/>
    </row>
    <row r="289">
      <c r="B289" s="3"/>
      <c r="C289" s="6"/>
      <c r="D289" s="6"/>
      <c r="E289" s="6"/>
      <c r="F289" s="6"/>
    </row>
    <row r="290">
      <c r="B290" s="3"/>
      <c r="C290" s="6"/>
      <c r="D290" s="6"/>
      <c r="E290" s="6"/>
      <c r="F290" s="6"/>
    </row>
    <row r="291">
      <c r="B291" s="3"/>
      <c r="C291" s="6"/>
      <c r="D291" s="6"/>
      <c r="E291" s="6"/>
      <c r="F291" s="6"/>
    </row>
    <row r="292">
      <c r="B292" s="3"/>
      <c r="C292" s="6"/>
      <c r="D292" s="6"/>
      <c r="E292" s="6"/>
      <c r="F292" s="6"/>
    </row>
    <row r="293">
      <c r="B293" s="3"/>
      <c r="C293" s="6"/>
      <c r="D293" s="6"/>
      <c r="E293" s="6"/>
      <c r="F293" s="6"/>
    </row>
    <row r="294">
      <c r="B294" s="3"/>
      <c r="C294" s="6"/>
      <c r="D294" s="6"/>
      <c r="E294" s="6"/>
      <c r="F294" s="6"/>
    </row>
    <row r="295">
      <c r="B295" s="3"/>
      <c r="C295" s="6"/>
      <c r="D295" s="6"/>
      <c r="E295" s="6"/>
      <c r="F295" s="6"/>
    </row>
    <row r="296">
      <c r="B296" s="3"/>
      <c r="C296" s="6"/>
      <c r="D296" s="6"/>
      <c r="E296" s="6"/>
      <c r="F296" s="6"/>
    </row>
    <row r="297">
      <c r="B297" s="3"/>
      <c r="C297" s="6"/>
      <c r="D297" s="6"/>
      <c r="E297" s="6"/>
      <c r="F297" s="6"/>
    </row>
    <row r="298">
      <c r="B298" s="3"/>
      <c r="C298" s="6"/>
      <c r="D298" s="6"/>
      <c r="E298" s="6"/>
      <c r="F298" s="6"/>
    </row>
    <row r="299">
      <c r="B299" s="3"/>
      <c r="C299" s="6"/>
      <c r="D299" s="6"/>
      <c r="E299" s="6"/>
      <c r="F299" s="6"/>
    </row>
    <row r="300">
      <c r="B300" s="3"/>
      <c r="C300" s="6"/>
      <c r="D300" s="6"/>
      <c r="E300" s="6"/>
      <c r="F300" s="6"/>
    </row>
    <row r="301">
      <c r="B301" s="3"/>
      <c r="C301" s="6"/>
      <c r="D301" s="6"/>
      <c r="E301" s="6"/>
      <c r="F301" s="6"/>
    </row>
    <row r="302">
      <c r="B302" s="3"/>
      <c r="C302" s="6"/>
      <c r="D302" s="6"/>
      <c r="E302" s="6"/>
      <c r="F302" s="6"/>
    </row>
    <row r="303">
      <c r="B303" s="3"/>
      <c r="C303" s="6"/>
      <c r="D303" s="6"/>
      <c r="E303" s="6"/>
      <c r="F303" s="6"/>
    </row>
    <row r="304">
      <c r="B304" s="3"/>
      <c r="C304" s="6"/>
      <c r="D304" s="6"/>
      <c r="E304" s="6"/>
      <c r="F304" s="6"/>
    </row>
    <row r="305">
      <c r="B305" s="3"/>
      <c r="C305" s="6"/>
      <c r="D305" s="6"/>
      <c r="E305" s="6"/>
      <c r="F305" s="6"/>
    </row>
    <row r="306">
      <c r="B306" s="3"/>
      <c r="C306" s="6"/>
      <c r="D306" s="6"/>
      <c r="E306" s="6"/>
      <c r="F306" s="6"/>
    </row>
    <row r="307">
      <c r="B307" s="3"/>
      <c r="C307" s="6"/>
      <c r="D307" s="6"/>
      <c r="E307" s="6"/>
      <c r="F307" s="6"/>
    </row>
    <row r="308">
      <c r="B308" s="3"/>
      <c r="C308" s="6"/>
      <c r="D308" s="6"/>
      <c r="E308" s="6"/>
      <c r="F308" s="6"/>
    </row>
    <row r="309">
      <c r="B309" s="3"/>
      <c r="C309" s="6"/>
      <c r="D309" s="6"/>
      <c r="E309" s="6"/>
      <c r="F309" s="6"/>
    </row>
    <row r="310">
      <c r="B310" s="3"/>
      <c r="C310" s="6"/>
      <c r="D310" s="6"/>
      <c r="E310" s="6"/>
      <c r="F310" s="6"/>
    </row>
    <row r="311">
      <c r="B311" s="3"/>
      <c r="C311" s="6"/>
      <c r="D311" s="6"/>
      <c r="E311" s="6"/>
      <c r="F311" s="6"/>
    </row>
    <row r="312">
      <c r="B312" s="3"/>
      <c r="C312" s="6"/>
      <c r="D312" s="6"/>
      <c r="E312" s="6"/>
      <c r="F312" s="6"/>
    </row>
    <row r="313">
      <c r="B313" s="3"/>
      <c r="C313" s="6"/>
      <c r="D313" s="6"/>
      <c r="E313" s="6"/>
      <c r="F313" s="6"/>
    </row>
    <row r="314">
      <c r="B314" s="3"/>
      <c r="C314" s="6"/>
      <c r="D314" s="6"/>
      <c r="E314" s="6"/>
      <c r="F314" s="6"/>
    </row>
    <row r="315">
      <c r="B315" s="3"/>
      <c r="C315" s="6"/>
      <c r="D315" s="6"/>
      <c r="E315" s="6"/>
      <c r="F315" s="6"/>
    </row>
    <row r="316">
      <c r="B316" s="3"/>
      <c r="C316" s="6"/>
      <c r="D316" s="6"/>
      <c r="E316" s="6"/>
      <c r="F316" s="6"/>
    </row>
    <row r="317">
      <c r="B317" s="3"/>
      <c r="C317" s="6"/>
      <c r="D317" s="6"/>
      <c r="E317" s="6"/>
      <c r="F317" s="6"/>
    </row>
    <row r="318">
      <c r="B318" s="3"/>
      <c r="C318" s="6"/>
      <c r="D318" s="6"/>
      <c r="E318" s="6"/>
      <c r="F318" s="6"/>
    </row>
    <row r="319">
      <c r="B319" s="3"/>
      <c r="C319" s="6"/>
      <c r="D319" s="6"/>
      <c r="E319" s="6"/>
      <c r="F319" s="6"/>
    </row>
    <row r="320">
      <c r="B320" s="3"/>
      <c r="C320" s="6"/>
      <c r="D320" s="6"/>
      <c r="E320" s="6"/>
      <c r="F320" s="6"/>
    </row>
    <row r="321">
      <c r="B321" s="3"/>
      <c r="C321" s="6"/>
      <c r="D321" s="6"/>
      <c r="E321" s="6"/>
      <c r="F321" s="6"/>
    </row>
    <row r="322">
      <c r="B322" s="3"/>
      <c r="C322" s="6"/>
      <c r="D322" s="6"/>
      <c r="E322" s="6"/>
      <c r="F322" s="6"/>
    </row>
    <row r="323">
      <c r="B323" s="3"/>
      <c r="C323" s="6"/>
      <c r="D323" s="6"/>
      <c r="E323" s="6"/>
      <c r="F323" s="6"/>
    </row>
    <row r="324">
      <c r="B324" s="3"/>
      <c r="C324" s="6"/>
      <c r="D324" s="6"/>
      <c r="E324" s="6"/>
      <c r="F324" s="6"/>
    </row>
    <row r="325">
      <c r="B325" s="3"/>
      <c r="C325" s="6"/>
      <c r="D325" s="6"/>
      <c r="E325" s="6"/>
      <c r="F325" s="6"/>
    </row>
    <row r="326">
      <c r="B326" s="3"/>
      <c r="C326" s="6"/>
      <c r="D326" s="6"/>
      <c r="E326" s="6"/>
      <c r="F326" s="6"/>
    </row>
    <row r="327">
      <c r="B327" s="3"/>
      <c r="C327" s="6"/>
      <c r="D327" s="6"/>
      <c r="E327" s="6"/>
      <c r="F327" s="6"/>
    </row>
    <row r="328">
      <c r="B328" s="3"/>
      <c r="C328" s="6"/>
      <c r="D328" s="6"/>
      <c r="E328" s="6"/>
      <c r="F328" s="6"/>
    </row>
    <row r="329">
      <c r="B329" s="3"/>
      <c r="C329" s="6"/>
      <c r="D329" s="6"/>
      <c r="E329" s="6"/>
      <c r="F329" s="6"/>
    </row>
    <row r="330">
      <c r="B330" s="3"/>
      <c r="C330" s="6"/>
      <c r="D330" s="6"/>
      <c r="E330" s="6"/>
      <c r="F330" s="6"/>
    </row>
    <row r="331">
      <c r="B331" s="3"/>
      <c r="C331" s="6"/>
      <c r="D331" s="6"/>
      <c r="E331" s="6"/>
      <c r="F331" s="6"/>
    </row>
    <row r="332">
      <c r="B332" s="3"/>
      <c r="C332" s="6"/>
      <c r="D332" s="6"/>
      <c r="E332" s="6"/>
      <c r="F332" s="6"/>
    </row>
    <row r="333">
      <c r="B333" s="3"/>
      <c r="C333" s="6"/>
      <c r="D333" s="6"/>
      <c r="E333" s="6"/>
      <c r="F333" s="6"/>
    </row>
    <row r="334">
      <c r="B334" s="3"/>
      <c r="C334" s="6"/>
      <c r="D334" s="6"/>
      <c r="E334" s="6"/>
      <c r="F334" s="6"/>
    </row>
    <row r="335">
      <c r="B335" s="3"/>
      <c r="C335" s="6"/>
      <c r="D335" s="6"/>
      <c r="E335" s="6"/>
      <c r="F335" s="6"/>
    </row>
    <row r="336">
      <c r="B336" s="3"/>
      <c r="C336" s="6"/>
      <c r="D336" s="6"/>
      <c r="E336" s="6"/>
      <c r="F336" s="6"/>
    </row>
    <row r="337">
      <c r="B337" s="3"/>
      <c r="C337" s="6"/>
      <c r="D337" s="6"/>
      <c r="E337" s="6"/>
      <c r="F337" s="6"/>
    </row>
    <row r="338">
      <c r="B338" s="3"/>
      <c r="C338" s="6"/>
      <c r="D338" s="6"/>
      <c r="E338" s="6"/>
      <c r="F338" s="6"/>
    </row>
    <row r="339">
      <c r="B339" s="3"/>
      <c r="C339" s="6"/>
      <c r="D339" s="6"/>
      <c r="E339" s="6"/>
      <c r="F339" s="6"/>
    </row>
    <row r="340">
      <c r="B340" s="3"/>
      <c r="C340" s="6"/>
      <c r="D340" s="6"/>
      <c r="E340" s="6"/>
      <c r="F340" s="6"/>
    </row>
    <row r="341">
      <c r="B341" s="3"/>
      <c r="C341" s="6"/>
      <c r="D341" s="6"/>
      <c r="E341" s="6"/>
      <c r="F341" s="6"/>
    </row>
    <row r="342">
      <c r="B342" s="3"/>
      <c r="C342" s="6"/>
      <c r="D342" s="6"/>
      <c r="E342" s="6"/>
      <c r="F342" s="6"/>
    </row>
    <row r="343">
      <c r="B343" s="3"/>
      <c r="C343" s="6"/>
      <c r="D343" s="6"/>
      <c r="E343" s="6"/>
      <c r="F343" s="6"/>
    </row>
    <row r="344">
      <c r="B344" s="3"/>
      <c r="C344" s="6"/>
      <c r="D344" s="6"/>
      <c r="E344" s="6"/>
      <c r="F344" s="6"/>
    </row>
    <row r="345">
      <c r="B345" s="3"/>
      <c r="C345" s="6"/>
      <c r="D345" s="6"/>
      <c r="E345" s="6"/>
      <c r="F345" s="6"/>
    </row>
    <row r="346">
      <c r="B346" s="3"/>
      <c r="C346" s="6"/>
      <c r="D346" s="6"/>
      <c r="E346" s="6"/>
      <c r="F346" s="6"/>
    </row>
    <row r="347">
      <c r="B347" s="3"/>
      <c r="C347" s="6"/>
      <c r="D347" s="6"/>
      <c r="E347" s="6"/>
      <c r="F347" s="6"/>
    </row>
    <row r="348">
      <c r="B348" s="3"/>
      <c r="C348" s="6"/>
      <c r="D348" s="6"/>
      <c r="E348" s="6"/>
      <c r="F348" s="6"/>
    </row>
    <row r="349">
      <c r="B349" s="3"/>
      <c r="C349" s="6"/>
      <c r="D349" s="6"/>
      <c r="E349" s="6"/>
      <c r="F349" s="6"/>
    </row>
    <row r="350">
      <c r="B350" s="3"/>
      <c r="C350" s="6"/>
      <c r="D350" s="6"/>
      <c r="E350" s="6"/>
      <c r="F350" s="6"/>
    </row>
    <row r="351">
      <c r="B351" s="3"/>
      <c r="C351" s="6"/>
      <c r="D351" s="6"/>
      <c r="E351" s="6"/>
      <c r="F351" s="6"/>
    </row>
    <row r="352">
      <c r="B352" s="3"/>
      <c r="C352" s="6"/>
      <c r="D352" s="6"/>
      <c r="E352" s="6"/>
      <c r="F352" s="6"/>
    </row>
    <row r="353">
      <c r="B353" s="3"/>
      <c r="C353" s="6"/>
      <c r="D353" s="6"/>
      <c r="E353" s="6"/>
      <c r="F353" s="6"/>
    </row>
    <row r="354">
      <c r="B354" s="3"/>
      <c r="C354" s="6"/>
      <c r="D354" s="6"/>
      <c r="E354" s="6"/>
      <c r="F354" s="6"/>
    </row>
    <row r="355">
      <c r="B355" s="3"/>
      <c r="C355" s="6"/>
      <c r="D355" s="6"/>
      <c r="E355" s="6"/>
      <c r="F355" s="6"/>
    </row>
    <row r="356">
      <c r="B356" s="3"/>
      <c r="C356" s="6"/>
      <c r="D356" s="6"/>
      <c r="E356" s="6"/>
      <c r="F356" s="6"/>
    </row>
    <row r="357">
      <c r="B357" s="3"/>
      <c r="C357" s="6"/>
      <c r="D357" s="6"/>
      <c r="E357" s="6"/>
      <c r="F357" s="6"/>
    </row>
    <row r="358">
      <c r="B358" s="3"/>
      <c r="C358" s="6"/>
      <c r="D358" s="6"/>
      <c r="E358" s="6"/>
      <c r="F358" s="6"/>
    </row>
    <row r="359">
      <c r="B359" s="3"/>
      <c r="C359" s="6"/>
      <c r="D359" s="6"/>
      <c r="E359" s="6"/>
      <c r="F359" s="6"/>
    </row>
    <row r="360">
      <c r="B360" s="3"/>
      <c r="C360" s="6"/>
      <c r="D360" s="6"/>
      <c r="E360" s="6"/>
      <c r="F360" s="6"/>
    </row>
    <row r="361">
      <c r="B361" s="3"/>
      <c r="C361" s="6"/>
      <c r="D361" s="6"/>
      <c r="E361" s="6"/>
      <c r="F361" s="6"/>
    </row>
    <row r="362">
      <c r="B362" s="3"/>
      <c r="C362" s="6"/>
      <c r="D362" s="6"/>
      <c r="E362" s="6"/>
      <c r="F362" s="6"/>
    </row>
    <row r="363">
      <c r="B363" s="3"/>
      <c r="C363" s="6"/>
      <c r="D363" s="6"/>
      <c r="E363" s="6"/>
      <c r="F363" s="6"/>
    </row>
    <row r="364">
      <c r="B364" s="3"/>
      <c r="C364" s="6"/>
      <c r="D364" s="6"/>
      <c r="E364" s="6"/>
      <c r="F364" s="6"/>
    </row>
    <row r="365">
      <c r="B365" s="3"/>
      <c r="C365" s="6"/>
      <c r="D365" s="6"/>
      <c r="E365" s="6"/>
      <c r="F365" s="6"/>
    </row>
    <row r="366">
      <c r="B366" s="3"/>
      <c r="C366" s="6"/>
      <c r="D366" s="6"/>
      <c r="E366" s="6"/>
      <c r="F366" s="6"/>
    </row>
    <row r="367">
      <c r="B367" s="3"/>
      <c r="C367" s="6"/>
      <c r="D367" s="6"/>
      <c r="E367" s="6"/>
      <c r="F367" s="6"/>
    </row>
    <row r="368">
      <c r="B368" s="3"/>
      <c r="C368" s="6"/>
      <c r="D368" s="6"/>
      <c r="E368" s="6"/>
      <c r="F368" s="6"/>
    </row>
    <row r="369">
      <c r="B369" s="3"/>
      <c r="C369" s="6"/>
      <c r="D369" s="6"/>
      <c r="E369" s="6"/>
      <c r="F369" s="6"/>
    </row>
    <row r="370">
      <c r="B370" s="3"/>
      <c r="C370" s="6"/>
      <c r="D370" s="6"/>
      <c r="E370" s="6"/>
      <c r="F370" s="6"/>
    </row>
    <row r="371">
      <c r="B371" s="3"/>
      <c r="C371" s="6"/>
      <c r="D371" s="6"/>
      <c r="E371" s="6"/>
      <c r="F371" s="6"/>
    </row>
    <row r="372">
      <c r="B372" s="3"/>
      <c r="C372" s="6"/>
      <c r="D372" s="6"/>
      <c r="E372" s="6"/>
      <c r="F372" s="6"/>
    </row>
    <row r="373">
      <c r="B373" s="3"/>
      <c r="C373" s="6"/>
      <c r="D373" s="6"/>
      <c r="E373" s="6"/>
      <c r="F373" s="6"/>
    </row>
    <row r="374">
      <c r="B374" s="3"/>
      <c r="C374" s="6"/>
      <c r="D374" s="6"/>
      <c r="E374" s="6"/>
      <c r="F374" s="6"/>
    </row>
    <row r="375">
      <c r="B375" s="3"/>
      <c r="C375" s="6"/>
      <c r="D375" s="6"/>
      <c r="E375" s="6"/>
      <c r="F375" s="6"/>
    </row>
    <row r="376">
      <c r="B376" s="3"/>
      <c r="C376" s="6"/>
      <c r="D376" s="6"/>
      <c r="E376" s="6"/>
      <c r="F376" s="6"/>
    </row>
    <row r="377">
      <c r="B377" s="3"/>
      <c r="C377" s="6"/>
      <c r="D377" s="6"/>
      <c r="E377" s="6"/>
      <c r="F377" s="6"/>
    </row>
    <row r="378">
      <c r="B378" s="3"/>
      <c r="C378" s="6"/>
      <c r="D378" s="6"/>
      <c r="E378" s="6"/>
      <c r="F378" s="6"/>
    </row>
    <row r="379">
      <c r="B379" s="3"/>
      <c r="C379" s="6"/>
      <c r="D379" s="6"/>
      <c r="E379" s="6"/>
      <c r="F379" s="6"/>
    </row>
    <row r="380">
      <c r="B380" s="3"/>
      <c r="C380" s="6"/>
      <c r="D380" s="6"/>
      <c r="E380" s="6"/>
      <c r="F380" s="6"/>
    </row>
    <row r="381">
      <c r="B381" s="3"/>
      <c r="C381" s="6"/>
      <c r="D381" s="6"/>
      <c r="E381" s="6"/>
      <c r="F381" s="6"/>
    </row>
    <row r="382">
      <c r="B382" s="3"/>
      <c r="C382" s="6"/>
      <c r="D382" s="6"/>
      <c r="E382" s="6"/>
      <c r="F382" s="6"/>
    </row>
    <row r="383">
      <c r="B383" s="3"/>
      <c r="C383" s="6"/>
      <c r="D383" s="6"/>
      <c r="E383" s="6"/>
      <c r="F383" s="6"/>
    </row>
    <row r="384">
      <c r="B384" s="3"/>
      <c r="C384" s="6"/>
      <c r="D384" s="6"/>
      <c r="E384" s="6"/>
      <c r="F384" s="6"/>
    </row>
    <row r="385">
      <c r="B385" s="3"/>
      <c r="C385" s="6"/>
      <c r="D385" s="6"/>
      <c r="E385" s="6"/>
      <c r="F385" s="6"/>
    </row>
    <row r="386">
      <c r="B386" s="3"/>
      <c r="C386" s="6"/>
      <c r="D386" s="6"/>
      <c r="E386" s="6"/>
      <c r="F386" s="6"/>
    </row>
    <row r="387">
      <c r="B387" s="3"/>
      <c r="C387" s="6"/>
      <c r="D387" s="6"/>
      <c r="E387" s="6"/>
      <c r="F387" s="6"/>
    </row>
    <row r="388">
      <c r="B388" s="3"/>
      <c r="C388" s="6"/>
      <c r="D388" s="6"/>
      <c r="E388" s="6"/>
      <c r="F388" s="6"/>
    </row>
    <row r="389">
      <c r="B389" s="3"/>
      <c r="C389" s="6"/>
      <c r="D389" s="6"/>
      <c r="E389" s="6"/>
      <c r="F389" s="6"/>
    </row>
    <row r="390">
      <c r="B390" s="3"/>
      <c r="C390" s="6"/>
      <c r="D390" s="6"/>
      <c r="E390" s="6"/>
      <c r="F390" s="6"/>
    </row>
    <row r="391">
      <c r="B391" s="3"/>
      <c r="C391" s="6"/>
      <c r="D391" s="6"/>
      <c r="E391" s="6"/>
      <c r="F391" s="6"/>
    </row>
    <row r="392">
      <c r="B392" s="3"/>
      <c r="C392" s="6"/>
      <c r="D392" s="6"/>
      <c r="E392" s="6"/>
      <c r="F392" s="6"/>
    </row>
    <row r="393">
      <c r="B393" s="3"/>
      <c r="C393" s="6"/>
      <c r="D393" s="6"/>
      <c r="E393" s="6"/>
      <c r="F393" s="6"/>
    </row>
    <row r="394">
      <c r="B394" s="3"/>
      <c r="C394" s="6"/>
      <c r="D394" s="6"/>
      <c r="E394" s="6"/>
      <c r="F394" s="6"/>
    </row>
    <row r="395">
      <c r="B395" s="3"/>
      <c r="C395" s="6"/>
      <c r="D395" s="6"/>
      <c r="E395" s="6"/>
      <c r="F395" s="6"/>
    </row>
    <row r="396">
      <c r="B396" s="3"/>
      <c r="C396" s="6"/>
      <c r="D396" s="6"/>
      <c r="E396" s="6"/>
      <c r="F396" s="6"/>
    </row>
    <row r="397">
      <c r="B397" s="3"/>
      <c r="C397" s="6"/>
      <c r="D397" s="6"/>
      <c r="E397" s="6"/>
      <c r="F397" s="6"/>
    </row>
    <row r="398">
      <c r="B398" s="3"/>
      <c r="C398" s="6"/>
      <c r="D398" s="6"/>
      <c r="E398" s="6"/>
      <c r="F398" s="6"/>
    </row>
    <row r="399">
      <c r="B399" s="3"/>
      <c r="C399" s="6"/>
      <c r="D399" s="6"/>
      <c r="E399" s="6"/>
      <c r="F399" s="6"/>
    </row>
    <row r="400">
      <c r="B400" s="3"/>
      <c r="C400" s="6"/>
      <c r="D400" s="6"/>
      <c r="E400" s="6"/>
      <c r="F400" s="6"/>
    </row>
    <row r="401">
      <c r="B401" s="3"/>
      <c r="C401" s="6"/>
      <c r="D401" s="6"/>
      <c r="E401" s="6"/>
      <c r="F401" s="6"/>
    </row>
    <row r="402">
      <c r="B402" s="3"/>
      <c r="C402" s="6"/>
      <c r="D402" s="6"/>
      <c r="E402" s="6"/>
      <c r="F402" s="6"/>
    </row>
    <row r="403">
      <c r="B403" s="3"/>
      <c r="C403" s="6"/>
      <c r="D403" s="6"/>
      <c r="E403" s="6"/>
      <c r="F403" s="6"/>
    </row>
    <row r="404">
      <c r="B404" s="3"/>
      <c r="C404" s="6"/>
      <c r="D404" s="6"/>
      <c r="E404" s="6"/>
      <c r="F404" s="6"/>
    </row>
    <row r="405">
      <c r="B405" s="3"/>
      <c r="C405" s="6"/>
      <c r="D405" s="6"/>
      <c r="E405" s="6"/>
      <c r="F405" s="6"/>
    </row>
    <row r="406">
      <c r="B406" s="3"/>
      <c r="C406" s="6"/>
      <c r="D406" s="6"/>
      <c r="E406" s="6"/>
      <c r="F406" s="6"/>
    </row>
    <row r="407">
      <c r="B407" s="3"/>
      <c r="C407" s="6"/>
      <c r="D407" s="6"/>
      <c r="E407" s="6"/>
      <c r="F407" s="6"/>
    </row>
    <row r="408">
      <c r="B408" s="3"/>
      <c r="C408" s="6"/>
      <c r="D408" s="6"/>
      <c r="E408" s="6"/>
      <c r="F408" s="6"/>
    </row>
    <row r="409">
      <c r="B409" s="3"/>
      <c r="C409" s="6"/>
      <c r="D409" s="6"/>
      <c r="E409" s="6"/>
      <c r="F409" s="6"/>
    </row>
    <row r="410">
      <c r="B410" s="3"/>
      <c r="C410" s="6"/>
      <c r="D410" s="6"/>
      <c r="E410" s="6"/>
      <c r="F410" s="6"/>
    </row>
    <row r="411">
      <c r="B411" s="3"/>
      <c r="C411" s="6"/>
      <c r="D411" s="6"/>
      <c r="E411" s="6"/>
      <c r="F411" s="6"/>
    </row>
    <row r="412">
      <c r="B412" s="3"/>
      <c r="C412" s="6"/>
      <c r="D412" s="6"/>
      <c r="E412" s="6"/>
      <c r="F412" s="6"/>
    </row>
    <row r="413">
      <c r="B413" s="3"/>
      <c r="C413" s="6"/>
      <c r="D413" s="6"/>
      <c r="E413" s="6"/>
      <c r="F413" s="6"/>
    </row>
    <row r="414">
      <c r="B414" s="3"/>
      <c r="C414" s="6"/>
      <c r="D414" s="6"/>
      <c r="E414" s="6"/>
      <c r="F414" s="6"/>
    </row>
    <row r="415">
      <c r="B415" s="3"/>
      <c r="C415" s="6"/>
      <c r="D415" s="6"/>
      <c r="E415" s="6"/>
      <c r="F415" s="6"/>
    </row>
    <row r="416">
      <c r="B416" s="3"/>
      <c r="C416" s="6"/>
      <c r="D416" s="6"/>
      <c r="E416" s="6"/>
      <c r="F416" s="6"/>
    </row>
    <row r="417">
      <c r="B417" s="3"/>
      <c r="C417" s="6"/>
      <c r="D417" s="6"/>
      <c r="E417" s="6"/>
      <c r="F417" s="6"/>
    </row>
    <row r="418">
      <c r="B418" s="3"/>
      <c r="C418" s="6"/>
      <c r="D418" s="6"/>
      <c r="E418" s="6"/>
      <c r="F418" s="6"/>
    </row>
    <row r="419">
      <c r="B419" s="3"/>
      <c r="C419" s="6"/>
      <c r="D419" s="6"/>
      <c r="E419" s="6"/>
      <c r="F419" s="6"/>
    </row>
    <row r="420">
      <c r="B420" s="3"/>
      <c r="C420" s="6"/>
      <c r="D420" s="6"/>
      <c r="E420" s="6"/>
      <c r="F420" s="6"/>
    </row>
    <row r="421">
      <c r="B421" s="3"/>
      <c r="C421" s="6"/>
      <c r="D421" s="6"/>
      <c r="E421" s="6"/>
      <c r="F421" s="6"/>
    </row>
    <row r="422">
      <c r="B422" s="3"/>
      <c r="C422" s="6"/>
      <c r="D422" s="6"/>
      <c r="E422" s="6"/>
      <c r="F422" s="6"/>
    </row>
    <row r="423">
      <c r="B423" s="3"/>
      <c r="C423" s="6"/>
      <c r="D423" s="6"/>
      <c r="E423" s="6"/>
      <c r="F423" s="6"/>
    </row>
    <row r="424">
      <c r="B424" s="3"/>
      <c r="C424" s="6"/>
      <c r="D424" s="6"/>
      <c r="E424" s="6"/>
      <c r="F424" s="6"/>
    </row>
    <row r="425">
      <c r="B425" s="3"/>
      <c r="C425" s="6"/>
      <c r="D425" s="6"/>
      <c r="E425" s="6"/>
      <c r="F425" s="6"/>
    </row>
    <row r="426">
      <c r="B426" s="3"/>
      <c r="C426" s="6"/>
      <c r="D426" s="6"/>
      <c r="E426" s="6"/>
      <c r="F426" s="6"/>
    </row>
    <row r="427">
      <c r="B427" s="3"/>
      <c r="C427" s="6"/>
      <c r="D427" s="6"/>
      <c r="E427" s="6"/>
      <c r="F427" s="6"/>
    </row>
    <row r="428">
      <c r="B428" s="3"/>
      <c r="C428" s="6"/>
      <c r="D428" s="6"/>
      <c r="E428" s="6"/>
      <c r="F428" s="6"/>
    </row>
    <row r="429">
      <c r="B429" s="3"/>
      <c r="C429" s="6"/>
      <c r="D429" s="6"/>
      <c r="E429" s="6"/>
      <c r="F429" s="6"/>
    </row>
    <row r="430">
      <c r="B430" s="3"/>
      <c r="C430" s="6"/>
      <c r="D430" s="6"/>
      <c r="E430" s="6"/>
      <c r="F430" s="6"/>
    </row>
    <row r="431">
      <c r="B431" s="3"/>
      <c r="C431" s="6"/>
      <c r="D431" s="6"/>
      <c r="E431" s="6"/>
      <c r="F431" s="6"/>
    </row>
    <row r="432">
      <c r="B432" s="3"/>
      <c r="C432" s="6"/>
      <c r="D432" s="6"/>
      <c r="E432" s="6"/>
      <c r="F432" s="6"/>
    </row>
    <row r="433">
      <c r="B433" s="3"/>
      <c r="C433" s="6"/>
      <c r="D433" s="6"/>
      <c r="E433" s="6"/>
      <c r="F433" s="6"/>
    </row>
    <row r="434">
      <c r="B434" s="3"/>
      <c r="C434" s="6"/>
      <c r="D434" s="6"/>
      <c r="E434" s="6"/>
      <c r="F434" s="6"/>
    </row>
    <row r="435">
      <c r="B435" s="3"/>
      <c r="C435" s="6"/>
      <c r="D435" s="6"/>
      <c r="E435" s="6"/>
      <c r="F435" s="6"/>
    </row>
    <row r="436">
      <c r="B436" s="3"/>
      <c r="C436" s="6"/>
      <c r="D436" s="6"/>
      <c r="E436" s="6"/>
      <c r="F436" s="6"/>
    </row>
    <row r="437">
      <c r="B437" s="3"/>
      <c r="C437" s="6"/>
      <c r="D437" s="6"/>
      <c r="E437" s="6"/>
      <c r="F437" s="6"/>
    </row>
    <row r="438">
      <c r="B438" s="3"/>
      <c r="C438" s="6"/>
      <c r="D438" s="6"/>
      <c r="E438" s="6"/>
      <c r="F438" s="6"/>
    </row>
    <row r="439">
      <c r="B439" s="3"/>
      <c r="C439" s="6"/>
      <c r="D439" s="6"/>
      <c r="E439" s="6"/>
      <c r="F439" s="6"/>
    </row>
    <row r="440">
      <c r="B440" s="3"/>
      <c r="C440" s="6"/>
      <c r="D440" s="6"/>
      <c r="E440" s="6"/>
      <c r="F440" s="6"/>
    </row>
    <row r="441">
      <c r="B441" s="3"/>
      <c r="C441" s="6"/>
      <c r="D441" s="6"/>
      <c r="E441" s="6"/>
      <c r="F441" s="6"/>
    </row>
    <row r="442">
      <c r="B442" s="3"/>
      <c r="C442" s="6"/>
      <c r="D442" s="6"/>
      <c r="E442" s="6"/>
      <c r="F442" s="6"/>
    </row>
    <row r="443">
      <c r="B443" s="3"/>
      <c r="C443" s="6"/>
      <c r="D443" s="6"/>
      <c r="E443" s="6"/>
      <c r="F443" s="6"/>
    </row>
    <row r="444">
      <c r="B444" s="3"/>
      <c r="C444" s="6"/>
      <c r="D444" s="6"/>
      <c r="E444" s="6"/>
      <c r="F444" s="6"/>
    </row>
    <row r="445">
      <c r="B445" s="3"/>
      <c r="C445" s="6"/>
      <c r="D445" s="6"/>
      <c r="E445" s="6"/>
      <c r="F445" s="6"/>
    </row>
    <row r="446">
      <c r="B446" s="3"/>
      <c r="C446" s="6"/>
      <c r="D446" s="6"/>
      <c r="E446" s="6"/>
      <c r="F446" s="6"/>
    </row>
    <row r="447">
      <c r="B447" s="3"/>
      <c r="C447" s="6"/>
      <c r="D447" s="6"/>
      <c r="E447" s="6"/>
      <c r="F447" s="6"/>
    </row>
    <row r="448">
      <c r="B448" s="3"/>
      <c r="C448" s="6"/>
      <c r="D448" s="6"/>
      <c r="E448" s="6"/>
      <c r="F448" s="6"/>
    </row>
    <row r="449">
      <c r="B449" s="3"/>
      <c r="C449" s="6"/>
      <c r="D449" s="6"/>
      <c r="E449" s="6"/>
      <c r="F449" s="6"/>
    </row>
    <row r="450">
      <c r="B450" s="3"/>
      <c r="C450" s="6"/>
      <c r="D450" s="6"/>
      <c r="E450" s="6"/>
      <c r="F450" s="6"/>
    </row>
    <row r="451">
      <c r="B451" s="3"/>
      <c r="C451" s="6"/>
      <c r="D451" s="6"/>
      <c r="E451" s="6"/>
      <c r="F451" s="6"/>
    </row>
    <row r="452">
      <c r="B452" s="3"/>
      <c r="C452" s="6"/>
      <c r="D452" s="6"/>
      <c r="E452" s="6"/>
      <c r="F452" s="6"/>
    </row>
    <row r="453">
      <c r="B453" s="3"/>
      <c r="C453" s="6"/>
      <c r="D453" s="6"/>
      <c r="E453" s="6"/>
      <c r="F453" s="6"/>
    </row>
    <row r="454">
      <c r="B454" s="3"/>
      <c r="C454" s="6"/>
      <c r="D454" s="6"/>
      <c r="E454" s="6"/>
      <c r="F454" s="6"/>
    </row>
    <row r="455">
      <c r="B455" s="3"/>
      <c r="C455" s="6"/>
      <c r="D455" s="6"/>
      <c r="E455" s="6"/>
      <c r="F455" s="6"/>
    </row>
    <row r="456">
      <c r="B456" s="3"/>
      <c r="C456" s="6"/>
      <c r="D456" s="6"/>
      <c r="E456" s="6"/>
      <c r="F456" s="6"/>
    </row>
    <row r="457">
      <c r="B457" s="3"/>
      <c r="C457" s="6"/>
      <c r="D457" s="6"/>
      <c r="E457" s="6"/>
      <c r="F457" s="6"/>
    </row>
    <row r="458">
      <c r="B458" s="3"/>
      <c r="C458" s="6"/>
      <c r="D458" s="6"/>
      <c r="E458" s="6"/>
      <c r="F458" s="6"/>
    </row>
    <row r="459">
      <c r="B459" s="3"/>
      <c r="C459" s="6"/>
      <c r="D459" s="6"/>
      <c r="E459" s="6"/>
      <c r="F459" s="6"/>
    </row>
    <row r="460">
      <c r="B460" s="3"/>
      <c r="C460" s="6"/>
      <c r="D460" s="6"/>
      <c r="E460" s="6"/>
      <c r="F460" s="6"/>
    </row>
    <row r="461">
      <c r="B461" s="3"/>
      <c r="C461" s="6"/>
      <c r="D461" s="6"/>
      <c r="E461" s="6"/>
      <c r="F461" s="6"/>
    </row>
    <row r="462">
      <c r="B462" s="3"/>
      <c r="C462" s="6"/>
      <c r="D462" s="6"/>
      <c r="E462" s="6"/>
      <c r="F462" s="6"/>
    </row>
    <row r="463">
      <c r="B463" s="3"/>
      <c r="C463" s="6"/>
      <c r="D463" s="6"/>
      <c r="E463" s="6"/>
      <c r="F463" s="6"/>
    </row>
    <row r="464">
      <c r="B464" s="3"/>
      <c r="C464" s="6"/>
      <c r="D464" s="6"/>
      <c r="E464" s="6"/>
      <c r="F464" s="6"/>
    </row>
    <row r="465">
      <c r="B465" s="3"/>
      <c r="C465" s="6"/>
      <c r="D465" s="6"/>
      <c r="E465" s="6"/>
      <c r="F465" s="6"/>
    </row>
    <row r="466">
      <c r="B466" s="3"/>
      <c r="C466" s="6"/>
      <c r="D466" s="6"/>
      <c r="E466" s="6"/>
      <c r="F466" s="6"/>
    </row>
    <row r="467">
      <c r="B467" s="3"/>
      <c r="C467" s="6"/>
      <c r="D467" s="6"/>
      <c r="E467" s="6"/>
      <c r="F467" s="6"/>
    </row>
    <row r="468">
      <c r="B468" s="3"/>
      <c r="C468" s="6"/>
      <c r="D468" s="6"/>
      <c r="E468" s="6"/>
      <c r="F468" s="6"/>
    </row>
    <row r="469">
      <c r="B469" s="3"/>
      <c r="C469" s="6"/>
      <c r="D469" s="6"/>
      <c r="E469" s="6"/>
      <c r="F469" s="6"/>
    </row>
    <row r="470">
      <c r="B470" s="3"/>
      <c r="C470" s="6"/>
      <c r="D470" s="6"/>
      <c r="E470" s="6"/>
      <c r="F470" s="6"/>
    </row>
    <row r="471">
      <c r="B471" s="3"/>
      <c r="C471" s="6"/>
      <c r="D471" s="6"/>
      <c r="E471" s="6"/>
      <c r="F471" s="6"/>
    </row>
    <row r="472">
      <c r="B472" s="3"/>
      <c r="C472" s="6"/>
      <c r="D472" s="6"/>
      <c r="E472" s="6"/>
      <c r="F472" s="6"/>
    </row>
    <row r="473">
      <c r="B473" s="3"/>
      <c r="C473" s="6"/>
      <c r="D473" s="6"/>
      <c r="E473" s="6"/>
      <c r="F473" s="6"/>
    </row>
    <row r="474">
      <c r="B474" s="3"/>
      <c r="C474" s="6"/>
      <c r="D474" s="6"/>
      <c r="E474" s="6"/>
      <c r="F474" s="6"/>
    </row>
    <row r="475">
      <c r="B475" s="3"/>
      <c r="C475" s="6"/>
      <c r="D475" s="6"/>
      <c r="E475" s="6"/>
      <c r="F475" s="6"/>
    </row>
    <row r="476">
      <c r="B476" s="3"/>
      <c r="C476" s="6"/>
      <c r="D476" s="6"/>
      <c r="E476" s="6"/>
      <c r="F476" s="6"/>
    </row>
    <row r="477">
      <c r="B477" s="3"/>
      <c r="C477" s="6"/>
      <c r="D477" s="6"/>
      <c r="E477" s="6"/>
      <c r="F477" s="6"/>
    </row>
    <row r="478">
      <c r="B478" s="3"/>
      <c r="C478" s="6"/>
      <c r="D478" s="6"/>
      <c r="E478" s="6"/>
      <c r="F478" s="6"/>
    </row>
    <row r="479">
      <c r="B479" s="3"/>
      <c r="C479" s="6"/>
      <c r="D479" s="6"/>
      <c r="E479" s="6"/>
      <c r="F479" s="6"/>
    </row>
    <row r="480">
      <c r="B480" s="3"/>
      <c r="C480" s="6"/>
      <c r="D480" s="6"/>
      <c r="E480" s="6"/>
      <c r="F480" s="6"/>
    </row>
    <row r="481">
      <c r="B481" s="3"/>
      <c r="C481" s="6"/>
      <c r="D481" s="6"/>
      <c r="E481" s="6"/>
      <c r="F481" s="6"/>
    </row>
    <row r="482">
      <c r="B482" s="3"/>
      <c r="C482" s="6"/>
      <c r="D482" s="6"/>
      <c r="E482" s="6"/>
      <c r="F482" s="6"/>
    </row>
    <row r="483">
      <c r="B483" s="3"/>
      <c r="C483" s="6"/>
      <c r="D483" s="6"/>
      <c r="E483" s="6"/>
      <c r="F483" s="6"/>
    </row>
    <row r="484">
      <c r="B484" s="3"/>
      <c r="C484" s="6"/>
      <c r="D484" s="6"/>
      <c r="E484" s="6"/>
      <c r="F484" s="6"/>
    </row>
    <row r="485">
      <c r="B485" s="3"/>
      <c r="C485" s="6"/>
      <c r="D485" s="6"/>
      <c r="E485" s="6"/>
      <c r="F485" s="6"/>
    </row>
    <row r="486">
      <c r="B486" s="3"/>
      <c r="C486" s="6"/>
      <c r="D486" s="6"/>
      <c r="E486" s="6"/>
      <c r="F486" s="6"/>
    </row>
    <row r="487">
      <c r="B487" s="3"/>
      <c r="C487" s="6"/>
      <c r="D487" s="6"/>
      <c r="E487" s="6"/>
      <c r="F487" s="6"/>
    </row>
    <row r="488">
      <c r="B488" s="3"/>
      <c r="C488" s="6"/>
      <c r="D488" s="6"/>
      <c r="E488" s="6"/>
      <c r="F488" s="6"/>
    </row>
    <row r="489">
      <c r="B489" s="3"/>
      <c r="C489" s="6"/>
      <c r="D489" s="6"/>
      <c r="E489" s="6"/>
      <c r="F489" s="6"/>
    </row>
    <row r="490">
      <c r="B490" s="3"/>
      <c r="C490" s="6"/>
      <c r="D490" s="6"/>
      <c r="E490" s="6"/>
      <c r="F490" s="6"/>
    </row>
    <row r="491">
      <c r="B491" s="3"/>
      <c r="C491" s="6"/>
      <c r="D491" s="6"/>
      <c r="E491" s="6"/>
      <c r="F491" s="6"/>
    </row>
    <row r="492">
      <c r="B492" s="3"/>
      <c r="C492" s="6"/>
      <c r="D492" s="6"/>
      <c r="E492" s="6"/>
      <c r="F492" s="6"/>
    </row>
    <row r="493">
      <c r="B493" s="3"/>
      <c r="C493" s="6"/>
      <c r="D493" s="6"/>
      <c r="E493" s="6"/>
      <c r="F493" s="6"/>
    </row>
    <row r="494">
      <c r="B494" s="3"/>
      <c r="C494" s="6"/>
      <c r="D494" s="6"/>
      <c r="E494" s="6"/>
      <c r="F494" s="6"/>
    </row>
    <row r="495">
      <c r="B495" s="3"/>
      <c r="C495" s="6"/>
      <c r="D495" s="6"/>
      <c r="E495" s="6"/>
      <c r="F495" s="6"/>
    </row>
    <row r="496">
      <c r="B496" s="3"/>
      <c r="C496" s="6"/>
      <c r="D496" s="6"/>
      <c r="E496" s="6"/>
      <c r="F496" s="6"/>
    </row>
    <row r="497">
      <c r="B497" s="3"/>
      <c r="C497" s="6"/>
      <c r="D497" s="6"/>
      <c r="E497" s="6"/>
      <c r="F497" s="6"/>
    </row>
    <row r="498">
      <c r="B498" s="3"/>
      <c r="C498" s="6"/>
      <c r="D498" s="6"/>
      <c r="E498" s="6"/>
      <c r="F498" s="6"/>
    </row>
    <row r="499">
      <c r="B499" s="3"/>
      <c r="C499" s="6"/>
      <c r="D499" s="6"/>
      <c r="E499" s="6"/>
      <c r="F499" s="6"/>
    </row>
    <row r="500">
      <c r="B500" s="3"/>
      <c r="C500" s="6"/>
      <c r="D500" s="6"/>
      <c r="E500" s="6"/>
      <c r="F500" s="6"/>
    </row>
    <row r="501">
      <c r="B501" s="3"/>
      <c r="C501" s="6"/>
      <c r="D501" s="6"/>
      <c r="E501" s="6"/>
      <c r="F501" s="6"/>
    </row>
    <row r="502">
      <c r="B502" s="3"/>
      <c r="C502" s="6"/>
      <c r="D502" s="6"/>
      <c r="E502" s="6"/>
      <c r="F502" s="6"/>
    </row>
    <row r="503">
      <c r="B503" s="3"/>
      <c r="C503" s="6"/>
      <c r="D503" s="6"/>
      <c r="E503" s="6"/>
      <c r="F503" s="6"/>
    </row>
    <row r="504">
      <c r="B504" s="3"/>
      <c r="C504" s="6"/>
      <c r="D504" s="6"/>
      <c r="E504" s="6"/>
      <c r="F504" s="6"/>
    </row>
    <row r="505">
      <c r="B505" s="3"/>
      <c r="C505" s="6"/>
      <c r="D505" s="6"/>
      <c r="E505" s="6"/>
      <c r="F505" s="6"/>
    </row>
    <row r="506">
      <c r="B506" s="3"/>
      <c r="C506" s="6"/>
      <c r="D506" s="6"/>
      <c r="E506" s="6"/>
      <c r="F506" s="6"/>
    </row>
    <row r="507">
      <c r="B507" s="3"/>
      <c r="C507" s="6"/>
      <c r="D507" s="6"/>
      <c r="E507" s="6"/>
      <c r="F507" s="6"/>
    </row>
    <row r="508">
      <c r="B508" s="3"/>
      <c r="C508" s="6"/>
      <c r="D508" s="6"/>
      <c r="E508" s="6"/>
      <c r="F508" s="6"/>
    </row>
    <row r="509">
      <c r="B509" s="3"/>
      <c r="C509" s="6"/>
      <c r="D509" s="6"/>
      <c r="E509" s="6"/>
      <c r="F509" s="6"/>
    </row>
    <row r="510">
      <c r="B510" s="3"/>
      <c r="C510" s="6"/>
      <c r="D510" s="6"/>
      <c r="E510" s="6"/>
      <c r="F510" s="6"/>
    </row>
    <row r="511">
      <c r="B511" s="3"/>
      <c r="C511" s="6"/>
      <c r="D511" s="6"/>
      <c r="E511" s="6"/>
      <c r="F511" s="6"/>
    </row>
    <row r="512">
      <c r="B512" s="3"/>
      <c r="C512" s="6"/>
      <c r="D512" s="6"/>
      <c r="E512" s="6"/>
      <c r="F512" s="6"/>
    </row>
    <row r="513">
      <c r="B513" s="3"/>
      <c r="C513" s="6"/>
      <c r="D513" s="6"/>
      <c r="E513" s="6"/>
      <c r="F513" s="6"/>
    </row>
    <row r="514">
      <c r="B514" s="3"/>
      <c r="C514" s="6"/>
      <c r="D514" s="6"/>
      <c r="E514" s="6"/>
      <c r="F514" s="6"/>
    </row>
    <row r="515">
      <c r="B515" s="3"/>
      <c r="C515" s="6"/>
      <c r="D515" s="6"/>
      <c r="E515" s="6"/>
      <c r="F515" s="6"/>
    </row>
    <row r="516">
      <c r="B516" s="3"/>
      <c r="C516" s="6"/>
      <c r="D516" s="6"/>
      <c r="E516" s="6"/>
      <c r="F516" s="6"/>
    </row>
    <row r="517">
      <c r="B517" s="3"/>
      <c r="C517" s="6"/>
      <c r="D517" s="6"/>
      <c r="E517" s="6"/>
      <c r="F517" s="6"/>
    </row>
    <row r="518">
      <c r="B518" s="3"/>
      <c r="C518" s="6"/>
      <c r="D518" s="6"/>
      <c r="E518" s="6"/>
      <c r="F518" s="6"/>
    </row>
    <row r="519">
      <c r="B519" s="3"/>
      <c r="C519" s="6"/>
      <c r="D519" s="6"/>
      <c r="E519" s="6"/>
      <c r="F519" s="6"/>
    </row>
    <row r="520">
      <c r="B520" s="3"/>
      <c r="C520" s="6"/>
      <c r="D520" s="6"/>
      <c r="E520" s="6"/>
      <c r="F520" s="6"/>
    </row>
    <row r="521">
      <c r="B521" s="3"/>
      <c r="C521" s="6"/>
      <c r="D521" s="6"/>
      <c r="E521" s="6"/>
      <c r="F521" s="6"/>
    </row>
    <row r="522">
      <c r="B522" s="3"/>
      <c r="C522" s="6"/>
      <c r="D522" s="6"/>
      <c r="E522" s="6"/>
      <c r="F522" s="6"/>
    </row>
    <row r="523">
      <c r="B523" s="3"/>
      <c r="C523" s="6"/>
      <c r="D523" s="6"/>
      <c r="E523" s="6"/>
      <c r="F523" s="6"/>
    </row>
    <row r="524">
      <c r="B524" s="3"/>
      <c r="C524" s="6"/>
      <c r="D524" s="6"/>
      <c r="E524" s="6"/>
      <c r="F524" s="6"/>
    </row>
    <row r="525">
      <c r="B525" s="3"/>
      <c r="C525" s="6"/>
      <c r="D525" s="6"/>
      <c r="E525" s="6"/>
      <c r="F525" s="6"/>
    </row>
    <row r="526">
      <c r="B526" s="3"/>
      <c r="C526" s="6"/>
      <c r="D526" s="6"/>
      <c r="E526" s="6"/>
      <c r="F526" s="6"/>
    </row>
    <row r="527">
      <c r="B527" s="3"/>
      <c r="C527" s="6"/>
      <c r="D527" s="6"/>
      <c r="E527" s="6"/>
      <c r="F527" s="6"/>
    </row>
    <row r="528">
      <c r="B528" s="3"/>
      <c r="C528" s="6"/>
      <c r="D528" s="6"/>
      <c r="E528" s="6"/>
      <c r="F528" s="6"/>
    </row>
    <row r="529">
      <c r="B529" s="3"/>
      <c r="C529" s="6"/>
      <c r="D529" s="6"/>
      <c r="E529" s="6"/>
      <c r="F529" s="6"/>
    </row>
    <row r="530">
      <c r="B530" s="3"/>
      <c r="C530" s="6"/>
      <c r="D530" s="6"/>
      <c r="E530" s="6"/>
      <c r="F530" s="6"/>
    </row>
    <row r="531">
      <c r="B531" s="3"/>
      <c r="C531" s="6"/>
      <c r="D531" s="6"/>
      <c r="E531" s="6"/>
      <c r="F531" s="6"/>
    </row>
    <row r="532">
      <c r="B532" s="3"/>
      <c r="C532" s="6"/>
      <c r="D532" s="6"/>
      <c r="E532" s="6"/>
      <c r="F532" s="6"/>
    </row>
    <row r="533">
      <c r="B533" s="3"/>
      <c r="C533" s="6"/>
      <c r="D533" s="6"/>
      <c r="E533" s="6"/>
      <c r="F533" s="6"/>
    </row>
    <row r="534">
      <c r="B534" s="3"/>
      <c r="C534" s="6"/>
      <c r="D534" s="6"/>
      <c r="E534" s="6"/>
      <c r="F534" s="6"/>
    </row>
    <row r="535">
      <c r="B535" s="3"/>
      <c r="C535" s="6"/>
      <c r="D535" s="6"/>
      <c r="E535" s="6"/>
      <c r="F535" s="6"/>
    </row>
    <row r="536">
      <c r="B536" s="3"/>
      <c r="C536" s="6"/>
      <c r="D536" s="6"/>
      <c r="E536" s="6"/>
      <c r="F536" s="6"/>
    </row>
    <row r="537">
      <c r="B537" s="3"/>
      <c r="C537" s="6"/>
      <c r="D537" s="6"/>
      <c r="E537" s="6"/>
      <c r="F537" s="6"/>
    </row>
    <row r="538">
      <c r="B538" s="3"/>
      <c r="C538" s="6"/>
      <c r="D538" s="6"/>
      <c r="E538" s="6"/>
      <c r="F538" s="6"/>
    </row>
    <row r="539">
      <c r="B539" s="3"/>
      <c r="C539" s="6"/>
      <c r="D539" s="6"/>
      <c r="E539" s="6"/>
      <c r="F539" s="6"/>
    </row>
    <row r="540">
      <c r="B540" s="3"/>
      <c r="C540" s="6"/>
      <c r="D540" s="6"/>
      <c r="E540" s="6"/>
      <c r="F540" s="6"/>
    </row>
    <row r="541">
      <c r="B541" s="3"/>
      <c r="C541" s="6"/>
      <c r="D541" s="6"/>
      <c r="E541" s="6"/>
      <c r="F541" s="6"/>
    </row>
    <row r="542">
      <c r="B542" s="3"/>
      <c r="C542" s="6"/>
      <c r="D542" s="6"/>
      <c r="E542" s="6"/>
      <c r="F542" s="6"/>
    </row>
    <row r="543">
      <c r="B543" s="3"/>
      <c r="C543" s="6"/>
      <c r="D543" s="6"/>
      <c r="E543" s="6"/>
      <c r="F543" s="6"/>
    </row>
    <row r="544">
      <c r="B544" s="3"/>
      <c r="C544" s="6"/>
      <c r="D544" s="6"/>
      <c r="E544" s="6"/>
      <c r="F544" s="6"/>
    </row>
    <row r="545">
      <c r="B545" s="3"/>
      <c r="C545" s="6"/>
      <c r="D545" s="6"/>
      <c r="E545" s="6"/>
      <c r="F545" s="6"/>
    </row>
    <row r="546">
      <c r="B546" s="3"/>
      <c r="C546" s="6"/>
      <c r="D546" s="6"/>
      <c r="E546" s="6"/>
      <c r="F546" s="6"/>
    </row>
    <row r="547">
      <c r="B547" s="3"/>
      <c r="C547" s="6"/>
      <c r="D547" s="6"/>
      <c r="E547" s="6"/>
      <c r="F547" s="6"/>
    </row>
    <row r="548">
      <c r="B548" s="3"/>
      <c r="C548" s="6"/>
      <c r="D548" s="6"/>
      <c r="E548" s="6"/>
      <c r="F548" s="6"/>
    </row>
    <row r="549">
      <c r="B549" s="3"/>
      <c r="C549" s="6"/>
      <c r="D549" s="6"/>
      <c r="E549" s="6"/>
      <c r="F549" s="6"/>
    </row>
    <row r="550">
      <c r="B550" s="3"/>
      <c r="C550" s="6"/>
      <c r="D550" s="6"/>
      <c r="E550" s="6"/>
      <c r="F550" s="6"/>
    </row>
    <row r="551">
      <c r="B551" s="3"/>
      <c r="C551" s="6"/>
      <c r="D551" s="6"/>
      <c r="E551" s="6"/>
      <c r="F551" s="6"/>
    </row>
    <row r="552">
      <c r="B552" s="3"/>
      <c r="C552" s="6"/>
      <c r="D552" s="6"/>
      <c r="E552" s="6"/>
      <c r="F552" s="6"/>
    </row>
    <row r="553">
      <c r="B553" s="3"/>
      <c r="C553" s="6"/>
      <c r="D553" s="6"/>
      <c r="E553" s="6"/>
      <c r="F553" s="6"/>
    </row>
    <row r="554">
      <c r="B554" s="3"/>
      <c r="C554" s="6"/>
      <c r="D554" s="6"/>
      <c r="E554" s="6"/>
      <c r="F554" s="6"/>
    </row>
    <row r="555">
      <c r="B555" s="3"/>
      <c r="C555" s="6"/>
      <c r="D555" s="6"/>
      <c r="E555" s="6"/>
      <c r="F555" s="6"/>
    </row>
    <row r="556">
      <c r="B556" s="3"/>
      <c r="C556" s="6"/>
      <c r="D556" s="6"/>
      <c r="E556" s="6"/>
      <c r="F556" s="6"/>
    </row>
    <row r="557">
      <c r="B557" s="3"/>
      <c r="C557" s="6"/>
      <c r="D557" s="6"/>
      <c r="E557" s="6"/>
      <c r="F557" s="6"/>
    </row>
    <row r="558">
      <c r="B558" s="3"/>
      <c r="C558" s="6"/>
      <c r="D558" s="6"/>
      <c r="E558" s="6"/>
      <c r="F558" s="6"/>
    </row>
    <row r="559">
      <c r="B559" s="3"/>
      <c r="C559" s="6"/>
      <c r="D559" s="6"/>
      <c r="E559" s="6"/>
      <c r="F559" s="6"/>
    </row>
    <row r="560">
      <c r="B560" s="3"/>
      <c r="C560" s="6"/>
      <c r="D560" s="6"/>
      <c r="E560" s="6"/>
      <c r="F560" s="6"/>
    </row>
    <row r="561">
      <c r="B561" s="3"/>
      <c r="C561" s="6"/>
      <c r="D561" s="6"/>
      <c r="E561" s="6"/>
      <c r="F561" s="6"/>
    </row>
    <row r="562">
      <c r="B562" s="3"/>
      <c r="C562" s="6"/>
      <c r="D562" s="6"/>
      <c r="E562" s="6"/>
      <c r="F562" s="6"/>
    </row>
    <row r="563">
      <c r="B563" s="3"/>
      <c r="C563" s="6"/>
      <c r="D563" s="6"/>
      <c r="E563" s="6"/>
      <c r="F563" s="6"/>
    </row>
    <row r="564">
      <c r="B564" s="3"/>
      <c r="C564" s="6"/>
      <c r="D564" s="6"/>
      <c r="E564" s="6"/>
      <c r="F564" s="6"/>
    </row>
    <row r="565">
      <c r="B565" s="3"/>
      <c r="C565" s="6"/>
      <c r="D565" s="6"/>
      <c r="E565" s="6"/>
      <c r="F565" s="6"/>
    </row>
    <row r="566">
      <c r="B566" s="3"/>
      <c r="C566" s="6"/>
      <c r="D566" s="6"/>
      <c r="E566" s="6"/>
      <c r="F566" s="6"/>
    </row>
    <row r="567">
      <c r="B567" s="3"/>
      <c r="C567" s="6"/>
      <c r="D567" s="6"/>
      <c r="E567" s="6"/>
      <c r="F567" s="6"/>
    </row>
    <row r="568">
      <c r="B568" s="3"/>
      <c r="C568" s="6"/>
      <c r="D568" s="6"/>
      <c r="E568" s="6"/>
      <c r="F568" s="6"/>
    </row>
    <row r="569">
      <c r="B569" s="3"/>
      <c r="C569" s="6"/>
      <c r="D569" s="6"/>
      <c r="E569" s="6"/>
      <c r="F569" s="6"/>
    </row>
    <row r="570">
      <c r="B570" s="3"/>
      <c r="C570" s="6"/>
      <c r="D570" s="6"/>
      <c r="E570" s="6"/>
      <c r="F570" s="6"/>
    </row>
    <row r="571">
      <c r="B571" s="3"/>
      <c r="C571" s="6"/>
      <c r="D571" s="6"/>
      <c r="E571" s="6"/>
      <c r="F571" s="6"/>
    </row>
    <row r="572">
      <c r="B572" s="3"/>
      <c r="C572" s="6"/>
      <c r="D572" s="6"/>
      <c r="E572" s="6"/>
      <c r="F572" s="6"/>
    </row>
    <row r="573">
      <c r="B573" s="3"/>
      <c r="C573" s="6"/>
      <c r="D573" s="6"/>
      <c r="E573" s="6"/>
      <c r="F573" s="6"/>
    </row>
    <row r="574">
      <c r="B574" s="3"/>
      <c r="C574" s="6"/>
      <c r="D574" s="6"/>
      <c r="E574" s="6"/>
      <c r="F574" s="6"/>
    </row>
    <row r="575">
      <c r="B575" s="3"/>
      <c r="C575" s="6"/>
      <c r="D575" s="6"/>
      <c r="E575" s="6"/>
      <c r="F575" s="6"/>
    </row>
    <row r="576">
      <c r="B576" s="3"/>
      <c r="C576" s="6"/>
      <c r="D576" s="6"/>
      <c r="E576" s="6"/>
      <c r="F576" s="6"/>
    </row>
    <row r="577">
      <c r="B577" s="3"/>
      <c r="C577" s="6"/>
      <c r="D577" s="6"/>
      <c r="E577" s="6"/>
      <c r="F577" s="6"/>
    </row>
    <row r="578">
      <c r="B578" s="3"/>
      <c r="C578" s="6"/>
      <c r="D578" s="6"/>
      <c r="E578" s="6"/>
      <c r="F578" s="6"/>
    </row>
    <row r="579">
      <c r="B579" s="3"/>
      <c r="C579" s="6"/>
      <c r="D579" s="6"/>
      <c r="E579" s="6"/>
      <c r="F579" s="6"/>
    </row>
    <row r="580">
      <c r="B580" s="3"/>
      <c r="C580" s="6"/>
      <c r="D580" s="6"/>
      <c r="E580" s="6"/>
      <c r="F580" s="6"/>
    </row>
    <row r="581">
      <c r="B581" s="3"/>
      <c r="C581" s="6"/>
      <c r="D581" s="6"/>
      <c r="E581" s="6"/>
      <c r="F581" s="6"/>
    </row>
    <row r="582">
      <c r="B582" s="3"/>
      <c r="C582" s="6"/>
      <c r="D582" s="6"/>
      <c r="E582" s="6"/>
      <c r="F582" s="6"/>
    </row>
    <row r="583">
      <c r="B583" s="3"/>
      <c r="C583" s="6"/>
      <c r="D583" s="6"/>
      <c r="E583" s="6"/>
      <c r="F583" s="6"/>
    </row>
    <row r="584">
      <c r="B584" s="3"/>
      <c r="C584" s="6"/>
      <c r="D584" s="6"/>
      <c r="E584" s="6"/>
      <c r="F584" s="6"/>
    </row>
    <row r="585">
      <c r="B585" s="3"/>
      <c r="C585" s="6"/>
      <c r="D585" s="6"/>
      <c r="E585" s="6"/>
      <c r="F585" s="6"/>
    </row>
    <row r="586">
      <c r="B586" s="3"/>
      <c r="C586" s="6"/>
      <c r="D586" s="6"/>
      <c r="E586" s="6"/>
      <c r="F586" s="6"/>
    </row>
    <row r="587">
      <c r="B587" s="3"/>
      <c r="C587" s="6"/>
      <c r="D587" s="6"/>
      <c r="E587" s="6"/>
      <c r="F587" s="6"/>
    </row>
    <row r="588">
      <c r="B588" s="3"/>
      <c r="C588" s="6"/>
      <c r="D588" s="6"/>
      <c r="E588" s="6"/>
      <c r="F588" s="6"/>
    </row>
    <row r="589">
      <c r="B589" s="3"/>
      <c r="C589" s="6"/>
      <c r="D589" s="6"/>
      <c r="E589" s="6"/>
      <c r="F589" s="6"/>
    </row>
    <row r="590">
      <c r="B590" s="3"/>
      <c r="C590" s="6"/>
      <c r="D590" s="6"/>
      <c r="E590" s="6"/>
      <c r="F590" s="6"/>
    </row>
    <row r="591">
      <c r="B591" s="3"/>
      <c r="C591" s="6"/>
      <c r="D591" s="6"/>
      <c r="E591" s="6"/>
      <c r="F591" s="6"/>
    </row>
    <row r="592">
      <c r="B592" s="3"/>
      <c r="C592" s="6"/>
      <c r="D592" s="6"/>
      <c r="E592" s="6"/>
      <c r="F592" s="6"/>
    </row>
    <row r="593">
      <c r="B593" s="3"/>
      <c r="C593" s="6"/>
      <c r="D593" s="6"/>
      <c r="E593" s="6"/>
      <c r="F593" s="6"/>
    </row>
    <row r="594">
      <c r="B594" s="3"/>
      <c r="C594" s="6"/>
      <c r="D594" s="6"/>
      <c r="E594" s="6"/>
      <c r="F594" s="6"/>
    </row>
    <row r="595">
      <c r="B595" s="3"/>
      <c r="C595" s="6"/>
      <c r="D595" s="6"/>
      <c r="E595" s="6"/>
      <c r="F595" s="6"/>
    </row>
    <row r="596">
      <c r="B596" s="3"/>
      <c r="C596" s="6"/>
      <c r="D596" s="6"/>
      <c r="E596" s="6"/>
      <c r="F596" s="6"/>
    </row>
    <row r="597">
      <c r="B597" s="3"/>
      <c r="C597" s="6"/>
      <c r="D597" s="6"/>
      <c r="E597" s="6"/>
      <c r="F597" s="6"/>
    </row>
    <row r="598">
      <c r="B598" s="3"/>
      <c r="C598" s="6"/>
      <c r="D598" s="6"/>
      <c r="E598" s="6"/>
      <c r="F598" s="6"/>
    </row>
    <row r="599">
      <c r="B599" s="3"/>
      <c r="C599" s="6"/>
      <c r="D599" s="6"/>
      <c r="E599" s="6"/>
      <c r="F599" s="6"/>
    </row>
    <row r="600">
      <c r="B600" s="3"/>
      <c r="C600" s="6"/>
      <c r="D600" s="6"/>
      <c r="E600" s="6"/>
      <c r="F600" s="6"/>
    </row>
    <row r="601">
      <c r="B601" s="3"/>
      <c r="C601" s="6"/>
      <c r="D601" s="6"/>
      <c r="E601" s="6"/>
      <c r="F601" s="6"/>
    </row>
    <row r="602">
      <c r="B602" s="3"/>
      <c r="C602" s="6"/>
      <c r="D602" s="6"/>
      <c r="E602" s="6"/>
      <c r="F602" s="6"/>
    </row>
    <row r="603">
      <c r="B603" s="3"/>
      <c r="C603" s="6"/>
      <c r="D603" s="6"/>
      <c r="E603" s="6"/>
      <c r="F603" s="6"/>
    </row>
    <row r="604">
      <c r="B604" s="3"/>
      <c r="C604" s="6"/>
      <c r="D604" s="6"/>
      <c r="E604" s="6"/>
      <c r="F604" s="6"/>
    </row>
    <row r="605">
      <c r="B605" s="3"/>
      <c r="C605" s="6"/>
      <c r="D605" s="6"/>
      <c r="E605" s="6"/>
      <c r="F605" s="6"/>
    </row>
    <row r="606">
      <c r="B606" s="3"/>
      <c r="C606" s="6"/>
      <c r="D606" s="6"/>
      <c r="E606" s="6"/>
      <c r="F606" s="6"/>
    </row>
    <row r="607">
      <c r="B607" s="3"/>
      <c r="C607" s="6"/>
      <c r="D607" s="6"/>
      <c r="E607" s="6"/>
      <c r="F607" s="6"/>
    </row>
    <row r="608">
      <c r="B608" s="3"/>
      <c r="C608" s="6"/>
      <c r="D608" s="6"/>
      <c r="E608" s="6"/>
      <c r="F608" s="6"/>
    </row>
    <row r="609">
      <c r="B609" s="3"/>
      <c r="C609" s="6"/>
      <c r="D609" s="6"/>
      <c r="E609" s="6"/>
      <c r="F609" s="6"/>
    </row>
    <row r="610">
      <c r="B610" s="3"/>
      <c r="C610" s="6"/>
      <c r="D610" s="6"/>
      <c r="E610" s="6"/>
      <c r="F610" s="6"/>
    </row>
    <row r="611">
      <c r="B611" s="3"/>
      <c r="C611" s="6"/>
      <c r="D611" s="6"/>
      <c r="E611" s="6"/>
      <c r="F611" s="6"/>
    </row>
    <row r="612">
      <c r="B612" s="3"/>
      <c r="C612" s="6"/>
      <c r="D612" s="6"/>
      <c r="E612" s="6"/>
      <c r="F612" s="6"/>
    </row>
    <row r="613">
      <c r="B613" s="3"/>
      <c r="C613" s="6"/>
      <c r="D613" s="6"/>
      <c r="E613" s="6"/>
      <c r="F613" s="6"/>
    </row>
    <row r="614">
      <c r="B614" s="3"/>
      <c r="C614" s="6"/>
      <c r="D614" s="6"/>
      <c r="E614" s="6"/>
      <c r="F614" s="6"/>
    </row>
    <row r="615">
      <c r="B615" s="3"/>
      <c r="C615" s="6"/>
      <c r="D615" s="6"/>
      <c r="E615" s="6"/>
      <c r="F615" s="6"/>
    </row>
    <row r="616">
      <c r="B616" s="3"/>
      <c r="C616" s="6"/>
      <c r="D616" s="6"/>
      <c r="E616" s="6"/>
      <c r="F616" s="6"/>
    </row>
    <row r="617">
      <c r="B617" s="3"/>
      <c r="C617" s="6"/>
      <c r="D617" s="6"/>
      <c r="E617" s="6"/>
      <c r="F617" s="6"/>
    </row>
    <row r="618">
      <c r="B618" s="3"/>
      <c r="C618" s="6"/>
      <c r="D618" s="6"/>
      <c r="E618" s="6"/>
      <c r="F618" s="6"/>
    </row>
    <row r="619">
      <c r="B619" s="3"/>
      <c r="C619" s="6"/>
      <c r="D619" s="6"/>
      <c r="E619" s="6"/>
      <c r="F619" s="6"/>
    </row>
    <row r="620">
      <c r="B620" s="3"/>
      <c r="C620" s="6"/>
      <c r="D620" s="6"/>
      <c r="E620" s="6"/>
      <c r="F620" s="6"/>
    </row>
    <row r="621">
      <c r="B621" s="3"/>
      <c r="C621" s="6"/>
      <c r="D621" s="6"/>
      <c r="E621" s="6"/>
      <c r="F621" s="6"/>
    </row>
    <row r="622">
      <c r="B622" s="3"/>
      <c r="C622" s="6"/>
      <c r="D622" s="6"/>
      <c r="E622" s="6"/>
      <c r="F622" s="6"/>
    </row>
    <row r="623">
      <c r="B623" s="3"/>
      <c r="C623" s="6"/>
      <c r="D623" s="6"/>
      <c r="E623" s="6"/>
      <c r="F623" s="6"/>
    </row>
    <row r="624">
      <c r="B624" s="3"/>
      <c r="C624" s="6"/>
      <c r="D624" s="6"/>
      <c r="E624" s="6"/>
      <c r="F624" s="6"/>
    </row>
    <row r="625">
      <c r="B625" s="3"/>
      <c r="C625" s="6"/>
      <c r="D625" s="6"/>
      <c r="E625" s="6"/>
      <c r="F625" s="6"/>
    </row>
    <row r="626">
      <c r="B626" s="3"/>
      <c r="C626" s="6"/>
      <c r="D626" s="6"/>
      <c r="E626" s="6"/>
      <c r="F626" s="6"/>
    </row>
    <row r="627">
      <c r="B627" s="3"/>
      <c r="C627" s="6"/>
      <c r="D627" s="6"/>
      <c r="E627" s="6"/>
      <c r="F627" s="6"/>
    </row>
    <row r="628">
      <c r="B628" s="3"/>
      <c r="C628" s="6"/>
      <c r="D628" s="6"/>
      <c r="E628" s="6"/>
      <c r="F628" s="6"/>
    </row>
    <row r="629">
      <c r="B629" s="3"/>
      <c r="C629" s="6"/>
      <c r="D629" s="6"/>
      <c r="E629" s="6"/>
      <c r="F629" s="6"/>
    </row>
    <row r="630">
      <c r="B630" s="3"/>
      <c r="C630" s="6"/>
      <c r="D630" s="6"/>
      <c r="E630" s="6"/>
      <c r="F630" s="6"/>
    </row>
    <row r="631">
      <c r="B631" s="3"/>
      <c r="C631" s="6"/>
      <c r="D631" s="6"/>
      <c r="E631" s="6"/>
      <c r="F631" s="6"/>
    </row>
    <row r="632">
      <c r="B632" s="3"/>
      <c r="C632" s="6"/>
      <c r="D632" s="6"/>
      <c r="E632" s="6"/>
      <c r="F632" s="6"/>
    </row>
    <row r="633">
      <c r="B633" s="3"/>
      <c r="C633" s="6"/>
      <c r="D633" s="6"/>
      <c r="E633" s="6"/>
      <c r="F633" s="6"/>
    </row>
    <row r="634">
      <c r="B634" s="3"/>
      <c r="C634" s="6"/>
      <c r="D634" s="6"/>
      <c r="E634" s="6"/>
      <c r="F634" s="6"/>
    </row>
    <row r="635">
      <c r="B635" s="3"/>
      <c r="C635" s="6"/>
      <c r="D635" s="6"/>
      <c r="E635" s="6"/>
      <c r="F635" s="6"/>
    </row>
    <row r="636">
      <c r="B636" s="3"/>
      <c r="C636" s="6"/>
      <c r="D636" s="6"/>
      <c r="E636" s="6"/>
      <c r="F636" s="6"/>
    </row>
    <row r="637">
      <c r="B637" s="3"/>
      <c r="C637" s="6"/>
      <c r="D637" s="6"/>
      <c r="E637" s="6"/>
      <c r="F637" s="6"/>
    </row>
    <row r="638">
      <c r="B638" s="3"/>
      <c r="C638" s="6"/>
      <c r="D638" s="6"/>
      <c r="E638" s="6"/>
      <c r="F638" s="6"/>
    </row>
    <row r="639">
      <c r="B639" s="3"/>
      <c r="C639" s="6"/>
      <c r="D639" s="6"/>
      <c r="E639" s="6"/>
      <c r="F639" s="6"/>
    </row>
    <row r="640">
      <c r="B640" s="3"/>
      <c r="C640" s="6"/>
      <c r="D640" s="6"/>
      <c r="E640" s="6"/>
      <c r="F640" s="6"/>
    </row>
    <row r="641">
      <c r="B641" s="3"/>
      <c r="C641" s="6"/>
      <c r="D641" s="6"/>
      <c r="E641" s="6"/>
      <c r="F641" s="6"/>
    </row>
    <row r="642">
      <c r="B642" s="3"/>
      <c r="C642" s="6"/>
      <c r="D642" s="6"/>
      <c r="E642" s="6"/>
      <c r="F642" s="6"/>
    </row>
    <row r="643">
      <c r="B643" s="3"/>
      <c r="C643" s="6"/>
      <c r="D643" s="6"/>
      <c r="E643" s="6"/>
      <c r="F643" s="6"/>
    </row>
    <row r="644">
      <c r="B644" s="3"/>
      <c r="C644" s="6"/>
      <c r="D644" s="6"/>
      <c r="E644" s="6"/>
      <c r="F644" s="6"/>
    </row>
    <row r="645">
      <c r="B645" s="3"/>
      <c r="C645" s="6"/>
      <c r="D645" s="6"/>
      <c r="E645" s="6"/>
      <c r="F645" s="6"/>
    </row>
    <row r="646">
      <c r="B646" s="3"/>
      <c r="C646" s="6"/>
      <c r="D646" s="6"/>
      <c r="E646" s="6"/>
      <c r="F646" s="6"/>
    </row>
    <row r="647">
      <c r="B647" s="3"/>
      <c r="C647" s="6"/>
      <c r="D647" s="6"/>
      <c r="E647" s="6"/>
      <c r="F647" s="6"/>
    </row>
    <row r="648">
      <c r="B648" s="3"/>
      <c r="C648" s="6"/>
      <c r="D648" s="6"/>
      <c r="E648" s="6"/>
      <c r="F648" s="6"/>
    </row>
    <row r="649">
      <c r="B649" s="3"/>
      <c r="C649" s="6"/>
      <c r="D649" s="6"/>
      <c r="E649" s="6"/>
      <c r="F649" s="6"/>
    </row>
    <row r="650">
      <c r="B650" s="3"/>
      <c r="C650" s="6"/>
      <c r="D650" s="6"/>
      <c r="E650" s="6"/>
      <c r="F650" s="6"/>
    </row>
    <row r="651">
      <c r="B651" s="3"/>
      <c r="C651" s="6"/>
      <c r="D651" s="6"/>
      <c r="E651" s="6"/>
      <c r="F651" s="6"/>
    </row>
    <row r="652">
      <c r="B652" s="3"/>
      <c r="C652" s="6"/>
      <c r="D652" s="6"/>
      <c r="E652" s="6"/>
      <c r="F652" s="6"/>
    </row>
    <row r="653">
      <c r="B653" s="3"/>
      <c r="C653" s="6"/>
      <c r="D653" s="6"/>
      <c r="E653" s="6"/>
      <c r="F653" s="6"/>
    </row>
    <row r="654">
      <c r="B654" s="3"/>
      <c r="C654" s="6"/>
      <c r="D654" s="6"/>
      <c r="E654" s="6"/>
      <c r="F654" s="6"/>
    </row>
    <row r="655">
      <c r="B655" s="3"/>
      <c r="C655" s="6"/>
      <c r="D655" s="6"/>
      <c r="E655" s="6"/>
      <c r="F655" s="6"/>
    </row>
    <row r="656">
      <c r="B656" s="3"/>
      <c r="C656" s="6"/>
      <c r="D656" s="6"/>
      <c r="E656" s="6"/>
      <c r="F656" s="6"/>
    </row>
    <row r="657">
      <c r="B657" s="3"/>
      <c r="C657" s="6"/>
      <c r="D657" s="6"/>
      <c r="E657" s="6"/>
      <c r="F657" s="6"/>
    </row>
    <row r="658">
      <c r="B658" s="3"/>
      <c r="C658" s="6"/>
      <c r="D658" s="6"/>
      <c r="E658" s="6"/>
      <c r="F658" s="6"/>
    </row>
    <row r="659">
      <c r="B659" s="3"/>
      <c r="C659" s="6"/>
      <c r="D659" s="6"/>
      <c r="E659" s="6"/>
      <c r="F659" s="6"/>
    </row>
    <row r="660">
      <c r="B660" s="3"/>
      <c r="C660" s="6"/>
      <c r="D660" s="6"/>
      <c r="E660" s="6"/>
      <c r="F660" s="6"/>
    </row>
    <row r="661">
      <c r="B661" s="3"/>
      <c r="C661" s="6"/>
      <c r="D661" s="6"/>
      <c r="E661" s="6"/>
      <c r="F661" s="6"/>
    </row>
    <row r="662">
      <c r="B662" s="3"/>
      <c r="C662" s="6"/>
      <c r="D662" s="6"/>
      <c r="E662" s="6"/>
      <c r="F662" s="6"/>
    </row>
    <row r="663">
      <c r="B663" s="3"/>
      <c r="C663" s="6"/>
      <c r="D663" s="6"/>
      <c r="E663" s="6"/>
      <c r="F663" s="6"/>
    </row>
    <row r="664">
      <c r="B664" s="3"/>
      <c r="C664" s="6"/>
      <c r="D664" s="6"/>
      <c r="E664" s="6"/>
      <c r="F664" s="6"/>
    </row>
    <row r="665">
      <c r="B665" s="3"/>
      <c r="C665" s="6"/>
      <c r="D665" s="6"/>
      <c r="E665" s="6"/>
      <c r="F665" s="6"/>
    </row>
    <row r="666">
      <c r="B666" s="3"/>
      <c r="C666" s="6"/>
      <c r="D666" s="6"/>
      <c r="E666" s="6"/>
      <c r="F666" s="6"/>
    </row>
    <row r="667">
      <c r="B667" s="3"/>
      <c r="C667" s="6"/>
      <c r="D667" s="6"/>
      <c r="E667" s="6"/>
      <c r="F667" s="6"/>
    </row>
    <row r="668">
      <c r="B668" s="3"/>
      <c r="C668" s="6"/>
      <c r="D668" s="6"/>
      <c r="E668" s="6"/>
      <c r="F668" s="6"/>
    </row>
    <row r="669">
      <c r="B669" s="3"/>
      <c r="C669" s="6"/>
      <c r="D669" s="6"/>
      <c r="E669" s="6"/>
      <c r="F669" s="6"/>
    </row>
    <row r="670">
      <c r="B670" s="3"/>
      <c r="C670" s="6"/>
      <c r="D670" s="6"/>
      <c r="E670" s="6"/>
      <c r="F670" s="6"/>
    </row>
    <row r="671">
      <c r="B671" s="3"/>
      <c r="C671" s="6"/>
      <c r="D671" s="6"/>
      <c r="E671" s="6"/>
      <c r="F671" s="6"/>
    </row>
    <row r="672">
      <c r="B672" s="3"/>
      <c r="C672" s="6"/>
      <c r="D672" s="6"/>
      <c r="E672" s="6"/>
      <c r="F672" s="6"/>
    </row>
    <row r="673">
      <c r="B673" s="3"/>
      <c r="C673" s="6"/>
      <c r="D673" s="6"/>
      <c r="E673" s="6"/>
      <c r="F673" s="6"/>
    </row>
    <row r="674">
      <c r="B674" s="3"/>
      <c r="C674" s="6"/>
      <c r="D674" s="6"/>
      <c r="E674" s="6"/>
      <c r="F674" s="6"/>
    </row>
    <row r="675">
      <c r="B675" s="3"/>
      <c r="C675" s="6"/>
      <c r="D675" s="6"/>
      <c r="E675" s="6"/>
      <c r="F675" s="6"/>
    </row>
    <row r="676">
      <c r="B676" s="3"/>
      <c r="C676" s="6"/>
      <c r="D676" s="6"/>
      <c r="E676" s="6"/>
      <c r="F676" s="6"/>
    </row>
    <row r="677">
      <c r="B677" s="3"/>
      <c r="C677" s="6"/>
      <c r="D677" s="6"/>
      <c r="E677" s="6"/>
      <c r="F677" s="6"/>
    </row>
    <row r="678">
      <c r="B678" s="3"/>
      <c r="C678" s="6"/>
      <c r="D678" s="6"/>
      <c r="E678" s="6"/>
      <c r="F678" s="6"/>
    </row>
    <row r="679">
      <c r="B679" s="3"/>
      <c r="C679" s="6"/>
      <c r="D679" s="6"/>
      <c r="E679" s="6"/>
      <c r="F679" s="6"/>
    </row>
    <row r="680">
      <c r="B680" s="3"/>
      <c r="C680" s="6"/>
      <c r="D680" s="6"/>
      <c r="E680" s="6"/>
      <c r="F680" s="6"/>
    </row>
    <row r="681">
      <c r="B681" s="3"/>
      <c r="C681" s="6"/>
      <c r="D681" s="6"/>
      <c r="E681" s="6"/>
      <c r="F681" s="6"/>
    </row>
    <row r="682">
      <c r="B682" s="3"/>
      <c r="C682" s="6"/>
      <c r="D682" s="6"/>
      <c r="E682" s="6"/>
      <c r="F682" s="6"/>
    </row>
    <row r="683">
      <c r="B683" s="3"/>
      <c r="C683" s="6"/>
      <c r="D683" s="6"/>
      <c r="E683" s="6"/>
      <c r="F683" s="6"/>
    </row>
    <row r="684">
      <c r="B684" s="3"/>
      <c r="C684" s="6"/>
      <c r="D684" s="6"/>
      <c r="E684" s="6"/>
      <c r="F684" s="6"/>
    </row>
    <row r="685">
      <c r="B685" s="3"/>
      <c r="C685" s="6"/>
      <c r="D685" s="6"/>
      <c r="E685" s="6"/>
      <c r="F685" s="6"/>
    </row>
    <row r="686">
      <c r="B686" s="3"/>
      <c r="C686" s="6"/>
      <c r="D686" s="6"/>
      <c r="E686" s="6"/>
      <c r="F686" s="6"/>
    </row>
    <row r="687">
      <c r="B687" s="3"/>
      <c r="C687" s="6"/>
      <c r="D687" s="6"/>
      <c r="E687" s="6"/>
      <c r="F687" s="6"/>
    </row>
    <row r="688">
      <c r="B688" s="3"/>
      <c r="C688" s="6"/>
      <c r="D688" s="6"/>
      <c r="E688" s="6"/>
      <c r="F688" s="6"/>
    </row>
    <row r="689">
      <c r="B689" s="3"/>
      <c r="C689" s="6"/>
      <c r="D689" s="6"/>
      <c r="E689" s="6"/>
      <c r="F689" s="6"/>
    </row>
    <row r="690">
      <c r="B690" s="3"/>
      <c r="C690" s="6"/>
      <c r="D690" s="6"/>
      <c r="E690" s="6"/>
      <c r="F690" s="6"/>
    </row>
    <row r="691">
      <c r="B691" s="3"/>
      <c r="C691" s="6"/>
      <c r="D691" s="6"/>
      <c r="E691" s="6"/>
      <c r="F691" s="6"/>
    </row>
    <row r="692">
      <c r="B692" s="3"/>
      <c r="C692" s="6"/>
      <c r="D692" s="6"/>
      <c r="E692" s="6"/>
      <c r="F692" s="6"/>
    </row>
    <row r="693">
      <c r="B693" s="3"/>
      <c r="C693" s="6"/>
      <c r="D693" s="6"/>
      <c r="E693" s="6"/>
      <c r="F693" s="6"/>
    </row>
    <row r="694">
      <c r="B694" s="3"/>
      <c r="C694" s="6"/>
      <c r="D694" s="6"/>
      <c r="E694" s="6"/>
      <c r="F694" s="6"/>
    </row>
    <row r="695">
      <c r="B695" s="3"/>
      <c r="C695" s="6"/>
      <c r="D695" s="6"/>
      <c r="E695" s="6"/>
      <c r="F695" s="6"/>
    </row>
    <row r="696">
      <c r="B696" s="3"/>
      <c r="C696" s="6"/>
      <c r="D696" s="6"/>
      <c r="E696" s="6"/>
      <c r="F696" s="6"/>
    </row>
    <row r="697">
      <c r="B697" s="3"/>
      <c r="C697" s="6"/>
      <c r="D697" s="6"/>
      <c r="E697" s="6"/>
      <c r="F697" s="6"/>
    </row>
    <row r="698">
      <c r="B698" s="3"/>
      <c r="C698" s="6"/>
      <c r="D698" s="6"/>
      <c r="E698" s="6"/>
      <c r="F698" s="6"/>
    </row>
    <row r="699">
      <c r="B699" s="3"/>
      <c r="C699" s="6"/>
      <c r="D699" s="6"/>
      <c r="E699" s="6"/>
      <c r="F699" s="6"/>
    </row>
    <row r="700">
      <c r="B700" s="3"/>
      <c r="C700" s="6"/>
      <c r="D700" s="6"/>
      <c r="E700" s="6"/>
      <c r="F700" s="6"/>
    </row>
    <row r="701">
      <c r="B701" s="3"/>
      <c r="C701" s="6"/>
      <c r="D701" s="6"/>
      <c r="E701" s="6"/>
      <c r="F701" s="6"/>
    </row>
    <row r="702">
      <c r="B702" s="3"/>
      <c r="C702" s="6"/>
      <c r="D702" s="6"/>
      <c r="E702" s="6"/>
      <c r="F702" s="6"/>
    </row>
    <row r="703">
      <c r="B703" s="3"/>
      <c r="C703" s="6"/>
      <c r="D703" s="6"/>
      <c r="E703" s="6"/>
      <c r="F703" s="6"/>
    </row>
    <row r="704">
      <c r="B704" s="3"/>
      <c r="C704" s="6"/>
      <c r="D704" s="6"/>
      <c r="E704" s="6"/>
      <c r="F704" s="6"/>
    </row>
    <row r="705">
      <c r="B705" s="3"/>
      <c r="C705" s="6"/>
      <c r="D705" s="6"/>
      <c r="E705" s="6"/>
      <c r="F705" s="6"/>
    </row>
    <row r="706">
      <c r="B706" s="3"/>
      <c r="C706" s="6"/>
      <c r="D706" s="6"/>
      <c r="E706" s="6"/>
      <c r="F706" s="6"/>
    </row>
    <row r="707">
      <c r="B707" s="3"/>
      <c r="C707" s="6"/>
      <c r="D707" s="6"/>
      <c r="E707" s="6"/>
      <c r="F707" s="6"/>
    </row>
    <row r="708">
      <c r="B708" s="3"/>
      <c r="C708" s="6"/>
      <c r="D708" s="6"/>
      <c r="E708" s="6"/>
      <c r="F708" s="6"/>
    </row>
    <row r="709">
      <c r="B709" s="3"/>
      <c r="C709" s="6"/>
      <c r="D709" s="6"/>
      <c r="E709" s="6"/>
      <c r="F709" s="6"/>
    </row>
    <row r="710">
      <c r="B710" s="3"/>
      <c r="C710" s="6"/>
      <c r="D710" s="6"/>
      <c r="E710" s="6"/>
      <c r="F710" s="6"/>
    </row>
    <row r="711">
      <c r="B711" s="3"/>
      <c r="C711" s="6"/>
      <c r="D711" s="6"/>
      <c r="E711" s="6"/>
      <c r="F711" s="6"/>
    </row>
    <row r="712">
      <c r="B712" s="3"/>
      <c r="C712" s="6"/>
      <c r="D712" s="6"/>
      <c r="E712" s="6"/>
      <c r="F712" s="6"/>
    </row>
    <row r="713">
      <c r="B713" s="3"/>
      <c r="C713" s="6"/>
      <c r="D713" s="6"/>
      <c r="E713" s="6"/>
      <c r="F713" s="6"/>
    </row>
    <row r="714">
      <c r="B714" s="3"/>
      <c r="C714" s="6"/>
      <c r="D714" s="6"/>
      <c r="E714" s="6"/>
      <c r="F714" s="6"/>
    </row>
    <row r="715">
      <c r="B715" s="3"/>
      <c r="C715" s="6"/>
      <c r="D715" s="6"/>
      <c r="E715" s="6"/>
      <c r="F715" s="6"/>
    </row>
    <row r="716">
      <c r="B716" s="3"/>
      <c r="C716" s="6"/>
      <c r="D716" s="6"/>
      <c r="E716" s="6"/>
      <c r="F716" s="6"/>
    </row>
    <row r="717">
      <c r="B717" s="3"/>
      <c r="C717" s="6"/>
      <c r="D717" s="6"/>
      <c r="E717" s="6"/>
      <c r="F717" s="6"/>
    </row>
    <row r="718">
      <c r="B718" s="3"/>
      <c r="C718" s="6"/>
      <c r="D718" s="6"/>
      <c r="E718" s="6"/>
      <c r="F718" s="6"/>
    </row>
    <row r="719">
      <c r="B719" s="3"/>
      <c r="C719" s="6"/>
      <c r="D719" s="6"/>
      <c r="E719" s="6"/>
      <c r="F719" s="6"/>
    </row>
    <row r="720">
      <c r="B720" s="3"/>
      <c r="C720" s="6"/>
      <c r="D720" s="6"/>
      <c r="E720" s="6"/>
      <c r="F720" s="6"/>
    </row>
    <row r="721">
      <c r="B721" s="3"/>
      <c r="C721" s="6"/>
      <c r="D721" s="6"/>
      <c r="E721" s="6"/>
      <c r="F721" s="6"/>
    </row>
    <row r="722">
      <c r="B722" s="3"/>
      <c r="C722" s="6"/>
      <c r="D722" s="6"/>
      <c r="E722" s="6"/>
      <c r="F722" s="6"/>
    </row>
    <row r="723">
      <c r="B723" s="3"/>
      <c r="C723" s="6"/>
      <c r="D723" s="6"/>
      <c r="E723" s="6"/>
      <c r="F723" s="6"/>
    </row>
    <row r="724">
      <c r="B724" s="3"/>
      <c r="C724" s="6"/>
      <c r="D724" s="6"/>
      <c r="E724" s="6"/>
      <c r="F724" s="6"/>
    </row>
    <row r="725">
      <c r="B725" s="3"/>
      <c r="C725" s="6"/>
      <c r="D725" s="6"/>
      <c r="E725" s="6"/>
      <c r="F725" s="6"/>
    </row>
    <row r="726">
      <c r="B726" s="3"/>
      <c r="C726" s="6"/>
      <c r="D726" s="6"/>
      <c r="E726" s="6"/>
      <c r="F726" s="6"/>
    </row>
    <row r="727">
      <c r="B727" s="3"/>
      <c r="C727" s="6"/>
      <c r="D727" s="6"/>
      <c r="E727" s="6"/>
      <c r="F727" s="6"/>
    </row>
    <row r="728">
      <c r="B728" s="3"/>
      <c r="C728" s="6"/>
      <c r="D728" s="6"/>
      <c r="E728" s="6"/>
      <c r="F728" s="6"/>
    </row>
    <row r="729">
      <c r="B729" s="3"/>
      <c r="C729" s="6"/>
      <c r="D729" s="6"/>
      <c r="E729" s="6"/>
      <c r="F729" s="6"/>
    </row>
    <row r="730">
      <c r="B730" s="3"/>
      <c r="C730" s="6"/>
      <c r="D730" s="6"/>
      <c r="E730" s="6"/>
      <c r="F730" s="6"/>
    </row>
    <row r="731">
      <c r="B731" s="3"/>
      <c r="C731" s="6"/>
      <c r="D731" s="6"/>
      <c r="E731" s="6"/>
      <c r="F731" s="6"/>
    </row>
    <row r="732">
      <c r="B732" s="3"/>
      <c r="C732" s="6"/>
      <c r="D732" s="6"/>
      <c r="E732" s="6"/>
      <c r="F732" s="6"/>
    </row>
    <row r="733">
      <c r="B733" s="3"/>
      <c r="C733" s="6"/>
      <c r="D733" s="6"/>
      <c r="E733" s="6"/>
      <c r="F733" s="6"/>
    </row>
    <row r="734">
      <c r="B734" s="3"/>
      <c r="C734" s="6"/>
      <c r="D734" s="6"/>
      <c r="E734" s="6"/>
      <c r="F734" s="6"/>
    </row>
    <row r="735">
      <c r="B735" s="3"/>
      <c r="C735" s="6"/>
      <c r="D735" s="6"/>
      <c r="E735" s="6"/>
      <c r="F735" s="6"/>
    </row>
    <row r="736">
      <c r="B736" s="3"/>
      <c r="C736" s="6"/>
      <c r="D736" s="6"/>
      <c r="E736" s="6"/>
      <c r="F736" s="6"/>
    </row>
    <row r="737">
      <c r="B737" s="3"/>
      <c r="C737" s="6"/>
      <c r="D737" s="6"/>
      <c r="E737" s="6"/>
      <c r="F737" s="6"/>
    </row>
    <row r="738">
      <c r="B738" s="3"/>
      <c r="C738" s="6"/>
      <c r="D738" s="6"/>
      <c r="E738" s="6"/>
      <c r="F738" s="6"/>
    </row>
    <row r="739">
      <c r="B739" s="3"/>
      <c r="C739" s="6"/>
      <c r="D739" s="6"/>
      <c r="E739" s="6"/>
      <c r="F739" s="6"/>
    </row>
    <row r="740">
      <c r="B740" s="3"/>
      <c r="C740" s="6"/>
      <c r="D740" s="6"/>
      <c r="E740" s="6"/>
      <c r="F740" s="6"/>
    </row>
    <row r="741">
      <c r="B741" s="3"/>
      <c r="C741" s="6"/>
      <c r="D741" s="6"/>
      <c r="E741" s="6"/>
      <c r="F741" s="6"/>
    </row>
    <row r="742">
      <c r="B742" s="3"/>
      <c r="C742" s="6"/>
      <c r="D742" s="6"/>
      <c r="E742" s="6"/>
      <c r="F742" s="6"/>
    </row>
    <row r="743">
      <c r="B743" s="3"/>
      <c r="C743" s="6"/>
      <c r="D743" s="6"/>
      <c r="E743" s="6"/>
      <c r="F743" s="6"/>
    </row>
    <row r="744">
      <c r="B744" s="3"/>
      <c r="C744" s="6"/>
      <c r="D744" s="6"/>
      <c r="E744" s="6"/>
      <c r="F744" s="6"/>
    </row>
    <row r="745">
      <c r="B745" s="3"/>
      <c r="C745" s="6"/>
      <c r="D745" s="6"/>
      <c r="E745" s="6"/>
      <c r="F745" s="6"/>
    </row>
    <row r="746">
      <c r="B746" s="3"/>
      <c r="C746" s="6"/>
      <c r="D746" s="6"/>
      <c r="E746" s="6"/>
      <c r="F746" s="6"/>
    </row>
    <row r="747">
      <c r="B747" s="3"/>
      <c r="C747" s="6"/>
      <c r="D747" s="6"/>
      <c r="E747" s="6"/>
      <c r="F747" s="6"/>
    </row>
    <row r="748">
      <c r="B748" s="3"/>
      <c r="C748" s="6"/>
      <c r="D748" s="6"/>
      <c r="E748" s="6"/>
      <c r="F748" s="6"/>
    </row>
    <row r="749">
      <c r="B749" s="3"/>
      <c r="C749" s="6"/>
      <c r="D749" s="6"/>
      <c r="E749" s="6"/>
      <c r="F749" s="6"/>
    </row>
    <row r="750">
      <c r="B750" s="3"/>
      <c r="C750" s="6"/>
      <c r="D750" s="6"/>
      <c r="E750" s="6"/>
      <c r="F750" s="6"/>
    </row>
    <row r="751">
      <c r="B751" s="3"/>
      <c r="C751" s="6"/>
      <c r="D751" s="6"/>
      <c r="E751" s="6"/>
      <c r="F751" s="6"/>
    </row>
    <row r="752">
      <c r="B752" s="3"/>
      <c r="C752" s="6"/>
      <c r="D752" s="6"/>
      <c r="E752" s="6"/>
      <c r="F752" s="6"/>
    </row>
    <row r="753">
      <c r="B753" s="3"/>
      <c r="C753" s="6"/>
      <c r="D753" s="6"/>
      <c r="E753" s="6"/>
      <c r="F753" s="6"/>
    </row>
    <row r="754">
      <c r="B754" s="3"/>
      <c r="C754" s="6"/>
      <c r="D754" s="6"/>
      <c r="E754" s="6"/>
      <c r="F754" s="6"/>
    </row>
    <row r="755">
      <c r="B755" s="3"/>
      <c r="C755" s="6"/>
      <c r="D755" s="6"/>
      <c r="E755" s="6"/>
      <c r="F755" s="6"/>
    </row>
    <row r="756">
      <c r="B756" s="3"/>
      <c r="C756" s="6"/>
      <c r="D756" s="6"/>
      <c r="E756" s="6"/>
      <c r="F756" s="6"/>
    </row>
    <row r="757">
      <c r="B757" s="3"/>
      <c r="C757" s="6"/>
      <c r="D757" s="6"/>
      <c r="E757" s="6"/>
      <c r="F757" s="6"/>
    </row>
    <row r="758">
      <c r="B758" s="3"/>
      <c r="C758" s="6"/>
      <c r="D758" s="6"/>
      <c r="E758" s="6"/>
      <c r="F758" s="6"/>
    </row>
    <row r="759">
      <c r="B759" s="3"/>
      <c r="C759" s="6"/>
      <c r="D759" s="6"/>
      <c r="E759" s="6"/>
      <c r="F759" s="6"/>
    </row>
    <row r="760">
      <c r="B760" s="3"/>
      <c r="C760" s="6"/>
      <c r="D760" s="6"/>
      <c r="E760" s="6"/>
      <c r="F760" s="6"/>
    </row>
    <row r="761">
      <c r="B761" s="3"/>
      <c r="C761" s="6"/>
      <c r="D761" s="6"/>
      <c r="E761" s="6"/>
      <c r="F761" s="6"/>
    </row>
    <row r="762">
      <c r="B762" s="3"/>
      <c r="C762" s="6"/>
      <c r="D762" s="6"/>
      <c r="E762" s="6"/>
      <c r="F762" s="6"/>
    </row>
    <row r="763">
      <c r="B763" s="3"/>
      <c r="C763" s="6"/>
      <c r="D763" s="6"/>
      <c r="E763" s="6"/>
      <c r="F763" s="6"/>
    </row>
    <row r="764">
      <c r="B764" s="3"/>
      <c r="C764" s="6"/>
      <c r="D764" s="6"/>
      <c r="E764" s="6"/>
      <c r="F764" s="6"/>
    </row>
    <row r="765">
      <c r="B765" s="3"/>
      <c r="C765" s="6"/>
      <c r="D765" s="6"/>
      <c r="E765" s="6"/>
      <c r="F765" s="6"/>
    </row>
    <row r="766">
      <c r="B766" s="3"/>
      <c r="C766" s="6"/>
      <c r="D766" s="6"/>
      <c r="E766" s="6"/>
      <c r="F766" s="6"/>
    </row>
    <row r="767">
      <c r="B767" s="3"/>
      <c r="C767" s="6"/>
      <c r="D767" s="6"/>
      <c r="E767" s="6"/>
      <c r="F767" s="6"/>
    </row>
    <row r="768">
      <c r="B768" s="3"/>
      <c r="C768" s="6"/>
      <c r="D768" s="6"/>
      <c r="E768" s="6"/>
      <c r="F768" s="6"/>
    </row>
    <row r="769">
      <c r="B769" s="3"/>
      <c r="C769" s="6"/>
      <c r="D769" s="6"/>
      <c r="E769" s="6"/>
      <c r="F769" s="6"/>
    </row>
    <row r="770">
      <c r="B770" s="3"/>
      <c r="C770" s="6"/>
      <c r="D770" s="6"/>
      <c r="E770" s="6"/>
      <c r="F770" s="6"/>
    </row>
    <row r="771">
      <c r="B771" s="3"/>
      <c r="C771" s="6"/>
      <c r="D771" s="6"/>
      <c r="E771" s="6"/>
      <c r="F771" s="6"/>
    </row>
    <row r="772">
      <c r="B772" s="3"/>
      <c r="C772" s="6"/>
      <c r="D772" s="6"/>
      <c r="E772" s="6"/>
      <c r="F772" s="6"/>
    </row>
    <row r="773">
      <c r="B773" s="3"/>
      <c r="C773" s="6"/>
      <c r="D773" s="6"/>
      <c r="E773" s="6"/>
      <c r="F773" s="6"/>
    </row>
    <row r="774">
      <c r="B774" s="3"/>
      <c r="C774" s="6"/>
      <c r="D774" s="6"/>
      <c r="E774" s="6"/>
      <c r="F774" s="6"/>
    </row>
    <row r="775">
      <c r="B775" s="3"/>
      <c r="C775" s="6"/>
      <c r="D775" s="6"/>
      <c r="E775" s="6"/>
      <c r="F775" s="6"/>
    </row>
    <row r="776">
      <c r="B776" s="3"/>
      <c r="C776" s="6"/>
      <c r="D776" s="6"/>
      <c r="E776" s="6"/>
      <c r="F776" s="6"/>
    </row>
    <row r="777">
      <c r="B777" s="3"/>
      <c r="C777" s="6"/>
      <c r="D777" s="6"/>
      <c r="E777" s="6"/>
      <c r="F777" s="6"/>
    </row>
    <row r="778">
      <c r="B778" s="3"/>
      <c r="C778" s="6"/>
      <c r="D778" s="6"/>
      <c r="E778" s="6"/>
      <c r="F778" s="6"/>
    </row>
    <row r="779">
      <c r="B779" s="3"/>
      <c r="C779" s="6"/>
      <c r="D779" s="6"/>
      <c r="E779" s="6"/>
      <c r="F779" s="6"/>
    </row>
    <row r="780">
      <c r="B780" s="3"/>
      <c r="C780" s="6"/>
      <c r="D780" s="6"/>
      <c r="E780" s="6"/>
      <c r="F780" s="6"/>
    </row>
    <row r="781">
      <c r="B781" s="3"/>
      <c r="C781" s="6"/>
      <c r="D781" s="6"/>
      <c r="E781" s="6"/>
      <c r="F781" s="6"/>
    </row>
    <row r="782">
      <c r="B782" s="3"/>
      <c r="C782" s="6"/>
      <c r="D782" s="6"/>
      <c r="E782" s="6"/>
      <c r="F782" s="6"/>
    </row>
    <row r="783">
      <c r="B783" s="3"/>
      <c r="C783" s="6"/>
      <c r="D783" s="6"/>
      <c r="E783" s="6"/>
      <c r="F783" s="6"/>
    </row>
    <row r="784">
      <c r="B784" s="3"/>
      <c r="C784" s="6"/>
      <c r="D784" s="6"/>
      <c r="E784" s="6"/>
      <c r="F784" s="6"/>
    </row>
    <row r="785">
      <c r="B785" s="3"/>
      <c r="C785" s="6"/>
      <c r="D785" s="6"/>
      <c r="E785" s="6"/>
      <c r="F785" s="6"/>
    </row>
    <row r="786">
      <c r="B786" s="3"/>
      <c r="C786" s="6"/>
      <c r="D786" s="6"/>
      <c r="E786" s="6"/>
      <c r="F786" s="6"/>
    </row>
    <row r="787">
      <c r="B787" s="3"/>
      <c r="C787" s="6"/>
      <c r="D787" s="6"/>
      <c r="E787" s="6"/>
      <c r="F787" s="6"/>
    </row>
    <row r="788">
      <c r="B788" s="3"/>
      <c r="C788" s="6"/>
      <c r="D788" s="6"/>
      <c r="E788" s="6"/>
      <c r="F788" s="6"/>
    </row>
    <row r="789">
      <c r="B789" s="3"/>
      <c r="C789" s="6"/>
      <c r="D789" s="6"/>
      <c r="E789" s="6"/>
      <c r="F789" s="6"/>
    </row>
    <row r="790">
      <c r="B790" s="3"/>
      <c r="C790" s="6"/>
      <c r="D790" s="6"/>
      <c r="E790" s="6"/>
      <c r="F790" s="6"/>
    </row>
    <row r="791">
      <c r="B791" s="3"/>
      <c r="C791" s="6"/>
      <c r="D791" s="6"/>
      <c r="E791" s="6"/>
      <c r="F791" s="6"/>
    </row>
    <row r="792">
      <c r="B792" s="3"/>
      <c r="C792" s="6"/>
      <c r="D792" s="6"/>
      <c r="E792" s="6"/>
      <c r="F792" s="6"/>
    </row>
    <row r="793">
      <c r="B793" s="3"/>
      <c r="C793" s="6"/>
      <c r="D793" s="6"/>
      <c r="E793" s="6"/>
      <c r="F793" s="6"/>
    </row>
    <row r="794">
      <c r="B794" s="3"/>
      <c r="C794" s="6"/>
      <c r="D794" s="6"/>
      <c r="E794" s="6"/>
      <c r="F794" s="6"/>
    </row>
    <row r="795">
      <c r="B795" s="3"/>
      <c r="C795" s="6"/>
      <c r="D795" s="6"/>
      <c r="E795" s="6"/>
      <c r="F795" s="6"/>
    </row>
    <row r="796">
      <c r="B796" s="3"/>
      <c r="C796" s="6"/>
      <c r="D796" s="6"/>
      <c r="E796" s="6"/>
      <c r="F796" s="6"/>
    </row>
    <row r="797">
      <c r="B797" s="3"/>
      <c r="C797" s="6"/>
      <c r="D797" s="6"/>
      <c r="E797" s="6"/>
      <c r="F797" s="6"/>
    </row>
    <row r="798">
      <c r="B798" s="3"/>
      <c r="C798" s="6"/>
      <c r="D798" s="6"/>
      <c r="E798" s="6"/>
      <c r="F798" s="6"/>
    </row>
    <row r="799">
      <c r="B799" s="3"/>
      <c r="C799" s="6"/>
      <c r="D799" s="6"/>
      <c r="E799" s="6"/>
      <c r="F799" s="6"/>
    </row>
    <row r="800">
      <c r="B800" s="3"/>
      <c r="C800" s="6"/>
      <c r="D800" s="6"/>
      <c r="E800" s="6"/>
      <c r="F800" s="6"/>
    </row>
    <row r="801">
      <c r="B801" s="3"/>
      <c r="C801" s="6"/>
      <c r="D801" s="6"/>
      <c r="E801" s="6"/>
      <c r="F801" s="6"/>
    </row>
    <row r="802">
      <c r="B802" s="3"/>
      <c r="C802" s="6"/>
      <c r="D802" s="6"/>
      <c r="E802" s="6"/>
      <c r="F802" s="6"/>
    </row>
    <row r="803">
      <c r="B803" s="3"/>
      <c r="C803" s="6"/>
      <c r="D803" s="6"/>
      <c r="E803" s="6"/>
      <c r="F803" s="6"/>
    </row>
    <row r="804">
      <c r="B804" s="3"/>
      <c r="C804" s="6"/>
      <c r="D804" s="6"/>
      <c r="E804" s="6"/>
      <c r="F804" s="6"/>
    </row>
    <row r="805">
      <c r="B805" s="3"/>
      <c r="C805" s="6"/>
      <c r="D805" s="6"/>
      <c r="E805" s="6"/>
      <c r="F805" s="6"/>
    </row>
    <row r="806">
      <c r="B806" s="3"/>
      <c r="C806" s="6"/>
      <c r="D806" s="6"/>
      <c r="E806" s="6"/>
      <c r="F806" s="6"/>
    </row>
    <row r="807">
      <c r="B807" s="3"/>
      <c r="C807" s="6"/>
      <c r="D807" s="6"/>
      <c r="E807" s="6"/>
      <c r="F807" s="6"/>
    </row>
    <row r="808">
      <c r="B808" s="3"/>
      <c r="C808" s="6"/>
      <c r="D808" s="6"/>
      <c r="E808" s="6"/>
      <c r="F808" s="6"/>
    </row>
    <row r="809">
      <c r="B809" s="3"/>
      <c r="C809" s="6"/>
      <c r="D809" s="6"/>
      <c r="E809" s="6"/>
      <c r="F809" s="6"/>
    </row>
    <row r="810">
      <c r="B810" s="3"/>
      <c r="C810" s="6"/>
      <c r="D810" s="6"/>
      <c r="E810" s="6"/>
      <c r="F810" s="6"/>
    </row>
    <row r="811">
      <c r="B811" s="3"/>
      <c r="C811" s="6"/>
      <c r="D811" s="6"/>
      <c r="E811" s="6"/>
      <c r="F811" s="6"/>
    </row>
    <row r="812">
      <c r="B812" s="3"/>
      <c r="C812" s="6"/>
      <c r="D812" s="6"/>
      <c r="E812" s="6"/>
      <c r="F812" s="6"/>
    </row>
    <row r="813">
      <c r="B813" s="3"/>
      <c r="C813" s="6"/>
      <c r="D813" s="6"/>
      <c r="E813" s="6"/>
      <c r="F813" s="6"/>
    </row>
    <row r="814">
      <c r="B814" s="3"/>
      <c r="C814" s="6"/>
      <c r="D814" s="6"/>
      <c r="E814" s="6"/>
      <c r="F814" s="6"/>
    </row>
    <row r="815">
      <c r="B815" s="3"/>
      <c r="C815" s="6"/>
      <c r="D815" s="6"/>
      <c r="E815" s="6"/>
      <c r="F815" s="6"/>
    </row>
    <row r="816">
      <c r="B816" s="3"/>
      <c r="C816" s="6"/>
      <c r="D816" s="6"/>
      <c r="E816" s="6"/>
      <c r="F816" s="6"/>
    </row>
    <row r="817">
      <c r="B817" s="3"/>
      <c r="C817" s="6"/>
      <c r="D817" s="6"/>
      <c r="E817" s="6"/>
      <c r="F817" s="6"/>
    </row>
    <row r="818">
      <c r="B818" s="3"/>
      <c r="C818" s="6"/>
      <c r="D818" s="6"/>
      <c r="E818" s="6"/>
      <c r="F818" s="6"/>
    </row>
    <row r="819">
      <c r="B819" s="3"/>
      <c r="C819" s="6"/>
      <c r="D819" s="6"/>
      <c r="E819" s="6"/>
      <c r="F819" s="6"/>
    </row>
    <row r="820">
      <c r="B820" s="3"/>
      <c r="C820" s="6"/>
      <c r="D820" s="6"/>
      <c r="E820" s="6"/>
      <c r="F820" s="6"/>
    </row>
    <row r="821">
      <c r="B821" s="3"/>
      <c r="C821" s="6"/>
      <c r="D821" s="6"/>
      <c r="E821" s="6"/>
      <c r="F821" s="6"/>
    </row>
    <row r="822">
      <c r="B822" s="3"/>
      <c r="C822" s="6"/>
      <c r="D822" s="6"/>
      <c r="E822" s="6"/>
      <c r="F822" s="6"/>
    </row>
    <row r="823">
      <c r="B823" s="3"/>
      <c r="C823" s="6"/>
      <c r="D823" s="6"/>
      <c r="E823" s="6"/>
      <c r="F823" s="6"/>
    </row>
    <row r="824">
      <c r="B824" s="3"/>
      <c r="C824" s="6"/>
      <c r="D824" s="6"/>
      <c r="E824" s="6"/>
      <c r="F824" s="6"/>
    </row>
    <row r="825">
      <c r="B825" s="3"/>
      <c r="C825" s="6"/>
      <c r="D825" s="6"/>
      <c r="E825" s="6"/>
      <c r="F825" s="6"/>
    </row>
    <row r="826">
      <c r="B826" s="3"/>
      <c r="C826" s="6"/>
      <c r="D826" s="6"/>
      <c r="E826" s="6"/>
      <c r="F826" s="6"/>
    </row>
    <row r="827">
      <c r="B827" s="3"/>
      <c r="C827" s="6"/>
      <c r="D827" s="6"/>
      <c r="E827" s="6"/>
      <c r="F827" s="6"/>
    </row>
    <row r="828">
      <c r="B828" s="3"/>
      <c r="C828" s="6"/>
      <c r="D828" s="6"/>
      <c r="E828" s="6"/>
      <c r="F828" s="6"/>
    </row>
    <row r="829">
      <c r="B829" s="3"/>
      <c r="C829" s="6"/>
      <c r="D829" s="6"/>
      <c r="E829" s="6"/>
      <c r="F829" s="6"/>
    </row>
    <row r="830">
      <c r="B830" s="3"/>
      <c r="C830" s="6"/>
      <c r="D830" s="6"/>
      <c r="E830" s="6"/>
      <c r="F830" s="6"/>
    </row>
    <row r="831">
      <c r="B831" s="3"/>
      <c r="C831" s="6"/>
      <c r="D831" s="6"/>
      <c r="E831" s="6"/>
      <c r="F831" s="6"/>
    </row>
    <row r="832">
      <c r="B832" s="3"/>
      <c r="C832" s="6"/>
      <c r="D832" s="6"/>
      <c r="E832" s="6"/>
      <c r="F832" s="6"/>
    </row>
    <row r="833">
      <c r="B833" s="3"/>
      <c r="C833" s="6"/>
      <c r="D833" s="6"/>
      <c r="E833" s="6"/>
      <c r="F833" s="6"/>
    </row>
    <row r="834">
      <c r="B834" s="3"/>
      <c r="C834" s="6"/>
      <c r="D834" s="6"/>
      <c r="E834" s="6"/>
      <c r="F834" s="6"/>
    </row>
    <row r="835">
      <c r="B835" s="3"/>
      <c r="C835" s="6"/>
      <c r="D835" s="6"/>
      <c r="E835" s="6"/>
      <c r="F835" s="6"/>
    </row>
    <row r="836">
      <c r="B836" s="3"/>
      <c r="C836" s="6"/>
      <c r="D836" s="6"/>
      <c r="E836" s="6"/>
      <c r="F836" s="6"/>
    </row>
    <row r="837">
      <c r="B837" s="3"/>
      <c r="C837" s="6"/>
      <c r="D837" s="6"/>
      <c r="E837" s="6"/>
      <c r="F837" s="6"/>
    </row>
    <row r="838">
      <c r="B838" s="3"/>
      <c r="C838" s="6"/>
      <c r="D838" s="6"/>
      <c r="E838" s="6"/>
      <c r="F838" s="6"/>
    </row>
    <row r="839">
      <c r="B839" s="3"/>
      <c r="C839" s="6"/>
      <c r="D839" s="6"/>
      <c r="E839" s="6"/>
      <c r="F839" s="6"/>
    </row>
    <row r="840">
      <c r="B840" s="3"/>
      <c r="C840" s="6"/>
      <c r="D840" s="6"/>
      <c r="E840" s="6"/>
      <c r="F840" s="6"/>
    </row>
    <row r="841">
      <c r="B841" s="3"/>
      <c r="C841" s="6"/>
      <c r="D841" s="6"/>
      <c r="E841" s="6"/>
      <c r="F841" s="6"/>
    </row>
    <row r="842">
      <c r="B842" s="3"/>
      <c r="C842" s="6"/>
      <c r="D842" s="6"/>
      <c r="E842" s="6"/>
      <c r="F842" s="6"/>
    </row>
    <row r="843">
      <c r="B843" s="3"/>
      <c r="C843" s="6"/>
      <c r="D843" s="6"/>
      <c r="E843" s="6"/>
      <c r="F843" s="6"/>
    </row>
    <row r="844">
      <c r="B844" s="3"/>
      <c r="C844" s="6"/>
      <c r="D844" s="6"/>
      <c r="E844" s="6"/>
      <c r="F844" s="6"/>
    </row>
    <row r="845">
      <c r="B845" s="3"/>
      <c r="C845" s="6"/>
      <c r="D845" s="6"/>
      <c r="E845" s="6"/>
      <c r="F845" s="6"/>
    </row>
    <row r="846">
      <c r="B846" s="3"/>
      <c r="C846" s="6"/>
      <c r="D846" s="6"/>
      <c r="E846" s="6"/>
      <c r="F846" s="6"/>
    </row>
    <row r="847">
      <c r="B847" s="3"/>
      <c r="C847" s="6"/>
      <c r="D847" s="6"/>
      <c r="E847" s="6"/>
      <c r="F847" s="6"/>
    </row>
    <row r="848">
      <c r="B848" s="3"/>
      <c r="C848" s="6"/>
      <c r="D848" s="6"/>
      <c r="E848" s="6"/>
      <c r="F848" s="6"/>
    </row>
    <row r="849">
      <c r="B849" s="3"/>
      <c r="C849" s="6"/>
      <c r="D849" s="6"/>
      <c r="E849" s="6"/>
      <c r="F849" s="6"/>
    </row>
    <row r="850">
      <c r="B850" s="3"/>
      <c r="C850" s="6"/>
      <c r="D850" s="6"/>
      <c r="E850" s="6"/>
      <c r="F850" s="6"/>
    </row>
    <row r="851">
      <c r="B851" s="3"/>
      <c r="C851" s="6"/>
      <c r="D851" s="6"/>
      <c r="E851" s="6"/>
      <c r="F851" s="6"/>
    </row>
    <row r="852">
      <c r="B852" s="3"/>
      <c r="C852" s="6"/>
      <c r="D852" s="6"/>
      <c r="E852" s="6"/>
      <c r="F852" s="6"/>
    </row>
    <row r="853">
      <c r="B853" s="3"/>
      <c r="C853" s="6"/>
      <c r="D853" s="6"/>
      <c r="E853" s="6"/>
      <c r="F853" s="6"/>
    </row>
    <row r="854">
      <c r="B854" s="3"/>
      <c r="C854" s="6"/>
      <c r="D854" s="6"/>
      <c r="E854" s="6"/>
      <c r="F854" s="6"/>
    </row>
    <row r="855">
      <c r="B855" s="3"/>
      <c r="C855" s="6"/>
      <c r="D855" s="6"/>
      <c r="E855" s="6"/>
      <c r="F855" s="6"/>
    </row>
    <row r="856">
      <c r="B856" s="3"/>
      <c r="C856" s="6"/>
      <c r="D856" s="6"/>
      <c r="E856" s="6"/>
      <c r="F856" s="6"/>
    </row>
    <row r="857">
      <c r="B857" s="3"/>
      <c r="C857" s="6"/>
      <c r="D857" s="6"/>
      <c r="E857" s="6"/>
      <c r="F857" s="6"/>
    </row>
    <row r="858">
      <c r="B858" s="3"/>
      <c r="C858" s="6"/>
      <c r="D858" s="6"/>
      <c r="E858" s="6"/>
      <c r="F858" s="6"/>
    </row>
    <row r="859">
      <c r="B859" s="3"/>
      <c r="C859" s="6"/>
      <c r="D859" s="6"/>
      <c r="E859" s="6"/>
      <c r="F859" s="6"/>
    </row>
    <row r="860">
      <c r="B860" s="3"/>
      <c r="C860" s="6"/>
      <c r="D860" s="6"/>
      <c r="E860" s="6"/>
      <c r="F860" s="6"/>
    </row>
    <row r="861">
      <c r="B861" s="3"/>
      <c r="C861" s="6"/>
      <c r="D861" s="6"/>
      <c r="E861" s="6"/>
      <c r="F861" s="6"/>
    </row>
    <row r="862">
      <c r="B862" s="3"/>
      <c r="C862" s="6"/>
      <c r="D862" s="6"/>
      <c r="E862" s="6"/>
      <c r="F862" s="6"/>
    </row>
    <row r="863">
      <c r="B863" s="3"/>
      <c r="C863" s="6"/>
      <c r="D863" s="6"/>
      <c r="E863" s="6"/>
      <c r="F863" s="6"/>
    </row>
    <row r="864">
      <c r="B864" s="3"/>
      <c r="C864" s="6"/>
      <c r="D864" s="6"/>
      <c r="E864" s="6"/>
      <c r="F864" s="6"/>
    </row>
    <row r="865">
      <c r="B865" s="3"/>
      <c r="C865" s="6"/>
      <c r="D865" s="6"/>
      <c r="E865" s="6"/>
      <c r="F865" s="6"/>
    </row>
    <row r="866">
      <c r="B866" s="3"/>
      <c r="C866" s="6"/>
      <c r="D866" s="6"/>
      <c r="E866" s="6"/>
      <c r="F866" s="6"/>
    </row>
    <row r="867">
      <c r="B867" s="3"/>
      <c r="C867" s="6"/>
      <c r="D867" s="6"/>
      <c r="E867" s="6"/>
      <c r="F867" s="6"/>
    </row>
    <row r="868">
      <c r="B868" s="3"/>
      <c r="C868" s="6"/>
      <c r="D868" s="6"/>
      <c r="E868" s="6"/>
      <c r="F868" s="6"/>
    </row>
    <row r="869">
      <c r="B869" s="3"/>
      <c r="C869" s="6"/>
      <c r="D869" s="6"/>
      <c r="E869" s="6"/>
      <c r="F869" s="6"/>
    </row>
    <row r="870">
      <c r="B870" s="3"/>
      <c r="C870" s="6"/>
      <c r="D870" s="6"/>
      <c r="E870" s="6"/>
      <c r="F870" s="6"/>
    </row>
    <row r="871">
      <c r="B871" s="3"/>
      <c r="C871" s="6"/>
      <c r="D871" s="6"/>
      <c r="E871" s="6"/>
      <c r="F871" s="6"/>
    </row>
    <row r="872">
      <c r="B872" s="3"/>
      <c r="C872" s="6"/>
      <c r="D872" s="6"/>
      <c r="E872" s="6"/>
      <c r="F872" s="6"/>
    </row>
    <row r="873">
      <c r="B873" s="3"/>
      <c r="C873" s="6"/>
      <c r="D873" s="6"/>
      <c r="E873" s="6"/>
      <c r="F873" s="6"/>
    </row>
    <row r="874">
      <c r="B874" s="3"/>
      <c r="C874" s="6"/>
      <c r="D874" s="6"/>
      <c r="E874" s="6"/>
      <c r="F874" s="6"/>
    </row>
    <row r="875">
      <c r="B875" s="3"/>
      <c r="C875" s="6"/>
      <c r="D875" s="6"/>
      <c r="E875" s="6"/>
      <c r="F875" s="6"/>
    </row>
    <row r="876">
      <c r="B876" s="3"/>
      <c r="C876" s="6"/>
      <c r="D876" s="6"/>
      <c r="E876" s="6"/>
      <c r="F876" s="6"/>
    </row>
    <row r="877">
      <c r="B877" s="3"/>
      <c r="C877" s="6"/>
      <c r="D877" s="6"/>
      <c r="E877" s="6"/>
      <c r="F877" s="6"/>
    </row>
    <row r="878">
      <c r="B878" s="3"/>
      <c r="C878" s="6"/>
      <c r="D878" s="6"/>
      <c r="E878" s="6"/>
      <c r="F878" s="6"/>
    </row>
    <row r="879">
      <c r="B879" s="3"/>
      <c r="C879" s="6"/>
      <c r="D879" s="6"/>
      <c r="E879" s="6"/>
      <c r="F879" s="6"/>
    </row>
    <row r="880">
      <c r="B880" s="3"/>
      <c r="C880" s="6"/>
      <c r="D880" s="6"/>
      <c r="E880" s="6"/>
      <c r="F880" s="6"/>
    </row>
    <row r="881">
      <c r="B881" s="3"/>
      <c r="C881" s="6"/>
      <c r="D881" s="6"/>
      <c r="E881" s="6"/>
      <c r="F881" s="6"/>
    </row>
    <row r="882">
      <c r="B882" s="3"/>
      <c r="C882" s="6"/>
      <c r="D882" s="6"/>
      <c r="E882" s="6"/>
      <c r="F882" s="6"/>
    </row>
    <row r="883">
      <c r="B883" s="3"/>
      <c r="C883" s="6"/>
      <c r="D883" s="6"/>
      <c r="E883" s="6"/>
      <c r="F883" s="6"/>
    </row>
    <row r="884">
      <c r="B884" s="3"/>
      <c r="C884" s="6"/>
      <c r="D884" s="6"/>
      <c r="E884" s="6"/>
      <c r="F884" s="6"/>
    </row>
    <row r="885">
      <c r="B885" s="3"/>
      <c r="C885" s="6"/>
      <c r="D885" s="6"/>
      <c r="E885" s="6"/>
      <c r="F885" s="6"/>
    </row>
    <row r="886">
      <c r="B886" s="3"/>
      <c r="C886" s="6"/>
      <c r="D886" s="6"/>
      <c r="E886" s="6"/>
      <c r="F886" s="6"/>
    </row>
    <row r="887">
      <c r="B887" s="3"/>
      <c r="C887" s="6"/>
      <c r="D887" s="6"/>
      <c r="E887" s="6"/>
      <c r="F887" s="6"/>
    </row>
    <row r="888">
      <c r="B888" s="3"/>
      <c r="C888" s="6"/>
      <c r="D888" s="6"/>
      <c r="E888" s="6"/>
      <c r="F888" s="6"/>
    </row>
    <row r="889">
      <c r="B889" s="3"/>
      <c r="C889" s="6"/>
      <c r="D889" s="6"/>
      <c r="E889" s="6"/>
      <c r="F889" s="6"/>
    </row>
    <row r="890">
      <c r="B890" s="3"/>
      <c r="C890" s="6"/>
      <c r="D890" s="6"/>
      <c r="E890" s="6"/>
      <c r="F890" s="6"/>
    </row>
    <row r="891">
      <c r="B891" s="3"/>
      <c r="C891" s="6"/>
      <c r="D891" s="6"/>
      <c r="E891" s="6"/>
      <c r="F891" s="6"/>
    </row>
    <row r="892">
      <c r="B892" s="3"/>
      <c r="C892" s="6"/>
      <c r="D892" s="6"/>
      <c r="E892" s="6"/>
      <c r="F892" s="6"/>
    </row>
    <row r="893">
      <c r="B893" s="3"/>
      <c r="C893" s="6"/>
      <c r="D893" s="6"/>
      <c r="E893" s="6"/>
      <c r="F893" s="6"/>
    </row>
    <row r="894">
      <c r="B894" s="3"/>
      <c r="C894" s="6"/>
      <c r="D894" s="6"/>
      <c r="E894" s="6"/>
      <c r="F894" s="6"/>
    </row>
    <row r="895">
      <c r="B895" s="3"/>
      <c r="C895" s="6"/>
      <c r="D895" s="6"/>
      <c r="E895" s="6"/>
      <c r="F895" s="6"/>
    </row>
    <row r="896">
      <c r="B896" s="3"/>
      <c r="C896" s="6"/>
      <c r="D896" s="6"/>
      <c r="E896" s="6"/>
      <c r="F896" s="6"/>
    </row>
    <row r="897">
      <c r="B897" s="3"/>
      <c r="C897" s="6"/>
      <c r="D897" s="6"/>
      <c r="E897" s="6"/>
      <c r="F897" s="6"/>
    </row>
    <row r="898">
      <c r="B898" s="3"/>
      <c r="C898" s="6"/>
      <c r="D898" s="6"/>
      <c r="E898" s="6"/>
      <c r="F898" s="6"/>
    </row>
    <row r="899">
      <c r="B899" s="3"/>
      <c r="C899" s="6"/>
      <c r="D899" s="6"/>
      <c r="E899" s="6"/>
      <c r="F899" s="6"/>
    </row>
    <row r="900">
      <c r="B900" s="3"/>
      <c r="C900" s="6"/>
      <c r="D900" s="6"/>
      <c r="E900" s="6"/>
      <c r="F900" s="6"/>
    </row>
    <row r="901">
      <c r="B901" s="3"/>
      <c r="C901" s="6"/>
      <c r="D901" s="6"/>
      <c r="E901" s="6"/>
      <c r="F901" s="6"/>
    </row>
    <row r="902">
      <c r="B902" s="3"/>
      <c r="C902" s="6"/>
      <c r="D902" s="6"/>
      <c r="E902" s="6"/>
      <c r="F902" s="6"/>
    </row>
    <row r="903">
      <c r="B903" s="3"/>
      <c r="C903" s="6"/>
      <c r="D903" s="6"/>
      <c r="E903" s="6"/>
      <c r="F903" s="6"/>
    </row>
    <row r="904">
      <c r="B904" s="3"/>
      <c r="C904" s="6"/>
      <c r="D904" s="6"/>
      <c r="E904" s="6"/>
      <c r="F904" s="6"/>
    </row>
    <row r="905">
      <c r="B905" s="3"/>
      <c r="C905" s="6"/>
      <c r="D905" s="6"/>
      <c r="E905" s="6"/>
      <c r="F905" s="6"/>
    </row>
    <row r="906">
      <c r="B906" s="3"/>
      <c r="C906" s="6"/>
      <c r="D906" s="6"/>
      <c r="E906" s="6"/>
      <c r="F906" s="6"/>
    </row>
    <row r="907">
      <c r="B907" s="3"/>
      <c r="C907" s="6"/>
      <c r="D907" s="6"/>
      <c r="E907" s="6"/>
      <c r="F907" s="6"/>
    </row>
    <row r="908">
      <c r="B908" s="3"/>
      <c r="C908" s="6"/>
      <c r="D908" s="6"/>
      <c r="E908" s="6"/>
      <c r="F908" s="6"/>
    </row>
    <row r="909">
      <c r="B909" s="3"/>
      <c r="C909" s="6"/>
      <c r="D909" s="6"/>
      <c r="E909" s="6"/>
      <c r="F909" s="6"/>
    </row>
    <row r="910">
      <c r="B910" s="3"/>
      <c r="C910" s="6"/>
      <c r="D910" s="6"/>
      <c r="E910" s="6"/>
      <c r="F910" s="6"/>
    </row>
    <row r="911">
      <c r="B911" s="3"/>
      <c r="C911" s="6"/>
      <c r="D911" s="6"/>
      <c r="E911" s="6"/>
      <c r="F911" s="6"/>
    </row>
    <row r="912">
      <c r="B912" s="3"/>
      <c r="C912" s="6"/>
      <c r="D912" s="6"/>
      <c r="E912" s="6"/>
      <c r="F912" s="6"/>
    </row>
    <row r="913">
      <c r="B913" s="3"/>
      <c r="C913" s="6"/>
      <c r="D913" s="6"/>
      <c r="E913" s="6"/>
      <c r="F913" s="6"/>
    </row>
    <row r="914">
      <c r="B914" s="3"/>
      <c r="C914" s="6"/>
      <c r="D914" s="6"/>
      <c r="E914" s="6"/>
      <c r="F914" s="6"/>
    </row>
    <row r="915">
      <c r="B915" s="3"/>
      <c r="C915" s="6"/>
      <c r="D915" s="6"/>
      <c r="E915" s="6"/>
      <c r="F915" s="6"/>
    </row>
    <row r="916">
      <c r="B916" s="3"/>
      <c r="C916" s="6"/>
      <c r="D916" s="6"/>
      <c r="E916" s="6"/>
      <c r="F916" s="6"/>
    </row>
    <row r="917">
      <c r="B917" s="3"/>
      <c r="C917" s="6"/>
      <c r="D917" s="6"/>
      <c r="E917" s="6"/>
      <c r="F917" s="6"/>
    </row>
    <row r="918">
      <c r="B918" s="3"/>
      <c r="C918" s="6"/>
      <c r="D918" s="6"/>
      <c r="E918" s="6"/>
      <c r="F918" s="6"/>
    </row>
    <row r="919">
      <c r="B919" s="3"/>
      <c r="C919" s="6"/>
      <c r="D919" s="6"/>
      <c r="E919" s="6"/>
      <c r="F919" s="6"/>
    </row>
    <row r="920">
      <c r="B920" s="3"/>
      <c r="C920" s="6"/>
      <c r="D920" s="6"/>
      <c r="E920" s="6"/>
      <c r="F920" s="6"/>
    </row>
    <row r="921">
      <c r="B921" s="3"/>
      <c r="C921" s="6"/>
      <c r="D921" s="6"/>
      <c r="E921" s="6"/>
      <c r="F921" s="6"/>
    </row>
    <row r="922">
      <c r="B922" s="3"/>
      <c r="C922" s="6"/>
      <c r="D922" s="6"/>
      <c r="E922" s="6"/>
      <c r="F922" s="6"/>
    </row>
    <row r="923">
      <c r="B923" s="3"/>
      <c r="C923" s="6"/>
      <c r="D923" s="6"/>
      <c r="E923" s="6"/>
      <c r="F923" s="6"/>
    </row>
    <row r="924">
      <c r="B924" s="3"/>
      <c r="C924" s="6"/>
      <c r="D924" s="6"/>
      <c r="E924" s="6"/>
      <c r="F924" s="6"/>
    </row>
    <row r="925">
      <c r="B925" s="3"/>
      <c r="C925" s="6"/>
      <c r="D925" s="6"/>
      <c r="E925" s="6"/>
      <c r="F925" s="6"/>
    </row>
    <row r="926">
      <c r="B926" s="3"/>
      <c r="C926" s="6"/>
      <c r="D926" s="6"/>
      <c r="E926" s="6"/>
      <c r="F926" s="6"/>
    </row>
    <row r="927">
      <c r="B927" s="3"/>
      <c r="C927" s="6"/>
      <c r="D927" s="6"/>
      <c r="E927" s="6"/>
      <c r="F927" s="6"/>
    </row>
    <row r="928">
      <c r="B928" s="3"/>
      <c r="C928" s="6"/>
      <c r="D928" s="6"/>
      <c r="E928" s="6"/>
      <c r="F928" s="6"/>
    </row>
    <row r="929">
      <c r="B929" s="3"/>
      <c r="C929" s="6"/>
      <c r="D929" s="6"/>
      <c r="E929" s="6"/>
      <c r="F929" s="6"/>
    </row>
    <row r="930">
      <c r="B930" s="3"/>
      <c r="C930" s="6"/>
      <c r="D930" s="6"/>
      <c r="E930" s="6"/>
      <c r="F930" s="6"/>
    </row>
    <row r="931">
      <c r="B931" s="3"/>
      <c r="C931" s="6"/>
      <c r="D931" s="6"/>
      <c r="E931" s="6"/>
      <c r="F931" s="6"/>
    </row>
    <row r="932">
      <c r="B932" s="3"/>
      <c r="C932" s="6"/>
      <c r="D932" s="6"/>
      <c r="E932" s="6"/>
      <c r="F932" s="6"/>
    </row>
    <row r="933">
      <c r="B933" s="3"/>
      <c r="C933" s="6"/>
      <c r="D933" s="6"/>
      <c r="E933" s="6"/>
      <c r="F933" s="6"/>
    </row>
    <row r="934">
      <c r="B934" s="3"/>
      <c r="C934" s="6"/>
      <c r="D934" s="6"/>
      <c r="E934" s="6"/>
      <c r="F934" s="6"/>
    </row>
    <row r="935">
      <c r="B935" s="3"/>
      <c r="C935" s="6"/>
      <c r="D935" s="6"/>
      <c r="E935" s="6"/>
      <c r="F935" s="6"/>
    </row>
    <row r="936">
      <c r="B936" s="3"/>
      <c r="C936" s="6"/>
      <c r="D936" s="6"/>
      <c r="E936" s="6"/>
      <c r="F936" s="6"/>
    </row>
    <row r="937">
      <c r="B937" s="3"/>
      <c r="C937" s="6"/>
      <c r="D937" s="6"/>
      <c r="E937" s="6"/>
      <c r="F937" s="6"/>
    </row>
    <row r="938">
      <c r="B938" s="3"/>
      <c r="C938" s="6"/>
      <c r="D938" s="6"/>
      <c r="E938" s="6"/>
      <c r="F938" s="6"/>
    </row>
    <row r="939">
      <c r="B939" s="3"/>
      <c r="C939" s="6"/>
      <c r="D939" s="6"/>
      <c r="E939" s="6"/>
      <c r="F939" s="6"/>
    </row>
    <row r="940">
      <c r="B940" s="3"/>
      <c r="C940" s="6"/>
      <c r="D940" s="6"/>
      <c r="E940" s="6"/>
      <c r="F940" s="6"/>
    </row>
    <row r="941">
      <c r="B941" s="3"/>
      <c r="C941" s="6"/>
      <c r="D941" s="6"/>
      <c r="E941" s="6"/>
      <c r="F941" s="6"/>
    </row>
    <row r="942">
      <c r="B942" s="3"/>
      <c r="C942" s="6"/>
      <c r="D942" s="6"/>
      <c r="E942" s="6"/>
      <c r="F942" s="6"/>
    </row>
    <row r="943">
      <c r="B943" s="3"/>
      <c r="C943" s="6"/>
      <c r="D943" s="6"/>
      <c r="E943" s="6"/>
      <c r="F943" s="6"/>
    </row>
    <row r="944">
      <c r="B944" s="3"/>
      <c r="C944" s="6"/>
      <c r="D944" s="6"/>
      <c r="E944" s="6"/>
      <c r="F944" s="6"/>
    </row>
    <row r="945">
      <c r="B945" s="3"/>
      <c r="C945" s="6"/>
      <c r="D945" s="6"/>
      <c r="E945" s="6"/>
      <c r="F945" s="6"/>
    </row>
    <row r="946">
      <c r="B946" s="3"/>
      <c r="C946" s="6"/>
      <c r="D946" s="6"/>
      <c r="E946" s="6"/>
      <c r="F946" s="6"/>
    </row>
    <row r="947">
      <c r="B947" s="3"/>
      <c r="C947" s="6"/>
      <c r="D947" s="6"/>
      <c r="E947" s="6"/>
      <c r="F947" s="6"/>
    </row>
    <row r="948">
      <c r="B948" s="3"/>
      <c r="C948" s="6"/>
      <c r="D948" s="6"/>
      <c r="E948" s="6"/>
      <c r="F948" s="6"/>
    </row>
    <row r="949">
      <c r="B949" s="3"/>
      <c r="C949" s="6"/>
      <c r="D949" s="6"/>
      <c r="E949" s="6"/>
      <c r="F949" s="6"/>
    </row>
    <row r="950">
      <c r="B950" s="3"/>
      <c r="C950" s="6"/>
      <c r="D950" s="6"/>
      <c r="E950" s="6"/>
      <c r="F950" s="6"/>
    </row>
    <row r="951">
      <c r="B951" s="3"/>
      <c r="C951" s="6"/>
      <c r="D951" s="6"/>
      <c r="E951" s="6"/>
      <c r="F951" s="6"/>
    </row>
    <row r="952">
      <c r="B952" s="3"/>
      <c r="C952" s="6"/>
      <c r="D952" s="6"/>
      <c r="E952" s="6"/>
      <c r="F952" s="6"/>
    </row>
    <row r="953">
      <c r="B953" s="3"/>
      <c r="C953" s="6"/>
      <c r="D953" s="6"/>
      <c r="E953" s="6"/>
      <c r="F953" s="6"/>
    </row>
    <row r="954">
      <c r="B954" s="3"/>
      <c r="C954" s="6"/>
      <c r="D954" s="6"/>
      <c r="E954" s="6"/>
      <c r="F954" s="6"/>
    </row>
    <row r="955">
      <c r="B955" s="3"/>
      <c r="C955" s="6"/>
      <c r="D955" s="6"/>
      <c r="E955" s="6"/>
      <c r="F955" s="6"/>
    </row>
    <row r="956">
      <c r="B956" s="3"/>
      <c r="C956" s="6"/>
      <c r="D956" s="6"/>
      <c r="E956" s="6"/>
      <c r="F956" s="6"/>
    </row>
    <row r="957">
      <c r="B957" s="3"/>
      <c r="C957" s="6"/>
      <c r="D957" s="6"/>
      <c r="E957" s="6"/>
      <c r="F957" s="6"/>
    </row>
    <row r="958">
      <c r="B958" s="3"/>
      <c r="C958" s="6"/>
      <c r="D958" s="6"/>
      <c r="E958" s="6"/>
      <c r="F958" s="6"/>
    </row>
    <row r="959">
      <c r="B959" s="3"/>
      <c r="C959" s="6"/>
      <c r="D959" s="6"/>
      <c r="E959" s="6"/>
      <c r="F959" s="6"/>
    </row>
    <row r="960">
      <c r="B960" s="3"/>
      <c r="C960" s="6"/>
      <c r="D960" s="6"/>
      <c r="E960" s="6"/>
      <c r="F960" s="6"/>
    </row>
    <row r="961">
      <c r="B961" s="3"/>
      <c r="C961" s="6"/>
      <c r="D961" s="6"/>
      <c r="E961" s="6"/>
      <c r="F961" s="6"/>
    </row>
    <row r="962">
      <c r="B962" s="3"/>
      <c r="C962" s="6"/>
      <c r="D962" s="6"/>
      <c r="E962" s="6"/>
      <c r="F962" s="6"/>
    </row>
    <row r="963">
      <c r="B963" s="3"/>
      <c r="C963" s="6"/>
      <c r="D963" s="6"/>
      <c r="E963" s="6"/>
      <c r="F963" s="6"/>
    </row>
    <row r="964">
      <c r="B964" s="3"/>
      <c r="C964" s="6"/>
      <c r="D964" s="6"/>
      <c r="E964" s="6"/>
      <c r="F964" s="6"/>
    </row>
    <row r="965">
      <c r="B965" s="3"/>
      <c r="C965" s="6"/>
      <c r="D965" s="6"/>
      <c r="E965" s="6"/>
      <c r="F965" s="6"/>
    </row>
    <row r="966">
      <c r="B966" s="3"/>
      <c r="C966" s="6"/>
      <c r="D966" s="6"/>
      <c r="E966" s="6"/>
      <c r="F966" s="6"/>
    </row>
    <row r="967">
      <c r="B967" s="3"/>
      <c r="C967" s="6"/>
      <c r="D967" s="6"/>
      <c r="E967" s="6"/>
      <c r="F967" s="6"/>
    </row>
    <row r="968">
      <c r="B968" s="3"/>
      <c r="C968" s="6"/>
      <c r="D968" s="6"/>
      <c r="E968" s="6"/>
      <c r="F968" s="6"/>
    </row>
    <row r="969">
      <c r="B969" s="3"/>
      <c r="C969" s="6"/>
      <c r="D969" s="6"/>
      <c r="E969" s="6"/>
      <c r="F969" s="6"/>
    </row>
    <row r="970">
      <c r="B970" s="3"/>
      <c r="C970" s="6"/>
      <c r="D970" s="6"/>
      <c r="E970" s="6"/>
      <c r="F970" s="6"/>
    </row>
    <row r="971">
      <c r="B971" s="3"/>
      <c r="C971" s="6"/>
      <c r="D971" s="6"/>
      <c r="E971" s="6"/>
      <c r="F971" s="6"/>
    </row>
    <row r="972">
      <c r="B972" s="3"/>
      <c r="C972" s="6"/>
      <c r="D972" s="6"/>
      <c r="E972" s="6"/>
      <c r="F972" s="6"/>
    </row>
    <row r="973">
      <c r="B973" s="3"/>
      <c r="C973" s="6"/>
      <c r="D973" s="6"/>
      <c r="E973" s="6"/>
      <c r="F973" s="6"/>
    </row>
    <row r="974">
      <c r="B974" s="3"/>
      <c r="C974" s="6"/>
      <c r="D974" s="6"/>
      <c r="E974" s="6"/>
      <c r="F974" s="6"/>
    </row>
    <row r="975">
      <c r="B975" s="3"/>
      <c r="C975" s="6"/>
      <c r="D975" s="6"/>
      <c r="E975" s="6"/>
      <c r="F975" s="6"/>
    </row>
    <row r="976">
      <c r="B976" s="3"/>
      <c r="C976" s="6"/>
      <c r="D976" s="6"/>
      <c r="E976" s="6"/>
      <c r="F976" s="6"/>
    </row>
    <row r="977">
      <c r="B977" s="3"/>
      <c r="C977" s="6"/>
      <c r="D977" s="6"/>
      <c r="E977" s="6"/>
      <c r="F977" s="6"/>
    </row>
    <row r="978">
      <c r="B978" s="3"/>
      <c r="C978" s="6"/>
      <c r="D978" s="6"/>
      <c r="E978" s="6"/>
      <c r="F978" s="6"/>
    </row>
    <row r="979">
      <c r="B979" s="3"/>
      <c r="C979" s="6"/>
      <c r="D979" s="6"/>
      <c r="E979" s="6"/>
      <c r="F979" s="6"/>
    </row>
    <row r="980">
      <c r="B980" s="3"/>
      <c r="C980" s="6"/>
      <c r="D980" s="6"/>
      <c r="E980" s="6"/>
      <c r="F980" s="6"/>
    </row>
    <row r="981">
      <c r="B981" s="3"/>
      <c r="C981" s="6"/>
      <c r="D981" s="6"/>
      <c r="E981" s="6"/>
      <c r="F981" s="6"/>
    </row>
    <row r="982">
      <c r="B982" s="3"/>
      <c r="C982" s="6"/>
      <c r="D982" s="6"/>
      <c r="E982" s="6"/>
      <c r="F982" s="6"/>
    </row>
    <row r="983">
      <c r="B983" s="3"/>
      <c r="C983" s="6"/>
      <c r="D983" s="6"/>
      <c r="E983" s="6"/>
      <c r="F983" s="6"/>
    </row>
    <row r="984">
      <c r="B984" s="3"/>
      <c r="C984" s="6"/>
      <c r="D984" s="6"/>
      <c r="E984" s="6"/>
      <c r="F984" s="6"/>
    </row>
    <row r="985">
      <c r="B985" s="3"/>
      <c r="C985" s="6"/>
      <c r="D985" s="6"/>
      <c r="E985" s="6"/>
      <c r="F985" s="6"/>
    </row>
    <row r="986">
      <c r="B986" s="3"/>
      <c r="C986" s="6"/>
      <c r="D986" s="6"/>
      <c r="E986" s="6"/>
      <c r="F986" s="6"/>
    </row>
    <row r="987">
      <c r="B987" s="3"/>
      <c r="C987" s="6"/>
      <c r="D987" s="6"/>
      <c r="E987" s="6"/>
      <c r="F987" s="6"/>
    </row>
    <row r="988">
      <c r="B988" s="3"/>
      <c r="C988" s="6"/>
      <c r="D988" s="6"/>
      <c r="E988" s="6"/>
      <c r="F988" s="6"/>
    </row>
    <row r="989">
      <c r="B989" s="3"/>
      <c r="C989" s="6"/>
      <c r="D989" s="6"/>
      <c r="E989" s="6"/>
      <c r="F989" s="6"/>
    </row>
    <row r="990">
      <c r="B990" s="3"/>
      <c r="C990" s="6"/>
      <c r="D990" s="6"/>
      <c r="E990" s="6"/>
      <c r="F990" s="6"/>
    </row>
    <row r="991">
      <c r="B991" s="3"/>
      <c r="C991" s="6"/>
      <c r="D991" s="6"/>
      <c r="E991" s="6"/>
      <c r="F991" s="6"/>
    </row>
    <row r="992">
      <c r="B992" s="3"/>
      <c r="C992" s="6"/>
      <c r="D992" s="6"/>
      <c r="E992" s="6"/>
      <c r="F992" s="6"/>
    </row>
    <row r="993">
      <c r="B993" s="3"/>
      <c r="C993" s="6"/>
      <c r="D993" s="6"/>
      <c r="E993" s="6"/>
      <c r="F993" s="6"/>
    </row>
    <row r="994">
      <c r="B994" s="3"/>
      <c r="C994" s="6"/>
      <c r="D994" s="6"/>
      <c r="E994" s="6"/>
      <c r="F994" s="6"/>
    </row>
    <row r="995">
      <c r="B995" s="3"/>
      <c r="C995" s="6"/>
      <c r="D995" s="6"/>
      <c r="E995" s="6"/>
      <c r="F995" s="6"/>
    </row>
    <row r="996">
      <c r="B996" s="3"/>
      <c r="C996" s="6"/>
      <c r="D996" s="6"/>
      <c r="E996" s="6"/>
      <c r="F996" s="6"/>
    </row>
    <row r="997">
      <c r="B997" s="3"/>
      <c r="C997" s="6"/>
      <c r="D997" s="6"/>
      <c r="E997" s="6"/>
      <c r="F997" s="6"/>
    </row>
    <row r="998">
      <c r="B998" s="3"/>
      <c r="C998" s="6"/>
      <c r="D998" s="6"/>
      <c r="E998" s="6"/>
      <c r="F998" s="6"/>
    </row>
    <row r="999">
      <c r="B999" s="3"/>
      <c r="C999" s="6"/>
      <c r="D999" s="6"/>
      <c r="E999" s="6"/>
      <c r="F999" s="6"/>
    </row>
    <row r="1000">
      <c r="B1000" s="3"/>
      <c r="C1000" s="6"/>
      <c r="D1000" s="6"/>
      <c r="E1000" s="6"/>
      <c r="F1000" s="6"/>
    </row>
    <row r="1001">
      <c r="B1001" s="3"/>
      <c r="C1001" s="6"/>
      <c r="D1001" s="6"/>
      <c r="E1001" s="6"/>
      <c r="F1001" s="6"/>
    </row>
    <row r="1002">
      <c r="B1002" s="3"/>
      <c r="C1002" s="6"/>
      <c r="D1002" s="6"/>
      <c r="E1002" s="6"/>
      <c r="F1002" s="6"/>
    </row>
    <row r="1003">
      <c r="B1003" s="3"/>
      <c r="C1003" s="6"/>
      <c r="D1003" s="6"/>
      <c r="E1003" s="6"/>
      <c r="F1003" s="6"/>
    </row>
    <row r="1004">
      <c r="B1004" s="3"/>
      <c r="C1004" s="6"/>
      <c r="D1004" s="6"/>
      <c r="E1004" s="6"/>
      <c r="F1004" s="6"/>
    </row>
    <row r="1005">
      <c r="B1005" s="3"/>
      <c r="C1005" s="6"/>
      <c r="D1005" s="6"/>
      <c r="E1005" s="6"/>
      <c r="F1005" s="6"/>
    </row>
    <row r="1006">
      <c r="B1006" s="3"/>
      <c r="C1006" s="6"/>
      <c r="D1006" s="6"/>
      <c r="E1006" s="6"/>
      <c r="F1006" s="6"/>
    </row>
    <row r="1007">
      <c r="B1007" s="3"/>
      <c r="C1007" s="6"/>
      <c r="D1007" s="6"/>
      <c r="E1007" s="6"/>
      <c r="F1007" s="6"/>
    </row>
    <row r="1008">
      <c r="B1008" s="3"/>
      <c r="C1008" s="6"/>
      <c r="D1008" s="6"/>
      <c r="E1008" s="6"/>
      <c r="F1008" s="6"/>
    </row>
    <row r="1009">
      <c r="B1009" s="3"/>
      <c r="C1009" s="6"/>
      <c r="D1009" s="6"/>
      <c r="E1009" s="6"/>
      <c r="F1009" s="6"/>
    </row>
    <row r="1010">
      <c r="B1010" s="3"/>
      <c r="C1010" s="6"/>
      <c r="D1010" s="6"/>
      <c r="E1010" s="6"/>
      <c r="F1010" s="6"/>
    </row>
    <row r="1011">
      <c r="B1011" s="3"/>
      <c r="C1011" s="6"/>
      <c r="D1011" s="6"/>
      <c r="E1011" s="6"/>
      <c r="F1011"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2.13"/>
    <col customWidth="1" min="6" max="6" width="14.38"/>
  </cols>
  <sheetData>
    <row r="1">
      <c r="B1" s="511"/>
      <c r="C1" s="513" t="s">
        <v>315</v>
      </c>
      <c r="D1" s="513" t="s">
        <v>316</v>
      </c>
      <c r="E1" s="513" t="s">
        <v>317</v>
      </c>
      <c r="F1" s="513" t="s">
        <v>318</v>
      </c>
    </row>
    <row r="2">
      <c r="B2" s="512" t="s">
        <v>257</v>
      </c>
      <c r="C2" s="512">
        <v>10278.0</v>
      </c>
      <c r="D2" s="511"/>
      <c r="E2" s="511"/>
      <c r="F2" s="511"/>
    </row>
    <row r="3">
      <c r="B3" s="512" t="s">
        <v>260</v>
      </c>
      <c r="C3" s="512">
        <v>35815.0</v>
      </c>
      <c r="D3" s="572">
        <f>C3/C2</f>
        <v>3.484627359</v>
      </c>
      <c r="E3" s="511"/>
      <c r="F3" s="511"/>
    </row>
    <row r="4">
      <c r="B4" s="512" t="s">
        <v>261</v>
      </c>
      <c r="C4" s="512">
        <v>4262.0</v>
      </c>
      <c r="D4" s="515">
        <f>C4/C2</f>
        <v>0.4146721152</v>
      </c>
      <c r="E4" s="515">
        <f>C4/C3</f>
        <v>0.1190004188</v>
      </c>
      <c r="F4" s="515"/>
    </row>
    <row r="5">
      <c r="B5" s="512" t="s">
        <v>266</v>
      </c>
      <c r="C5" s="512">
        <v>266.0</v>
      </c>
      <c r="D5" s="515">
        <f>C5/C2</f>
        <v>0.0258805215</v>
      </c>
      <c r="E5" s="515">
        <f>C5/C3</f>
        <v>0.007427055703</v>
      </c>
      <c r="F5" s="515">
        <f>C5/C4</f>
        <v>0.06241201314</v>
      </c>
    </row>
    <row r="6">
      <c r="B6" s="512" t="s">
        <v>267</v>
      </c>
      <c r="C6" s="549">
        <v>161.0</v>
      </c>
      <c r="D6" s="515">
        <f>C6/C2</f>
        <v>0.01566452617</v>
      </c>
      <c r="E6" s="515">
        <f>C6/C3</f>
        <v>0.004495323189</v>
      </c>
      <c r="F6" s="515">
        <f>C6/C4</f>
        <v>0.03777569216</v>
      </c>
    </row>
    <row r="7">
      <c r="B7" s="512" t="s">
        <v>319</v>
      </c>
      <c r="C7" s="549">
        <v>0.0</v>
      </c>
      <c r="D7" s="515">
        <f>C7/C2</f>
        <v>0</v>
      </c>
      <c r="E7" s="515">
        <f>C7/C3</f>
        <v>0</v>
      </c>
      <c r="F7" s="515">
        <f>C7/C3</f>
        <v>0</v>
      </c>
    </row>
    <row r="8">
      <c r="A8" s="33"/>
      <c r="B8" s="560" t="s">
        <v>320</v>
      </c>
      <c r="C8" s="561">
        <v>0.0</v>
      </c>
      <c r="D8" s="562"/>
      <c r="E8" s="562"/>
      <c r="F8" s="562"/>
      <c r="G8" s="33"/>
      <c r="H8" s="33"/>
      <c r="I8" s="33"/>
      <c r="J8" s="33"/>
      <c r="K8" s="33"/>
      <c r="L8" s="33"/>
      <c r="M8" s="33"/>
      <c r="N8" s="33"/>
      <c r="O8" s="33"/>
      <c r="P8" s="33"/>
      <c r="Q8" s="33"/>
      <c r="R8" s="33"/>
      <c r="S8" s="33"/>
      <c r="T8" s="33"/>
      <c r="U8" s="33"/>
      <c r="V8" s="33"/>
      <c r="W8" s="33"/>
      <c r="X8" s="33"/>
      <c r="Y8" s="33"/>
      <c r="Z8" s="33"/>
      <c r="AA8" s="33"/>
    </row>
    <row r="9">
      <c r="A9" s="33"/>
      <c r="B9" s="563" t="s">
        <v>269</v>
      </c>
      <c r="C9" s="564">
        <v>114.0</v>
      </c>
      <c r="D9" s="565">
        <f>C9/C3</f>
        <v>0.003183023873</v>
      </c>
      <c r="E9" s="565">
        <f>C9/C4</f>
        <v>0.02674800563</v>
      </c>
      <c r="F9" s="565">
        <f>C9/C5</f>
        <v>0.4285714286</v>
      </c>
      <c r="G9" s="33"/>
      <c r="H9" s="33"/>
      <c r="I9" s="33"/>
      <c r="J9" s="33"/>
      <c r="K9" s="33"/>
      <c r="L9" s="33"/>
      <c r="M9" s="33"/>
      <c r="N9" s="33"/>
      <c r="O9" s="33"/>
      <c r="P9" s="33"/>
      <c r="Q9" s="33"/>
      <c r="R9" s="33"/>
      <c r="S9" s="33"/>
      <c r="T9" s="33"/>
      <c r="U9" s="33"/>
      <c r="V9" s="33"/>
      <c r="W9" s="33"/>
      <c r="X9" s="33"/>
      <c r="Y9" s="33"/>
      <c r="Z9" s="33"/>
      <c r="AA9" s="33"/>
    </row>
    <row r="10">
      <c r="A10" s="33"/>
      <c r="B10" s="560" t="s">
        <v>321</v>
      </c>
      <c r="C10" s="561">
        <v>0.7080745341614907</v>
      </c>
      <c r="D10" s="562"/>
      <c r="E10" s="562"/>
      <c r="F10" s="562"/>
      <c r="G10" s="33"/>
      <c r="H10" s="33"/>
      <c r="I10" s="33"/>
      <c r="J10" s="33"/>
      <c r="K10" s="33"/>
      <c r="L10" s="33"/>
      <c r="M10" s="33"/>
      <c r="N10" s="33"/>
      <c r="O10" s="33"/>
      <c r="P10" s="33"/>
      <c r="Q10" s="33"/>
      <c r="R10" s="33"/>
      <c r="S10" s="33"/>
      <c r="T10" s="33"/>
      <c r="U10" s="33"/>
      <c r="V10" s="33"/>
      <c r="W10" s="33"/>
      <c r="X10" s="33"/>
      <c r="Y10" s="33"/>
      <c r="Z10" s="33"/>
      <c r="AA10" s="33"/>
    </row>
    <row r="11">
      <c r="A11" s="33"/>
      <c r="B11" s="512" t="s">
        <v>322</v>
      </c>
      <c r="C11" s="549">
        <v>5.0</v>
      </c>
      <c r="D11" s="515">
        <f>C11/C2</f>
        <v>0.0004864759681</v>
      </c>
      <c r="E11" s="515">
        <f>C11/C3</f>
        <v>0.0001396063102</v>
      </c>
      <c r="F11" s="515">
        <f>C11/C4</f>
        <v>0.001173158142</v>
      </c>
      <c r="G11" s="33"/>
      <c r="H11" s="33"/>
      <c r="I11" s="33"/>
      <c r="J11" s="33"/>
      <c r="K11" s="33"/>
      <c r="L11" s="33"/>
      <c r="M11" s="33"/>
      <c r="N11" s="33"/>
      <c r="O11" s="33"/>
      <c r="P11" s="33"/>
      <c r="Q11" s="33"/>
      <c r="R11" s="33"/>
      <c r="S11" s="33"/>
      <c r="T11" s="33"/>
      <c r="U11" s="33"/>
      <c r="V11" s="33"/>
      <c r="W11" s="33"/>
      <c r="X11" s="33"/>
      <c r="Y11" s="33"/>
      <c r="Z11" s="33"/>
      <c r="AA11" s="33"/>
    </row>
    <row r="12">
      <c r="A12" s="33"/>
      <c r="B12" s="512" t="s">
        <v>323</v>
      </c>
      <c r="C12" s="520">
        <v>0.031055900621118012</v>
      </c>
      <c r="D12" s="515"/>
      <c r="E12" s="515"/>
      <c r="F12" s="515"/>
      <c r="G12" s="33"/>
      <c r="H12" s="33"/>
      <c r="I12" s="33"/>
      <c r="J12" s="33"/>
      <c r="K12" s="33"/>
      <c r="L12" s="33"/>
      <c r="M12" s="33"/>
      <c r="N12" s="33"/>
      <c r="O12" s="33"/>
      <c r="P12" s="33"/>
      <c r="Q12" s="33"/>
      <c r="R12" s="33"/>
      <c r="S12" s="33"/>
      <c r="T12" s="33"/>
      <c r="U12" s="33"/>
      <c r="V12" s="33"/>
      <c r="W12" s="33"/>
      <c r="X12" s="33"/>
      <c r="Y12" s="33"/>
      <c r="Z12" s="33"/>
      <c r="AA12" s="33"/>
    </row>
    <row r="13">
      <c r="A13" s="33"/>
      <c r="B13" s="512" t="s">
        <v>324</v>
      </c>
      <c r="C13" s="549">
        <v>119.0</v>
      </c>
      <c r="D13" s="515">
        <f>C13/C2</f>
        <v>0.01157812804</v>
      </c>
      <c r="E13" s="515">
        <f>C13/C3</f>
        <v>0.003322630183</v>
      </c>
      <c r="F13" s="515">
        <f>C11/C4</f>
        <v>0.001173158142</v>
      </c>
      <c r="G13" s="33"/>
      <c r="H13" s="33"/>
      <c r="I13" s="33"/>
      <c r="J13" s="33"/>
      <c r="K13" s="33"/>
      <c r="L13" s="33"/>
      <c r="M13" s="33"/>
      <c r="N13" s="33"/>
      <c r="O13" s="33"/>
      <c r="P13" s="33"/>
      <c r="Q13" s="33"/>
      <c r="R13" s="33"/>
      <c r="S13" s="33"/>
      <c r="T13" s="33"/>
      <c r="U13" s="33"/>
      <c r="V13" s="33"/>
      <c r="W13" s="33"/>
      <c r="X13" s="33"/>
      <c r="Y13" s="33"/>
      <c r="Z13" s="33"/>
      <c r="AA13" s="33"/>
    </row>
    <row r="14">
      <c r="A14" s="33"/>
      <c r="B14" s="512" t="s">
        <v>325</v>
      </c>
      <c r="C14" s="520">
        <v>0.7391304347826086</v>
      </c>
      <c r="D14" s="515"/>
      <c r="E14" s="515"/>
      <c r="F14" s="515"/>
      <c r="G14" s="33"/>
      <c r="H14" s="33"/>
      <c r="I14" s="33"/>
      <c r="J14" s="33"/>
      <c r="K14" s="33"/>
      <c r="L14" s="33"/>
      <c r="M14" s="33"/>
      <c r="N14" s="33"/>
      <c r="O14" s="33"/>
      <c r="P14" s="33"/>
      <c r="Q14" s="33"/>
      <c r="R14" s="33"/>
      <c r="S14" s="33"/>
      <c r="T14" s="33"/>
      <c r="U14" s="33"/>
      <c r="V14" s="33"/>
      <c r="W14" s="33"/>
      <c r="X14" s="33"/>
      <c r="Y14" s="33"/>
      <c r="Z14" s="33"/>
      <c r="AA14" s="33"/>
    </row>
    <row r="15">
      <c r="B15" s="512" t="s">
        <v>273</v>
      </c>
      <c r="C15" s="512">
        <v>67.0</v>
      </c>
      <c r="D15" s="511"/>
      <c r="E15" s="511"/>
      <c r="F15" s="511"/>
    </row>
    <row r="16">
      <c r="B16" s="512" t="s">
        <v>282</v>
      </c>
      <c r="C16" s="549">
        <v>104.0</v>
      </c>
      <c r="D16" s="511"/>
      <c r="E16" s="511"/>
      <c r="F16" s="511"/>
    </row>
    <row r="17">
      <c r="B17" s="512" t="s">
        <v>283</v>
      </c>
      <c r="C17" s="512">
        <v>265.0</v>
      </c>
      <c r="D17" s="511"/>
      <c r="E17" s="511"/>
      <c r="F17" s="511"/>
    </row>
    <row r="18">
      <c r="B18" s="512" t="s">
        <v>291</v>
      </c>
      <c r="C18" s="522">
        <v>2.159690163E9</v>
      </c>
      <c r="D18" s="523"/>
      <c r="E18" s="523"/>
      <c r="F18" s="523"/>
    </row>
    <row r="19">
      <c r="B19" s="512" t="s">
        <v>292</v>
      </c>
      <c r="C19" s="522">
        <v>2.10376816E9</v>
      </c>
      <c r="D19" s="523"/>
      <c r="E19" s="523"/>
      <c r="F19" s="523"/>
    </row>
    <row r="20">
      <c r="B20" s="512" t="s">
        <v>293</v>
      </c>
      <c r="C20" s="524">
        <v>0.9741064695491694</v>
      </c>
      <c r="D20" s="511"/>
      <c r="E20" s="511"/>
      <c r="F20" s="511"/>
    </row>
    <row r="21">
      <c r="B21" s="512" t="s">
        <v>294</v>
      </c>
      <c r="C21" s="522">
        <v>5.5922003E7</v>
      </c>
      <c r="D21" s="511"/>
      <c r="E21" s="511"/>
      <c r="F21" s="511"/>
    </row>
    <row r="22">
      <c r="B22" s="512" t="s">
        <v>295</v>
      </c>
      <c r="C22" s="522">
        <v>211026.42641509435</v>
      </c>
      <c r="D22" s="511"/>
      <c r="E22" s="511"/>
      <c r="F22" s="511"/>
    </row>
    <row r="23">
      <c r="B23" s="512" t="s">
        <v>296</v>
      </c>
      <c r="C23" s="522">
        <v>7.03182751E7</v>
      </c>
      <c r="D23" s="511"/>
      <c r="E23" s="511"/>
      <c r="F23" s="511"/>
    </row>
    <row r="24">
      <c r="B24" s="512" t="s">
        <v>297</v>
      </c>
      <c r="C24" s="525">
        <v>5.783729131E7</v>
      </c>
      <c r="D24" s="511"/>
      <c r="E24" s="511"/>
      <c r="F24" s="511"/>
    </row>
    <row r="25">
      <c r="B25" s="512" t="s">
        <v>327</v>
      </c>
      <c r="C25" s="524">
        <v>0.822507253310029</v>
      </c>
      <c r="D25" s="566" t="s">
        <v>328</v>
      </c>
      <c r="E25" s="567">
        <v>0.8791</v>
      </c>
      <c r="F25" s="511"/>
    </row>
    <row r="26">
      <c r="B26" s="512" t="s">
        <v>299</v>
      </c>
      <c r="C26" s="522">
        <v>2.16523547E7</v>
      </c>
      <c r="D26" s="512" t="s">
        <v>329</v>
      </c>
      <c r="E26" s="525">
        <v>1810000.0</v>
      </c>
      <c r="F26" s="511"/>
    </row>
    <row r="27">
      <c r="B27" s="512" t="s">
        <v>300</v>
      </c>
      <c r="C27" s="525">
        <v>3.578978608E7</v>
      </c>
      <c r="D27" s="512" t="s">
        <v>331</v>
      </c>
      <c r="E27" s="504">
        <f>E26/C21</f>
        <v>0.03236650876</v>
      </c>
      <c r="F27" s="511"/>
    </row>
    <row r="28">
      <c r="B28" s="512" t="s">
        <v>301</v>
      </c>
      <c r="C28" s="522">
        <v>135055.79652830187</v>
      </c>
      <c r="D28" s="512" t="s">
        <v>332</v>
      </c>
      <c r="E28" s="515">
        <f>E26/C27</f>
        <v>0.05057308797</v>
      </c>
      <c r="F28" s="511"/>
    </row>
    <row r="29">
      <c r="B29" s="512" t="s">
        <v>302</v>
      </c>
      <c r="C29" s="525">
        <v>4908551.0</v>
      </c>
      <c r="D29" s="512" t="s">
        <v>333</v>
      </c>
      <c r="E29" s="515">
        <f>E26/C18</f>
        <v>0.0008380831802</v>
      </c>
      <c r="F29" s="511"/>
    </row>
    <row r="30">
      <c r="B30" s="512" t="s">
        <v>303</v>
      </c>
      <c r="C30" s="525">
        <v>3.088123508E7</v>
      </c>
      <c r="D30" s="511"/>
      <c r="E30" s="511"/>
      <c r="F30" s="511"/>
    </row>
    <row r="31">
      <c r="A31" s="33"/>
      <c r="B31" s="591" t="s">
        <v>304</v>
      </c>
      <c r="C31" s="592">
        <v>6186256.224160001</v>
      </c>
      <c r="D31" s="591"/>
      <c r="E31" s="591"/>
      <c r="F31" s="591"/>
      <c r="G31" s="33"/>
      <c r="H31" s="33"/>
      <c r="I31" s="33"/>
      <c r="J31" s="33"/>
      <c r="K31" s="33"/>
      <c r="L31" s="33"/>
      <c r="M31" s="33"/>
      <c r="N31" s="33"/>
      <c r="O31" s="33"/>
      <c r="P31" s="33"/>
      <c r="Q31" s="33"/>
      <c r="R31" s="33"/>
      <c r="S31" s="33"/>
      <c r="T31" s="33"/>
      <c r="U31" s="33"/>
      <c r="V31" s="33"/>
      <c r="W31" s="33"/>
      <c r="X31" s="33"/>
      <c r="Y31" s="33"/>
      <c r="Z31" s="33"/>
      <c r="AA31" s="33"/>
    </row>
    <row r="32">
      <c r="A32" s="33"/>
      <c r="B32" s="594" t="s">
        <v>305</v>
      </c>
      <c r="C32" s="592">
        <v>6959538.252179999</v>
      </c>
      <c r="D32" s="594"/>
      <c r="E32" s="594"/>
      <c r="F32" s="594"/>
      <c r="G32" s="33"/>
      <c r="H32" s="33"/>
      <c r="I32" s="33"/>
      <c r="J32" s="33"/>
      <c r="K32" s="33"/>
      <c r="L32" s="33"/>
      <c r="M32" s="33"/>
      <c r="N32" s="33"/>
      <c r="O32" s="33"/>
      <c r="P32" s="33"/>
      <c r="Q32" s="33"/>
      <c r="R32" s="33"/>
      <c r="S32" s="33"/>
      <c r="T32" s="33"/>
      <c r="U32" s="33"/>
      <c r="V32" s="33"/>
      <c r="W32" s="33"/>
      <c r="X32" s="33"/>
      <c r="Y32" s="33"/>
      <c r="Z32" s="33"/>
      <c r="AA32" s="33"/>
    </row>
    <row r="33">
      <c r="B33" s="532" t="s">
        <v>343</v>
      </c>
      <c r="C33" s="534">
        <v>269960.0</v>
      </c>
      <c r="D33" s="533"/>
      <c r="E33" s="533"/>
      <c r="F33" s="533"/>
    </row>
    <row r="34">
      <c r="B34" s="547" t="s">
        <v>131</v>
      </c>
      <c r="C34" s="534">
        <v>0.0</v>
      </c>
      <c r="D34" s="533"/>
      <c r="E34" s="533"/>
      <c r="F34" s="533"/>
    </row>
    <row r="35">
      <c r="B35" s="536" t="s">
        <v>135</v>
      </c>
      <c r="C35" s="534">
        <v>2795952.0</v>
      </c>
      <c r="D35" s="537"/>
      <c r="E35" s="537"/>
      <c r="F35" s="537"/>
    </row>
    <row r="36">
      <c r="B36" s="538" t="s">
        <v>129</v>
      </c>
      <c r="C36" s="522">
        <v>1140583.05</v>
      </c>
      <c r="D36" s="511"/>
      <c r="E36" s="511"/>
      <c r="F36" s="511"/>
    </row>
    <row r="37">
      <c r="B37" s="538" t="s">
        <v>127</v>
      </c>
      <c r="C37" s="522">
        <v>1536157.6258</v>
      </c>
      <c r="D37" s="511"/>
      <c r="E37" s="511"/>
      <c r="F37" s="511"/>
    </row>
    <row r="38">
      <c r="B38" s="538" t="s">
        <v>336</v>
      </c>
      <c r="C38" s="522">
        <v>1970099.0</v>
      </c>
      <c r="D38" s="511"/>
      <c r="E38" s="511"/>
      <c r="F38" s="511"/>
    </row>
    <row r="39">
      <c r="B39" s="538" t="s">
        <v>337</v>
      </c>
      <c r="C39" s="522">
        <v>727339.401</v>
      </c>
      <c r="D39" s="511"/>
      <c r="E39" s="511"/>
      <c r="F39" s="511"/>
    </row>
    <row r="40">
      <c r="B40" s="512" t="s">
        <v>307</v>
      </c>
      <c r="C40" s="522">
        <v>8440091.0768</v>
      </c>
      <c r="D40" s="511"/>
      <c r="E40" s="511"/>
      <c r="F40" s="511"/>
    </row>
    <row r="41">
      <c r="B41" s="532" t="s">
        <v>311</v>
      </c>
      <c r="C41" s="534">
        <v>8506102.30822</v>
      </c>
      <c r="D41" s="533"/>
      <c r="E41" s="533"/>
      <c r="F41" s="533"/>
    </row>
    <row r="42">
      <c r="B42" s="532" t="s">
        <v>338</v>
      </c>
      <c r="C42" s="540">
        <v>789247.2186399996</v>
      </c>
      <c r="D42" s="533"/>
      <c r="E42" s="533"/>
      <c r="F42" s="533"/>
    </row>
    <row r="43">
      <c r="B43" s="568"/>
      <c r="C43" s="568"/>
    </row>
    <row r="44">
      <c r="A44" s="569"/>
      <c r="B44" s="1"/>
      <c r="C44" s="552"/>
    </row>
    <row r="45">
      <c r="A45" s="569"/>
      <c r="B45" s="1"/>
      <c r="C45" s="1"/>
    </row>
    <row r="46">
      <c r="B46" s="1"/>
      <c r="C46" s="552"/>
    </row>
    <row r="47">
      <c r="A47" s="569"/>
      <c r="B47" s="1"/>
      <c r="C47" s="552"/>
    </row>
    <row r="48">
      <c r="A48" s="569"/>
      <c r="B48" s="1"/>
      <c r="C48" s="552"/>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20.63"/>
    <col customWidth="1" min="6" max="6" width="14.38"/>
  </cols>
  <sheetData>
    <row r="1">
      <c r="B1" s="511"/>
      <c r="C1" s="570" t="s">
        <v>315</v>
      </c>
      <c r="D1" s="513" t="s">
        <v>316</v>
      </c>
      <c r="E1" s="513" t="s">
        <v>317</v>
      </c>
      <c r="F1" s="513" t="s">
        <v>318</v>
      </c>
    </row>
    <row r="2">
      <c r="B2" s="512" t="s">
        <v>257</v>
      </c>
      <c r="C2" s="571">
        <v>14000.0</v>
      </c>
      <c r="D2" s="511"/>
      <c r="E2" s="511"/>
      <c r="F2" s="511"/>
    </row>
    <row r="3">
      <c r="B3" s="512" t="s">
        <v>260</v>
      </c>
      <c r="C3" s="571">
        <v>12626.0</v>
      </c>
      <c r="D3" s="572">
        <f>C3/C2</f>
        <v>0.9018571429</v>
      </c>
      <c r="E3" s="511"/>
      <c r="F3" s="511"/>
    </row>
    <row r="4">
      <c r="B4" s="512" t="s">
        <v>261</v>
      </c>
      <c r="C4" s="571">
        <v>1610.0</v>
      </c>
      <c r="D4" s="515">
        <f>C4/C2</f>
        <v>0.115</v>
      </c>
      <c r="E4" s="515">
        <f>C4/C3</f>
        <v>0.1275146523</v>
      </c>
      <c r="F4" s="515"/>
    </row>
    <row r="5">
      <c r="B5" s="512" t="s">
        <v>266</v>
      </c>
      <c r="C5" s="571">
        <v>198.0</v>
      </c>
      <c r="D5" s="515">
        <f>C5/C2</f>
        <v>0.01414285714</v>
      </c>
      <c r="E5" s="515">
        <f>C5/C3</f>
        <v>0.01568192618</v>
      </c>
      <c r="F5" s="515">
        <f>C5/C4</f>
        <v>0.1229813665</v>
      </c>
    </row>
    <row r="6">
      <c r="B6" s="512" t="s">
        <v>267</v>
      </c>
      <c r="C6" s="573">
        <v>149.0</v>
      </c>
      <c r="D6" s="515">
        <f>C6/C2</f>
        <v>0.01064285714</v>
      </c>
      <c r="E6" s="515">
        <f>C6/C3</f>
        <v>0.01180104546</v>
      </c>
      <c r="F6" s="515">
        <f>C6/C4</f>
        <v>0.09254658385</v>
      </c>
    </row>
    <row r="7">
      <c r="B7" s="512" t="s">
        <v>319</v>
      </c>
      <c r="C7" s="573">
        <v>0.0</v>
      </c>
      <c r="D7" s="515">
        <f>C7/C2</f>
        <v>0</v>
      </c>
      <c r="E7" s="515">
        <f>C7/C3</f>
        <v>0</v>
      </c>
      <c r="F7" s="515">
        <f>C7/C3</f>
        <v>0</v>
      </c>
      <c r="H7" s="585"/>
    </row>
    <row r="8">
      <c r="A8" s="33"/>
      <c r="B8" s="560" t="s">
        <v>320</v>
      </c>
      <c r="C8" s="561">
        <v>0.0</v>
      </c>
      <c r="D8" s="562"/>
      <c r="E8" s="562"/>
      <c r="F8" s="562"/>
      <c r="G8" s="33"/>
      <c r="H8" s="588"/>
      <c r="I8" s="33"/>
      <c r="J8" s="33"/>
      <c r="K8" s="33"/>
      <c r="L8" s="33"/>
      <c r="M8" s="33"/>
      <c r="N8" s="33"/>
      <c r="O8" s="33"/>
      <c r="P8" s="33"/>
      <c r="Q8" s="33"/>
      <c r="R8" s="33"/>
      <c r="S8" s="33"/>
      <c r="T8" s="33"/>
      <c r="U8" s="33"/>
      <c r="V8" s="33"/>
      <c r="W8" s="33"/>
      <c r="X8" s="33"/>
      <c r="Y8" s="33"/>
      <c r="Z8" s="33"/>
      <c r="AA8" s="33"/>
    </row>
    <row r="9">
      <c r="A9" s="33"/>
      <c r="B9" s="563" t="s">
        <v>269</v>
      </c>
      <c r="C9" s="564">
        <v>110.0</v>
      </c>
      <c r="D9" s="565">
        <f>C9/C3</f>
        <v>0.008712181213</v>
      </c>
      <c r="E9" s="565">
        <f>C9/C4</f>
        <v>0.06832298137</v>
      </c>
      <c r="F9" s="565">
        <f>C9/C5</f>
        <v>0.5555555556</v>
      </c>
      <c r="G9" s="33"/>
      <c r="H9" s="586"/>
      <c r="I9" s="33"/>
      <c r="J9" s="33"/>
      <c r="K9" s="33"/>
      <c r="L9" s="33"/>
      <c r="M9" s="33"/>
      <c r="N9" s="33"/>
      <c r="O9" s="33"/>
      <c r="P9" s="33"/>
      <c r="Q9" s="33"/>
      <c r="R9" s="33"/>
      <c r="S9" s="33"/>
      <c r="T9" s="33"/>
      <c r="U9" s="33"/>
      <c r="V9" s="33"/>
      <c r="W9" s="33"/>
      <c r="X9" s="33"/>
      <c r="Y9" s="33"/>
      <c r="Z9" s="33"/>
      <c r="AA9" s="33"/>
    </row>
    <row r="10">
      <c r="A10" s="33"/>
      <c r="B10" s="560" t="s">
        <v>321</v>
      </c>
      <c r="C10" s="561">
        <v>0.738255033557047</v>
      </c>
      <c r="D10" s="562"/>
      <c r="E10" s="562"/>
      <c r="F10" s="562"/>
      <c r="G10" s="33"/>
      <c r="H10" s="587"/>
      <c r="I10" s="33"/>
      <c r="J10" s="33"/>
      <c r="K10" s="33"/>
      <c r="L10" s="33"/>
      <c r="M10" s="33"/>
      <c r="N10" s="33"/>
      <c r="O10" s="33"/>
      <c r="P10" s="33"/>
      <c r="Q10" s="33"/>
      <c r="R10" s="33"/>
      <c r="S10" s="33"/>
      <c r="T10" s="33"/>
      <c r="U10" s="33"/>
      <c r="V10" s="33"/>
      <c r="W10" s="33"/>
      <c r="X10" s="33"/>
      <c r="Y10" s="33"/>
      <c r="Z10" s="33"/>
      <c r="AA10" s="33"/>
    </row>
    <row r="11">
      <c r="A11" s="33"/>
      <c r="B11" s="512" t="s">
        <v>322</v>
      </c>
      <c r="C11" s="573">
        <v>4.0</v>
      </c>
      <c r="D11" s="515">
        <f>C11/C2</f>
        <v>0.0002857142857</v>
      </c>
      <c r="E11" s="515">
        <f>C11/C3</f>
        <v>0.0003168065896</v>
      </c>
      <c r="F11" s="515">
        <f>C11/C4</f>
        <v>0.00248447205</v>
      </c>
      <c r="G11" s="33"/>
      <c r="H11" s="586"/>
      <c r="I11" s="33"/>
      <c r="J11" s="33"/>
      <c r="K11" s="33"/>
      <c r="L11" s="33"/>
      <c r="M11" s="33"/>
      <c r="N11" s="33"/>
      <c r="O11" s="33"/>
      <c r="P11" s="33"/>
      <c r="Q11" s="33"/>
      <c r="R11" s="33"/>
      <c r="S11" s="33"/>
      <c r="T11" s="33"/>
      <c r="U11" s="33"/>
      <c r="V11" s="33"/>
      <c r="W11" s="33"/>
      <c r="X11" s="33"/>
      <c r="Y11" s="33"/>
      <c r="Z11" s="33"/>
      <c r="AA11" s="33"/>
    </row>
    <row r="12">
      <c r="A12" s="33"/>
      <c r="B12" s="512" t="s">
        <v>323</v>
      </c>
      <c r="C12" s="577">
        <v>0.026845637583892617</v>
      </c>
      <c r="D12" s="515"/>
      <c r="E12" s="515"/>
      <c r="F12" s="515"/>
      <c r="G12" s="33"/>
      <c r="H12" s="588"/>
      <c r="I12" s="33"/>
      <c r="J12" s="33"/>
      <c r="K12" s="33"/>
      <c r="L12" s="33"/>
      <c r="M12" s="33"/>
      <c r="N12" s="33"/>
      <c r="O12" s="33"/>
      <c r="P12" s="33"/>
      <c r="Q12" s="33"/>
      <c r="R12" s="33"/>
      <c r="S12" s="33"/>
      <c r="T12" s="33"/>
      <c r="U12" s="33"/>
      <c r="V12" s="33"/>
      <c r="W12" s="33"/>
      <c r="X12" s="33"/>
      <c r="Y12" s="33"/>
      <c r="Z12" s="33"/>
      <c r="AA12" s="33"/>
    </row>
    <row r="13">
      <c r="A13" s="33"/>
      <c r="B13" s="512" t="s">
        <v>324</v>
      </c>
      <c r="C13" s="573">
        <v>114.0</v>
      </c>
      <c r="D13" s="515">
        <f>C13/C2</f>
        <v>0.008142857143</v>
      </c>
      <c r="E13" s="515">
        <f>C13/C3</f>
        <v>0.009028987803</v>
      </c>
      <c r="F13" s="515">
        <f>C11/C4</f>
        <v>0.00248447205</v>
      </c>
      <c r="G13" s="33"/>
      <c r="H13" s="589"/>
      <c r="I13" s="33"/>
      <c r="J13" s="33"/>
      <c r="K13" s="33"/>
      <c r="L13" s="33"/>
      <c r="M13" s="33"/>
      <c r="N13" s="33"/>
      <c r="O13" s="33"/>
      <c r="P13" s="33"/>
      <c r="Q13" s="33"/>
      <c r="R13" s="33"/>
      <c r="S13" s="33"/>
      <c r="T13" s="33"/>
      <c r="U13" s="33"/>
      <c r="V13" s="33"/>
      <c r="W13" s="33"/>
      <c r="X13" s="33"/>
      <c r="Y13" s="33"/>
      <c r="Z13" s="33"/>
      <c r="AA13" s="33"/>
    </row>
    <row r="14">
      <c r="A14" s="33"/>
      <c r="B14" s="512" t="s">
        <v>325</v>
      </c>
      <c r="C14" s="577">
        <v>0.7651006711409396</v>
      </c>
      <c r="D14" s="515"/>
      <c r="E14" s="515"/>
      <c r="F14" s="515"/>
      <c r="G14" s="33"/>
      <c r="H14" s="588"/>
      <c r="I14" s="33"/>
      <c r="J14" s="33"/>
      <c r="K14" s="33"/>
      <c r="L14" s="33"/>
      <c r="M14" s="33"/>
      <c r="N14" s="33"/>
      <c r="O14" s="33"/>
      <c r="P14" s="33"/>
      <c r="Q14" s="33"/>
      <c r="R14" s="33"/>
      <c r="S14" s="33"/>
      <c r="T14" s="33"/>
      <c r="U14" s="33"/>
      <c r="V14" s="33"/>
      <c r="W14" s="33"/>
      <c r="X14" s="33"/>
      <c r="Y14" s="33"/>
      <c r="Z14" s="33"/>
      <c r="AA14" s="33"/>
    </row>
    <row r="15">
      <c r="B15" s="512" t="s">
        <v>273</v>
      </c>
      <c r="C15" s="571">
        <v>62.0</v>
      </c>
      <c r="D15" s="511"/>
      <c r="E15" s="511"/>
      <c r="F15" s="511"/>
      <c r="H15" s="590"/>
    </row>
    <row r="16">
      <c r="B16" s="512" t="s">
        <v>282</v>
      </c>
      <c r="C16" s="573">
        <v>57.0</v>
      </c>
      <c r="D16" s="511"/>
      <c r="E16" s="511"/>
      <c r="F16" s="511"/>
    </row>
    <row r="17">
      <c r="B17" s="512" t="s">
        <v>283</v>
      </c>
      <c r="C17" s="571">
        <v>206.0</v>
      </c>
      <c r="D17" s="511"/>
      <c r="E17" s="511"/>
      <c r="F17" s="511"/>
      <c r="H17" s="585"/>
    </row>
    <row r="18">
      <c r="B18" s="512" t="s">
        <v>291</v>
      </c>
      <c r="C18" s="523">
        <v>1.3921325738E9</v>
      </c>
      <c r="D18" s="523"/>
      <c r="E18" s="523"/>
      <c r="F18" s="523"/>
    </row>
    <row r="19">
      <c r="B19" s="512" t="s">
        <v>292</v>
      </c>
      <c r="C19" s="523">
        <v>1.38978595994E9</v>
      </c>
      <c r="D19" s="523"/>
      <c r="E19" s="523"/>
      <c r="F19" s="523"/>
      <c r="H19" s="557"/>
    </row>
    <row r="20">
      <c r="B20" s="512" t="s">
        <v>293</v>
      </c>
      <c r="C20" s="515">
        <v>0.9983143747196472</v>
      </c>
      <c r="D20" s="511"/>
      <c r="E20" s="511"/>
      <c r="F20" s="511"/>
      <c r="H20" s="557"/>
    </row>
    <row r="21">
      <c r="B21" s="512" t="s">
        <v>294</v>
      </c>
      <c r="C21" s="523">
        <v>2346613.859999895</v>
      </c>
      <c r="D21" s="511"/>
      <c r="E21" s="511"/>
      <c r="F21" s="511"/>
      <c r="H21" s="590"/>
    </row>
    <row r="22">
      <c r="B22" s="512" t="s">
        <v>295</v>
      </c>
      <c r="C22" s="523">
        <v>11391.329417475219</v>
      </c>
      <c r="D22" s="511"/>
      <c r="E22" s="511"/>
      <c r="F22" s="511"/>
      <c r="H22" s="557"/>
    </row>
    <row r="23">
      <c r="B23" s="512" t="s">
        <v>296</v>
      </c>
      <c r="C23" s="523">
        <v>6.6130411400000006E7</v>
      </c>
      <c r="D23" s="511"/>
      <c r="E23" s="511"/>
      <c r="F23" s="511"/>
      <c r="H23" s="557"/>
    </row>
    <row r="24">
      <c r="B24" s="512" t="s">
        <v>297</v>
      </c>
      <c r="C24" s="579">
        <v>5.5774912E7</v>
      </c>
      <c r="D24" s="511"/>
      <c r="E24" s="511"/>
      <c r="F24" s="511"/>
      <c r="H24" s="557"/>
    </row>
    <row r="25">
      <c r="B25" s="512" t="s">
        <v>327</v>
      </c>
      <c r="C25" s="515">
        <v>0.8434079089972212</v>
      </c>
      <c r="D25" s="566" t="s">
        <v>328</v>
      </c>
      <c r="E25" s="567">
        <v>0.9134</v>
      </c>
      <c r="F25" s="511"/>
      <c r="H25" s="527"/>
    </row>
    <row r="26">
      <c r="B26" s="512" t="s">
        <v>299</v>
      </c>
      <c r="C26" s="523">
        <v>6.4758806E7</v>
      </c>
      <c r="D26" s="512" t="s">
        <v>329</v>
      </c>
      <c r="E26" s="525">
        <v>760000.0</v>
      </c>
      <c r="F26" s="511"/>
      <c r="H26" s="590"/>
    </row>
    <row r="27">
      <c r="B27" s="512" t="s">
        <v>300</v>
      </c>
      <c r="C27" s="579">
        <v>-8983894.0</v>
      </c>
      <c r="D27" s="512" t="s">
        <v>331</v>
      </c>
      <c r="E27" s="504">
        <f>E26/C21</f>
        <v>0.3238709244</v>
      </c>
      <c r="F27" s="511"/>
      <c r="H27" s="557"/>
    </row>
    <row r="28">
      <c r="B28" s="512" t="s">
        <v>301</v>
      </c>
      <c r="C28" s="523">
        <v>-43611.1359223301</v>
      </c>
      <c r="D28" s="512" t="s">
        <v>332</v>
      </c>
      <c r="E28" s="515">
        <f>E26/C27</f>
        <v>-0.08459583339</v>
      </c>
      <c r="F28" s="511"/>
      <c r="H28" s="527"/>
    </row>
    <row r="29">
      <c r="B29" s="512" t="s">
        <v>302</v>
      </c>
      <c r="C29" s="579">
        <v>339726.0</v>
      </c>
      <c r="D29" s="512" t="s">
        <v>333</v>
      </c>
      <c r="E29" s="515">
        <f>E26/C18</f>
        <v>0.0005459250177</v>
      </c>
      <c r="F29" s="511"/>
      <c r="H29" s="557"/>
    </row>
    <row r="30">
      <c r="B30" s="512" t="s">
        <v>303</v>
      </c>
      <c r="C30" s="579">
        <v>-9323620.0</v>
      </c>
      <c r="D30" s="511"/>
      <c r="E30" s="511"/>
      <c r="F30" s="511"/>
      <c r="H30" s="527"/>
    </row>
    <row r="31">
      <c r="A31" s="33"/>
      <c r="B31" s="591" t="s">
        <v>304</v>
      </c>
      <c r="C31" s="592">
        <v>-1679368.4045600002</v>
      </c>
      <c r="D31" s="591"/>
      <c r="E31" s="591"/>
      <c r="F31" s="591"/>
      <c r="G31" s="33"/>
      <c r="H31" s="595"/>
      <c r="I31" s="33"/>
      <c r="J31" s="33"/>
      <c r="K31" s="33"/>
      <c r="L31" s="33"/>
      <c r="M31" s="33"/>
      <c r="N31" s="33"/>
      <c r="O31" s="33"/>
      <c r="P31" s="33"/>
      <c r="Q31" s="33"/>
      <c r="R31" s="33"/>
      <c r="S31" s="33"/>
      <c r="T31" s="33"/>
      <c r="U31" s="33"/>
      <c r="V31" s="33"/>
      <c r="W31" s="33"/>
      <c r="X31" s="33"/>
      <c r="Y31" s="33"/>
      <c r="Z31" s="33"/>
      <c r="AA31" s="33"/>
    </row>
    <row r="32">
      <c r="A32" s="33"/>
      <c r="B32" s="594" t="s">
        <v>305</v>
      </c>
      <c r="C32" s="592">
        <v>-1889289.4551299997</v>
      </c>
      <c r="D32" s="594"/>
      <c r="E32" s="594"/>
      <c r="F32" s="594"/>
      <c r="G32" s="33"/>
      <c r="H32" s="593"/>
      <c r="I32" s="33"/>
      <c r="J32" s="33"/>
      <c r="K32" s="33"/>
      <c r="L32" s="33"/>
      <c r="M32" s="33"/>
      <c r="N32" s="33"/>
      <c r="O32" s="33"/>
      <c r="P32" s="33"/>
      <c r="Q32" s="33"/>
      <c r="R32" s="33"/>
      <c r="S32" s="33"/>
      <c r="T32" s="33"/>
      <c r="U32" s="33"/>
      <c r="V32" s="33"/>
      <c r="W32" s="33"/>
      <c r="X32" s="33"/>
      <c r="Y32" s="33"/>
      <c r="Z32" s="33"/>
      <c r="AA32" s="33"/>
    </row>
    <row r="33">
      <c r="B33" s="532" t="s">
        <v>343</v>
      </c>
      <c r="C33" s="539">
        <v>303595.0</v>
      </c>
      <c r="D33" s="533"/>
      <c r="E33" s="533"/>
      <c r="F33" s="533"/>
      <c r="H33" s="551"/>
    </row>
    <row r="34">
      <c r="B34" s="547" t="s">
        <v>131</v>
      </c>
      <c r="C34" s="539">
        <v>362299.0</v>
      </c>
      <c r="D34" s="533"/>
      <c r="E34" s="533"/>
      <c r="F34" s="533"/>
      <c r="H34" s="557"/>
    </row>
    <row r="35">
      <c r="B35" s="536" t="s">
        <v>135</v>
      </c>
      <c r="C35" s="539">
        <v>1342159.0</v>
      </c>
      <c r="D35" s="537"/>
      <c r="E35" s="537"/>
      <c r="F35" s="537"/>
      <c r="H35" s="557"/>
    </row>
    <row r="36">
      <c r="B36" s="538" t="s">
        <v>129</v>
      </c>
      <c r="C36" s="523">
        <v>0.0</v>
      </c>
      <c r="D36" s="511"/>
      <c r="E36" s="511"/>
      <c r="F36" s="511"/>
      <c r="H36" s="557"/>
    </row>
    <row r="37">
      <c r="B37" s="538" t="s">
        <v>127</v>
      </c>
      <c r="C37" s="523">
        <v>2023594.0</v>
      </c>
      <c r="D37" s="511"/>
      <c r="E37" s="511"/>
      <c r="F37" s="511"/>
      <c r="H37" s="557"/>
    </row>
    <row r="38">
      <c r="B38" s="538" t="s">
        <v>336</v>
      </c>
      <c r="C38" s="523">
        <v>555581.0</v>
      </c>
      <c r="D38" s="511"/>
      <c r="E38" s="511"/>
      <c r="F38" s="511"/>
      <c r="H38" s="557"/>
    </row>
    <row r="39">
      <c r="B39" s="538" t="s">
        <v>337</v>
      </c>
      <c r="C39" s="523">
        <v>701406.72</v>
      </c>
      <c r="D39" s="511"/>
      <c r="E39" s="511"/>
      <c r="F39" s="511"/>
      <c r="H39" s="557"/>
    </row>
    <row r="40">
      <c r="B40" s="512" t="s">
        <v>307</v>
      </c>
      <c r="C40" s="523">
        <v>5288634.72</v>
      </c>
      <c r="D40" s="511"/>
      <c r="E40" s="511"/>
      <c r="F40" s="511"/>
      <c r="H40" s="557"/>
    </row>
    <row r="41">
      <c r="B41" s="532" t="s">
        <v>311</v>
      </c>
      <c r="C41" s="539">
        <v>-2309131.5562699996</v>
      </c>
      <c r="D41" s="533"/>
      <c r="E41" s="533"/>
      <c r="F41" s="533"/>
      <c r="H41" s="557"/>
    </row>
    <row r="42">
      <c r="B42" s="532" t="s">
        <v>338</v>
      </c>
      <c r="C42" s="540">
        <v>-8734465.30404</v>
      </c>
      <c r="D42" s="533"/>
      <c r="E42" s="533"/>
      <c r="F42" s="533"/>
      <c r="H42" s="557"/>
    </row>
    <row r="43">
      <c r="B43" s="582"/>
      <c r="C43" s="583"/>
      <c r="D43" s="6"/>
      <c r="E43" s="6"/>
      <c r="F43" s="6"/>
      <c r="H43" s="551"/>
    </row>
    <row r="44">
      <c r="A44" s="569"/>
      <c r="B44" s="528"/>
      <c r="C44" s="578"/>
      <c r="D44" s="6"/>
      <c r="E44" s="6"/>
      <c r="F44" s="6"/>
    </row>
    <row r="45">
      <c r="A45" s="569"/>
      <c r="B45" s="528"/>
      <c r="C45" s="584"/>
      <c r="D45" s="6"/>
      <c r="E45" s="6"/>
      <c r="F45" s="6"/>
      <c r="H45" s="552"/>
    </row>
    <row r="46">
      <c r="B46" s="528"/>
      <c r="C46" s="578"/>
      <c r="D46" s="6"/>
      <c r="E46" s="6"/>
      <c r="F46" s="6"/>
      <c r="H46" s="1"/>
    </row>
    <row r="47">
      <c r="A47" s="569"/>
      <c r="B47" s="528"/>
      <c r="C47" s="578"/>
      <c r="D47" s="6"/>
      <c r="E47" s="6"/>
      <c r="F47" s="6"/>
      <c r="H47" s="552"/>
    </row>
    <row r="48">
      <c r="A48" s="569"/>
      <c r="B48" s="528"/>
      <c r="C48" s="578"/>
      <c r="D48" s="6"/>
      <c r="E48" s="6"/>
      <c r="F48" s="6"/>
      <c r="H48" s="552"/>
    </row>
    <row r="49">
      <c r="B49" s="3"/>
      <c r="C49" s="6"/>
      <c r="D49" s="6"/>
      <c r="E49" s="6"/>
      <c r="F49" s="6"/>
      <c r="H49" s="552"/>
    </row>
    <row r="50">
      <c r="B50" s="3"/>
      <c r="C50" s="6"/>
      <c r="D50" s="6"/>
      <c r="E50" s="6"/>
      <c r="F50" s="6"/>
    </row>
    <row r="51">
      <c r="B51" s="3"/>
      <c r="C51" s="6"/>
      <c r="D51" s="6"/>
      <c r="E51" s="6"/>
      <c r="F51" s="6"/>
    </row>
    <row r="52">
      <c r="B52" s="3"/>
      <c r="C52" s="6"/>
      <c r="D52" s="6"/>
      <c r="E52" s="6"/>
      <c r="F52" s="6"/>
    </row>
    <row r="53">
      <c r="B53" s="3"/>
      <c r="C53" s="6"/>
      <c r="D53" s="6"/>
      <c r="E53" s="6"/>
      <c r="F53" s="6"/>
    </row>
    <row r="54">
      <c r="B54" s="3"/>
      <c r="C54" s="6"/>
      <c r="D54" s="6"/>
      <c r="E54" s="6"/>
      <c r="F54" s="6"/>
    </row>
    <row r="55">
      <c r="B55" s="3"/>
      <c r="C55" s="6"/>
      <c r="D55" s="6"/>
      <c r="E55" s="6"/>
      <c r="F55" s="6"/>
    </row>
    <row r="56">
      <c r="B56" s="3"/>
      <c r="C56" s="6"/>
      <c r="D56" s="6"/>
      <c r="E56" s="6"/>
      <c r="F56" s="6"/>
    </row>
    <row r="57">
      <c r="B57" s="3"/>
      <c r="C57" s="6"/>
      <c r="D57" s="6"/>
      <c r="E57" s="6"/>
      <c r="F57" s="6"/>
    </row>
    <row r="58">
      <c r="B58" s="3"/>
      <c r="C58" s="6"/>
      <c r="D58" s="6"/>
      <c r="E58" s="6"/>
      <c r="F58" s="6"/>
    </row>
    <row r="59">
      <c r="B59" s="3"/>
      <c r="C59" s="6"/>
      <c r="D59" s="6"/>
      <c r="E59" s="6"/>
      <c r="F59" s="6"/>
    </row>
    <row r="60">
      <c r="B60" s="3"/>
      <c r="C60" s="6"/>
      <c r="D60" s="6"/>
      <c r="E60" s="6"/>
      <c r="F60" s="6"/>
    </row>
    <row r="61">
      <c r="B61" s="3"/>
      <c r="C61" s="6"/>
      <c r="D61" s="6"/>
      <c r="E61" s="6"/>
      <c r="F61" s="6"/>
    </row>
    <row r="62">
      <c r="B62" s="3"/>
      <c r="C62" s="6"/>
      <c r="D62" s="6"/>
      <c r="E62" s="6"/>
      <c r="F62" s="6"/>
    </row>
    <row r="63">
      <c r="B63" s="3"/>
      <c r="C63" s="6"/>
      <c r="D63" s="6"/>
      <c r="E63" s="6"/>
      <c r="F63" s="6"/>
    </row>
    <row r="64">
      <c r="B64" s="3"/>
      <c r="C64" s="6"/>
      <c r="D64" s="6"/>
      <c r="E64" s="6"/>
      <c r="F64" s="6"/>
    </row>
    <row r="65">
      <c r="B65" s="3"/>
      <c r="C65" s="6"/>
      <c r="D65" s="6"/>
      <c r="E65" s="6"/>
      <c r="F65" s="6"/>
    </row>
    <row r="66">
      <c r="B66" s="3"/>
      <c r="C66" s="6"/>
      <c r="D66" s="6"/>
      <c r="E66" s="6"/>
      <c r="F66" s="6"/>
    </row>
    <row r="67">
      <c r="B67" s="3"/>
      <c r="C67" s="6"/>
      <c r="D67" s="6"/>
      <c r="E67" s="6"/>
      <c r="F67" s="6"/>
    </row>
    <row r="68">
      <c r="B68" s="3"/>
      <c r="C68" s="6"/>
      <c r="D68" s="6"/>
      <c r="E68" s="6"/>
      <c r="F68" s="6"/>
    </row>
    <row r="69">
      <c r="B69" s="3"/>
      <c r="C69" s="6"/>
      <c r="D69" s="6"/>
      <c r="E69" s="6"/>
      <c r="F69" s="6"/>
    </row>
    <row r="70">
      <c r="B70" s="3"/>
      <c r="C70" s="6"/>
      <c r="D70" s="6"/>
      <c r="E70" s="6"/>
      <c r="F70" s="6"/>
    </row>
    <row r="71">
      <c r="B71" s="3"/>
      <c r="C71" s="6"/>
      <c r="D71" s="6"/>
      <c r="E71" s="6"/>
      <c r="F71" s="6"/>
    </row>
    <row r="72">
      <c r="B72" s="3"/>
      <c r="C72" s="6"/>
      <c r="D72" s="6"/>
      <c r="E72" s="6"/>
      <c r="F72" s="6"/>
    </row>
    <row r="73">
      <c r="B73" s="3"/>
      <c r="C73" s="6"/>
      <c r="D73" s="6"/>
      <c r="E73" s="6"/>
      <c r="F73" s="6"/>
    </row>
    <row r="74">
      <c r="B74" s="3"/>
      <c r="C74" s="6"/>
      <c r="D74" s="6"/>
      <c r="E74" s="6"/>
      <c r="F74" s="6"/>
    </row>
    <row r="75">
      <c r="B75" s="3"/>
      <c r="C75" s="6"/>
      <c r="D75" s="6"/>
      <c r="E75" s="6"/>
      <c r="F75" s="6"/>
    </row>
    <row r="76">
      <c r="B76" s="3"/>
      <c r="C76" s="6"/>
      <c r="D76" s="6"/>
      <c r="E76" s="6"/>
      <c r="F76" s="6"/>
    </row>
    <row r="77">
      <c r="B77" s="3"/>
      <c r="C77" s="6"/>
      <c r="D77" s="6"/>
      <c r="E77" s="6"/>
      <c r="F77" s="6"/>
    </row>
    <row r="78">
      <c r="B78" s="3"/>
      <c r="C78" s="6"/>
      <c r="D78" s="6"/>
      <c r="E78" s="6"/>
      <c r="F78" s="6"/>
    </row>
    <row r="79">
      <c r="B79" s="3"/>
      <c r="C79" s="6"/>
      <c r="D79" s="6"/>
      <c r="E79" s="6"/>
      <c r="F79" s="6"/>
    </row>
    <row r="80">
      <c r="B80" s="3"/>
      <c r="C80" s="6"/>
      <c r="D80" s="6"/>
      <c r="E80" s="6"/>
      <c r="F80" s="6"/>
    </row>
    <row r="81">
      <c r="B81" s="3"/>
      <c r="C81" s="6"/>
      <c r="D81" s="6"/>
      <c r="E81" s="6"/>
      <c r="F81" s="6"/>
    </row>
    <row r="82">
      <c r="B82" s="3"/>
      <c r="C82" s="6"/>
      <c r="D82" s="6"/>
      <c r="E82" s="6"/>
      <c r="F82" s="6"/>
    </row>
    <row r="83">
      <c r="B83" s="3"/>
      <c r="C83" s="6"/>
      <c r="D83" s="6"/>
      <c r="E83" s="6"/>
      <c r="F83" s="6"/>
    </row>
    <row r="84">
      <c r="B84" s="3"/>
      <c r="C84" s="6"/>
      <c r="D84" s="6"/>
      <c r="E84" s="6"/>
      <c r="F84" s="6"/>
    </row>
    <row r="85">
      <c r="B85" s="3"/>
      <c r="C85" s="6"/>
      <c r="D85" s="6"/>
      <c r="E85" s="6"/>
      <c r="F85" s="6"/>
    </row>
    <row r="86">
      <c r="B86" s="3"/>
      <c r="C86" s="6"/>
      <c r="D86" s="6"/>
      <c r="E86" s="6"/>
      <c r="F86" s="6"/>
    </row>
    <row r="87">
      <c r="B87" s="3"/>
      <c r="C87" s="6"/>
      <c r="D87" s="6"/>
      <c r="E87" s="6"/>
      <c r="F87" s="6"/>
    </row>
    <row r="88">
      <c r="B88" s="3"/>
      <c r="C88" s="6"/>
      <c r="D88" s="6"/>
      <c r="E88" s="6"/>
      <c r="F88" s="6"/>
    </row>
    <row r="89">
      <c r="B89" s="3"/>
      <c r="C89" s="6"/>
      <c r="D89" s="6"/>
      <c r="E89" s="6"/>
      <c r="F89" s="6"/>
    </row>
    <row r="90">
      <c r="B90" s="3"/>
      <c r="C90" s="6"/>
      <c r="D90" s="6"/>
      <c r="E90" s="6"/>
      <c r="F90" s="6"/>
    </row>
    <row r="91">
      <c r="B91" s="3"/>
      <c r="C91" s="6"/>
      <c r="D91" s="6"/>
      <c r="E91" s="6"/>
      <c r="F91" s="6"/>
    </row>
    <row r="92">
      <c r="B92" s="3"/>
      <c r="C92" s="6"/>
      <c r="D92" s="6"/>
      <c r="E92" s="6"/>
      <c r="F92" s="6"/>
    </row>
    <row r="93">
      <c r="B93" s="3"/>
      <c r="C93" s="6"/>
      <c r="D93" s="6"/>
      <c r="E93" s="6"/>
      <c r="F93" s="6"/>
    </row>
    <row r="94">
      <c r="B94" s="3"/>
      <c r="C94" s="6"/>
      <c r="D94" s="6"/>
      <c r="E94" s="6"/>
      <c r="F94" s="6"/>
    </row>
    <row r="95">
      <c r="B95" s="3"/>
      <c r="C95" s="6"/>
      <c r="D95" s="6"/>
      <c r="E95" s="6"/>
      <c r="F95" s="6"/>
    </row>
    <row r="96">
      <c r="B96" s="3"/>
      <c r="C96" s="6"/>
      <c r="D96" s="6"/>
      <c r="E96" s="6"/>
      <c r="F96" s="6"/>
    </row>
    <row r="97">
      <c r="B97" s="3"/>
      <c r="C97" s="6"/>
      <c r="D97" s="6"/>
      <c r="E97" s="6"/>
      <c r="F97" s="6"/>
    </row>
    <row r="98">
      <c r="B98" s="3"/>
      <c r="C98" s="6"/>
      <c r="D98" s="6"/>
      <c r="E98" s="6"/>
      <c r="F98" s="6"/>
    </row>
    <row r="99">
      <c r="B99" s="3"/>
      <c r="C99" s="6"/>
      <c r="D99" s="6"/>
      <c r="E99" s="6"/>
      <c r="F99" s="6"/>
    </row>
    <row r="100">
      <c r="B100" s="3"/>
      <c r="C100" s="6"/>
      <c r="D100" s="6"/>
      <c r="E100" s="6"/>
      <c r="F100" s="6"/>
    </row>
    <row r="101">
      <c r="B101" s="3"/>
      <c r="C101" s="6"/>
      <c r="D101" s="6"/>
      <c r="E101" s="6"/>
      <c r="F101" s="6"/>
    </row>
    <row r="102">
      <c r="B102" s="3"/>
      <c r="C102" s="6"/>
      <c r="D102" s="6"/>
      <c r="E102" s="6"/>
      <c r="F102" s="6"/>
    </row>
    <row r="103">
      <c r="B103" s="3"/>
      <c r="C103" s="6"/>
      <c r="D103" s="6"/>
      <c r="E103" s="6"/>
      <c r="F103" s="6"/>
    </row>
    <row r="104">
      <c r="B104" s="3"/>
      <c r="C104" s="6"/>
      <c r="D104" s="6"/>
      <c r="E104" s="6"/>
      <c r="F104" s="6"/>
    </row>
    <row r="105">
      <c r="B105" s="3"/>
      <c r="C105" s="6"/>
      <c r="D105" s="6"/>
      <c r="E105" s="6"/>
      <c r="F105" s="6"/>
    </row>
    <row r="106">
      <c r="B106" s="3"/>
      <c r="C106" s="6"/>
      <c r="D106" s="6"/>
      <c r="E106" s="6"/>
      <c r="F106" s="6"/>
    </row>
    <row r="107">
      <c r="B107" s="3"/>
      <c r="C107" s="6"/>
      <c r="D107" s="6"/>
      <c r="E107" s="6"/>
      <c r="F107" s="6"/>
    </row>
    <row r="108">
      <c r="B108" s="3"/>
      <c r="C108" s="6"/>
      <c r="D108" s="6"/>
      <c r="E108" s="6"/>
      <c r="F108" s="6"/>
    </row>
    <row r="109">
      <c r="B109" s="3"/>
      <c r="C109" s="6"/>
      <c r="D109" s="6"/>
      <c r="E109" s="6"/>
      <c r="F109" s="6"/>
    </row>
    <row r="110">
      <c r="B110" s="3"/>
      <c r="C110" s="6"/>
      <c r="D110" s="6"/>
      <c r="E110" s="6"/>
      <c r="F110" s="6"/>
    </row>
    <row r="111">
      <c r="B111" s="3"/>
      <c r="C111" s="6"/>
      <c r="D111" s="6"/>
      <c r="E111" s="6"/>
      <c r="F111" s="6"/>
    </row>
    <row r="112">
      <c r="B112" s="3"/>
      <c r="C112" s="6"/>
      <c r="D112" s="6"/>
      <c r="E112" s="6"/>
      <c r="F112" s="6"/>
    </row>
    <row r="113">
      <c r="B113" s="3"/>
      <c r="C113" s="6"/>
      <c r="D113" s="6"/>
      <c r="E113" s="6"/>
      <c r="F113" s="6"/>
    </row>
    <row r="114">
      <c r="B114" s="3"/>
      <c r="C114" s="6"/>
      <c r="D114" s="6"/>
      <c r="E114" s="6"/>
      <c r="F114" s="6"/>
    </row>
    <row r="115">
      <c r="B115" s="3"/>
      <c r="C115" s="6"/>
      <c r="D115" s="6"/>
      <c r="E115" s="6"/>
      <c r="F115" s="6"/>
    </row>
    <row r="116">
      <c r="B116" s="3"/>
      <c r="C116" s="6"/>
      <c r="D116" s="6"/>
      <c r="E116" s="6"/>
      <c r="F116" s="6"/>
    </row>
    <row r="117">
      <c r="B117" s="3"/>
      <c r="C117" s="6"/>
      <c r="D117" s="6"/>
      <c r="E117" s="6"/>
      <c r="F117" s="6"/>
    </row>
    <row r="118">
      <c r="B118" s="3"/>
      <c r="C118" s="6"/>
      <c r="D118" s="6"/>
      <c r="E118" s="6"/>
      <c r="F118" s="6"/>
    </row>
    <row r="119">
      <c r="B119" s="3"/>
      <c r="C119" s="6"/>
      <c r="D119" s="6"/>
      <c r="E119" s="6"/>
      <c r="F119" s="6"/>
    </row>
    <row r="120">
      <c r="B120" s="3"/>
      <c r="C120" s="6"/>
      <c r="D120" s="6"/>
      <c r="E120" s="6"/>
      <c r="F120" s="6"/>
    </row>
    <row r="121">
      <c r="B121" s="3"/>
      <c r="C121" s="6"/>
      <c r="D121" s="6"/>
      <c r="E121" s="6"/>
      <c r="F121" s="6"/>
    </row>
    <row r="122">
      <c r="B122" s="3"/>
      <c r="C122" s="6"/>
      <c r="D122" s="6"/>
      <c r="E122" s="6"/>
      <c r="F122" s="6"/>
    </row>
    <row r="123">
      <c r="B123" s="3"/>
      <c r="C123" s="6"/>
      <c r="D123" s="6"/>
      <c r="E123" s="6"/>
      <c r="F123" s="6"/>
    </row>
    <row r="124">
      <c r="B124" s="3"/>
      <c r="C124" s="6"/>
      <c r="D124" s="6"/>
      <c r="E124" s="6"/>
      <c r="F124" s="6"/>
    </row>
    <row r="125">
      <c r="B125" s="3"/>
      <c r="C125" s="6"/>
      <c r="D125" s="6"/>
      <c r="E125" s="6"/>
      <c r="F125" s="6"/>
    </row>
    <row r="126">
      <c r="B126" s="3"/>
      <c r="C126" s="6"/>
      <c r="D126" s="6"/>
      <c r="E126" s="6"/>
      <c r="F126" s="6"/>
    </row>
    <row r="127">
      <c r="B127" s="3"/>
      <c r="C127" s="6"/>
      <c r="D127" s="6"/>
      <c r="E127" s="6"/>
      <c r="F127" s="6"/>
    </row>
    <row r="128">
      <c r="B128" s="3"/>
      <c r="C128" s="6"/>
      <c r="D128" s="6"/>
      <c r="E128" s="6"/>
      <c r="F128" s="6"/>
    </row>
    <row r="129">
      <c r="B129" s="3"/>
      <c r="C129" s="6"/>
      <c r="D129" s="6"/>
      <c r="E129" s="6"/>
      <c r="F129" s="6"/>
    </row>
    <row r="130">
      <c r="B130" s="3"/>
      <c r="C130" s="6"/>
      <c r="D130" s="6"/>
      <c r="E130" s="6"/>
      <c r="F130" s="6"/>
    </row>
    <row r="131">
      <c r="B131" s="3"/>
      <c r="C131" s="6"/>
      <c r="D131" s="6"/>
      <c r="E131" s="6"/>
      <c r="F131" s="6"/>
    </row>
    <row r="132">
      <c r="B132" s="3"/>
      <c r="C132" s="6"/>
      <c r="D132" s="6"/>
      <c r="E132" s="6"/>
      <c r="F132" s="6"/>
    </row>
    <row r="133">
      <c r="B133" s="3"/>
      <c r="C133" s="6"/>
      <c r="D133" s="6"/>
      <c r="E133" s="6"/>
      <c r="F133" s="6"/>
    </row>
    <row r="134">
      <c r="B134" s="3"/>
      <c r="C134" s="6"/>
      <c r="D134" s="6"/>
      <c r="E134" s="6"/>
      <c r="F134" s="6"/>
    </row>
    <row r="135">
      <c r="B135" s="3"/>
      <c r="C135" s="6"/>
      <c r="D135" s="6"/>
      <c r="E135" s="6"/>
      <c r="F135" s="6"/>
    </row>
    <row r="136">
      <c r="B136" s="3"/>
      <c r="C136" s="6"/>
      <c r="D136" s="6"/>
      <c r="E136" s="6"/>
      <c r="F136" s="6"/>
    </row>
    <row r="137">
      <c r="B137" s="3"/>
      <c r="C137" s="6"/>
      <c r="D137" s="6"/>
      <c r="E137" s="6"/>
      <c r="F137" s="6"/>
    </row>
    <row r="138">
      <c r="B138" s="3"/>
      <c r="C138" s="6"/>
      <c r="D138" s="6"/>
      <c r="E138" s="6"/>
      <c r="F138" s="6"/>
    </row>
    <row r="139">
      <c r="B139" s="3"/>
      <c r="C139" s="6"/>
      <c r="D139" s="6"/>
      <c r="E139" s="6"/>
      <c r="F139" s="6"/>
    </row>
    <row r="140">
      <c r="B140" s="3"/>
      <c r="C140" s="6"/>
      <c r="D140" s="6"/>
      <c r="E140" s="6"/>
      <c r="F140" s="6"/>
    </row>
    <row r="141">
      <c r="B141" s="3"/>
      <c r="C141" s="6"/>
      <c r="D141" s="6"/>
      <c r="E141" s="6"/>
      <c r="F141" s="6"/>
    </row>
    <row r="142">
      <c r="B142" s="3"/>
      <c r="C142" s="6"/>
      <c r="D142" s="6"/>
      <c r="E142" s="6"/>
      <c r="F142" s="6"/>
    </row>
    <row r="143">
      <c r="B143" s="3"/>
      <c r="C143" s="6"/>
      <c r="D143" s="6"/>
      <c r="E143" s="6"/>
      <c r="F143" s="6"/>
    </row>
    <row r="144">
      <c r="B144" s="3"/>
      <c r="C144" s="6"/>
      <c r="D144" s="6"/>
      <c r="E144" s="6"/>
      <c r="F144" s="6"/>
    </row>
    <row r="145">
      <c r="B145" s="3"/>
      <c r="C145" s="6"/>
      <c r="D145" s="6"/>
      <c r="E145" s="6"/>
      <c r="F145" s="6"/>
    </row>
    <row r="146">
      <c r="B146" s="3"/>
      <c r="C146" s="6"/>
      <c r="D146" s="6"/>
      <c r="E146" s="6"/>
      <c r="F146" s="6"/>
    </row>
    <row r="147">
      <c r="B147" s="3"/>
      <c r="C147" s="6"/>
      <c r="D147" s="6"/>
      <c r="E147" s="6"/>
      <c r="F147" s="6"/>
    </row>
    <row r="148">
      <c r="B148" s="3"/>
      <c r="C148" s="6"/>
      <c r="D148" s="6"/>
      <c r="E148" s="6"/>
      <c r="F148" s="6"/>
    </row>
    <row r="149">
      <c r="B149" s="3"/>
      <c r="C149" s="6"/>
      <c r="D149" s="6"/>
      <c r="E149" s="6"/>
      <c r="F149" s="6"/>
    </row>
    <row r="150">
      <c r="B150" s="3"/>
      <c r="C150" s="6"/>
      <c r="D150" s="6"/>
      <c r="E150" s="6"/>
      <c r="F150" s="6"/>
    </row>
    <row r="151">
      <c r="B151" s="3"/>
      <c r="C151" s="6"/>
      <c r="D151" s="6"/>
      <c r="E151" s="6"/>
      <c r="F151" s="6"/>
    </row>
    <row r="152">
      <c r="B152" s="3"/>
      <c r="C152" s="6"/>
      <c r="D152" s="6"/>
      <c r="E152" s="6"/>
      <c r="F152" s="6"/>
    </row>
    <row r="153">
      <c r="B153" s="3"/>
      <c r="C153" s="6"/>
      <c r="D153" s="6"/>
      <c r="E153" s="6"/>
      <c r="F153" s="6"/>
    </row>
    <row r="154">
      <c r="B154" s="3"/>
      <c r="C154" s="6"/>
      <c r="D154" s="6"/>
      <c r="E154" s="6"/>
      <c r="F154" s="6"/>
    </row>
    <row r="155">
      <c r="B155" s="3"/>
      <c r="C155" s="6"/>
      <c r="D155" s="6"/>
      <c r="E155" s="6"/>
      <c r="F155" s="6"/>
    </row>
    <row r="156">
      <c r="B156" s="3"/>
      <c r="C156" s="6"/>
      <c r="D156" s="6"/>
      <c r="E156" s="6"/>
      <c r="F156" s="6"/>
    </row>
    <row r="157">
      <c r="B157" s="3"/>
      <c r="C157" s="6"/>
      <c r="D157" s="6"/>
      <c r="E157" s="6"/>
      <c r="F157" s="6"/>
    </row>
    <row r="158">
      <c r="B158" s="3"/>
      <c r="C158" s="6"/>
      <c r="D158" s="6"/>
      <c r="E158" s="6"/>
      <c r="F158" s="6"/>
    </row>
    <row r="159">
      <c r="B159" s="3"/>
      <c r="C159" s="6"/>
      <c r="D159" s="6"/>
      <c r="E159" s="6"/>
      <c r="F159" s="6"/>
    </row>
    <row r="160">
      <c r="B160" s="3"/>
      <c r="C160" s="6"/>
      <c r="D160" s="6"/>
      <c r="E160" s="6"/>
      <c r="F160" s="6"/>
    </row>
    <row r="161">
      <c r="B161" s="3"/>
      <c r="C161" s="6"/>
      <c r="D161" s="6"/>
      <c r="E161" s="6"/>
      <c r="F161" s="6"/>
    </row>
    <row r="162">
      <c r="B162" s="3"/>
      <c r="C162" s="6"/>
      <c r="D162" s="6"/>
      <c r="E162" s="6"/>
      <c r="F162" s="6"/>
    </row>
    <row r="163">
      <c r="B163" s="3"/>
      <c r="C163" s="6"/>
      <c r="D163" s="6"/>
      <c r="E163" s="6"/>
      <c r="F163" s="6"/>
    </row>
    <row r="164">
      <c r="B164" s="3"/>
      <c r="C164" s="6"/>
      <c r="D164" s="6"/>
      <c r="E164" s="6"/>
      <c r="F164" s="6"/>
    </row>
    <row r="165">
      <c r="B165" s="3"/>
      <c r="C165" s="6"/>
      <c r="D165" s="6"/>
      <c r="E165" s="6"/>
      <c r="F165" s="6"/>
    </row>
    <row r="166">
      <c r="B166" s="3"/>
      <c r="C166" s="6"/>
      <c r="D166" s="6"/>
      <c r="E166" s="6"/>
      <c r="F166" s="6"/>
    </row>
    <row r="167">
      <c r="B167" s="3"/>
      <c r="C167" s="6"/>
      <c r="D167" s="6"/>
      <c r="E167" s="6"/>
      <c r="F167" s="6"/>
    </row>
    <row r="168">
      <c r="B168" s="3"/>
      <c r="C168" s="6"/>
      <c r="D168" s="6"/>
      <c r="E168" s="6"/>
      <c r="F168" s="6"/>
    </row>
    <row r="169">
      <c r="B169" s="3"/>
      <c r="C169" s="6"/>
      <c r="D169" s="6"/>
      <c r="E169" s="6"/>
      <c r="F169" s="6"/>
    </row>
    <row r="170">
      <c r="B170" s="3"/>
      <c r="C170" s="6"/>
      <c r="D170" s="6"/>
      <c r="E170" s="6"/>
      <c r="F170" s="6"/>
    </row>
    <row r="171">
      <c r="B171" s="3"/>
      <c r="C171" s="6"/>
      <c r="D171" s="6"/>
      <c r="E171" s="6"/>
      <c r="F171" s="6"/>
    </row>
    <row r="172">
      <c r="B172" s="3"/>
      <c r="C172" s="6"/>
      <c r="D172" s="6"/>
      <c r="E172" s="6"/>
      <c r="F172" s="6"/>
    </row>
    <row r="173">
      <c r="B173" s="3"/>
      <c r="C173" s="6"/>
      <c r="D173" s="6"/>
      <c r="E173" s="6"/>
      <c r="F173" s="6"/>
    </row>
    <row r="174">
      <c r="B174" s="3"/>
      <c r="C174" s="6"/>
      <c r="D174" s="6"/>
      <c r="E174" s="6"/>
      <c r="F174" s="6"/>
    </row>
    <row r="175">
      <c r="B175" s="3"/>
      <c r="C175" s="6"/>
      <c r="D175" s="6"/>
      <c r="E175" s="6"/>
      <c r="F175" s="6"/>
    </row>
    <row r="176">
      <c r="B176" s="3"/>
      <c r="C176" s="6"/>
      <c r="D176" s="6"/>
      <c r="E176" s="6"/>
      <c r="F176" s="6"/>
    </row>
    <row r="177">
      <c r="B177" s="3"/>
      <c r="C177" s="6"/>
      <c r="D177" s="6"/>
      <c r="E177" s="6"/>
      <c r="F177" s="6"/>
    </row>
    <row r="178">
      <c r="B178" s="3"/>
      <c r="C178" s="6"/>
      <c r="D178" s="6"/>
      <c r="E178" s="6"/>
      <c r="F178" s="6"/>
    </row>
    <row r="179">
      <c r="B179" s="3"/>
      <c r="C179" s="6"/>
      <c r="D179" s="6"/>
      <c r="E179" s="6"/>
      <c r="F179" s="6"/>
    </row>
    <row r="180">
      <c r="B180" s="3"/>
      <c r="C180" s="6"/>
      <c r="D180" s="6"/>
      <c r="E180" s="6"/>
      <c r="F180" s="6"/>
    </row>
    <row r="181">
      <c r="B181" s="3"/>
      <c r="C181" s="6"/>
      <c r="D181" s="6"/>
      <c r="E181" s="6"/>
      <c r="F181" s="6"/>
    </row>
    <row r="182">
      <c r="B182" s="3"/>
      <c r="C182" s="6"/>
      <c r="D182" s="6"/>
      <c r="E182" s="6"/>
      <c r="F182" s="6"/>
    </row>
    <row r="183">
      <c r="B183" s="3"/>
      <c r="C183" s="6"/>
      <c r="D183" s="6"/>
      <c r="E183" s="6"/>
      <c r="F183" s="6"/>
    </row>
    <row r="184">
      <c r="B184" s="3"/>
      <c r="C184" s="6"/>
      <c r="D184" s="6"/>
      <c r="E184" s="6"/>
      <c r="F184" s="6"/>
    </row>
    <row r="185">
      <c r="B185" s="3"/>
      <c r="C185" s="6"/>
      <c r="D185" s="6"/>
      <c r="E185" s="6"/>
      <c r="F185" s="6"/>
    </row>
    <row r="186">
      <c r="B186" s="3"/>
      <c r="C186" s="6"/>
      <c r="D186" s="6"/>
      <c r="E186" s="6"/>
      <c r="F186" s="6"/>
    </row>
    <row r="187">
      <c r="B187" s="3"/>
      <c r="C187" s="6"/>
      <c r="D187" s="6"/>
      <c r="E187" s="6"/>
      <c r="F187" s="6"/>
    </row>
    <row r="188">
      <c r="B188" s="3"/>
      <c r="C188" s="6"/>
      <c r="D188" s="6"/>
      <c r="E188" s="6"/>
      <c r="F188" s="6"/>
    </row>
    <row r="189">
      <c r="B189" s="3"/>
      <c r="C189" s="6"/>
      <c r="D189" s="6"/>
      <c r="E189" s="6"/>
      <c r="F189" s="6"/>
    </row>
    <row r="190">
      <c r="B190" s="3"/>
      <c r="C190" s="6"/>
      <c r="D190" s="6"/>
      <c r="E190" s="6"/>
      <c r="F190" s="6"/>
    </row>
    <row r="191">
      <c r="B191" s="3"/>
      <c r="C191" s="6"/>
      <c r="D191" s="6"/>
      <c r="E191" s="6"/>
      <c r="F191" s="6"/>
    </row>
    <row r="192">
      <c r="B192" s="3"/>
      <c r="C192" s="6"/>
      <c r="D192" s="6"/>
      <c r="E192" s="6"/>
      <c r="F192" s="6"/>
    </row>
    <row r="193">
      <c r="B193" s="3"/>
      <c r="C193" s="6"/>
      <c r="D193" s="6"/>
      <c r="E193" s="6"/>
      <c r="F193" s="6"/>
    </row>
    <row r="194">
      <c r="B194" s="3"/>
      <c r="C194" s="6"/>
      <c r="D194" s="6"/>
      <c r="E194" s="6"/>
      <c r="F194" s="6"/>
    </row>
    <row r="195">
      <c r="B195" s="3"/>
      <c r="C195" s="6"/>
      <c r="D195" s="6"/>
      <c r="E195" s="6"/>
      <c r="F195" s="6"/>
    </row>
    <row r="196">
      <c r="B196" s="3"/>
      <c r="C196" s="6"/>
      <c r="D196" s="6"/>
      <c r="E196" s="6"/>
      <c r="F196" s="6"/>
    </row>
    <row r="197">
      <c r="B197" s="3"/>
      <c r="C197" s="6"/>
      <c r="D197" s="6"/>
      <c r="E197" s="6"/>
      <c r="F197" s="6"/>
    </row>
    <row r="198">
      <c r="B198" s="3"/>
      <c r="C198" s="6"/>
      <c r="D198" s="6"/>
      <c r="E198" s="6"/>
      <c r="F198" s="6"/>
    </row>
    <row r="199">
      <c r="B199" s="3"/>
      <c r="C199" s="6"/>
      <c r="D199" s="6"/>
      <c r="E199" s="6"/>
      <c r="F199" s="6"/>
    </row>
    <row r="200">
      <c r="B200" s="3"/>
      <c r="C200" s="6"/>
      <c r="D200" s="6"/>
      <c r="E200" s="6"/>
      <c r="F200" s="6"/>
    </row>
    <row r="201">
      <c r="B201" s="3"/>
      <c r="C201" s="6"/>
      <c r="D201" s="6"/>
      <c r="E201" s="6"/>
      <c r="F201" s="6"/>
    </row>
    <row r="202">
      <c r="B202" s="3"/>
      <c r="C202" s="6"/>
      <c r="D202" s="6"/>
      <c r="E202" s="6"/>
      <c r="F202" s="6"/>
    </row>
    <row r="203">
      <c r="B203" s="3"/>
      <c r="C203" s="6"/>
      <c r="D203" s="6"/>
      <c r="E203" s="6"/>
      <c r="F203" s="6"/>
    </row>
    <row r="204">
      <c r="B204" s="3"/>
      <c r="C204" s="6"/>
      <c r="D204" s="6"/>
      <c r="E204" s="6"/>
      <c r="F204" s="6"/>
    </row>
    <row r="205">
      <c r="B205" s="3"/>
      <c r="C205" s="6"/>
      <c r="D205" s="6"/>
      <c r="E205" s="6"/>
      <c r="F205" s="6"/>
    </row>
    <row r="206">
      <c r="B206" s="3"/>
      <c r="C206" s="6"/>
      <c r="D206" s="6"/>
      <c r="E206" s="6"/>
      <c r="F206" s="6"/>
    </row>
    <row r="207">
      <c r="B207" s="3"/>
      <c r="C207" s="6"/>
      <c r="D207" s="6"/>
      <c r="E207" s="6"/>
      <c r="F207" s="6"/>
    </row>
    <row r="208">
      <c r="B208" s="3"/>
      <c r="C208" s="6"/>
      <c r="D208" s="6"/>
      <c r="E208" s="6"/>
      <c r="F208" s="6"/>
    </row>
    <row r="209">
      <c r="B209" s="3"/>
      <c r="C209" s="6"/>
      <c r="D209" s="6"/>
      <c r="E209" s="6"/>
      <c r="F209" s="6"/>
    </row>
    <row r="210">
      <c r="B210" s="3"/>
      <c r="C210" s="6"/>
      <c r="D210" s="6"/>
      <c r="E210" s="6"/>
      <c r="F210" s="6"/>
    </row>
    <row r="211">
      <c r="B211" s="3"/>
      <c r="C211" s="6"/>
      <c r="D211" s="6"/>
      <c r="E211" s="6"/>
      <c r="F211" s="6"/>
    </row>
    <row r="212">
      <c r="B212" s="3"/>
      <c r="C212" s="6"/>
      <c r="D212" s="6"/>
      <c r="E212" s="6"/>
      <c r="F212" s="6"/>
    </row>
    <row r="213">
      <c r="B213" s="3"/>
      <c r="C213" s="6"/>
      <c r="D213" s="6"/>
      <c r="E213" s="6"/>
      <c r="F213" s="6"/>
    </row>
    <row r="214">
      <c r="B214" s="3"/>
      <c r="C214" s="6"/>
      <c r="D214" s="6"/>
      <c r="E214" s="6"/>
      <c r="F214" s="6"/>
    </row>
    <row r="215">
      <c r="B215" s="3"/>
      <c r="C215" s="6"/>
      <c r="D215" s="6"/>
      <c r="E215" s="6"/>
      <c r="F215" s="6"/>
    </row>
    <row r="216">
      <c r="B216" s="3"/>
      <c r="C216" s="6"/>
      <c r="D216" s="6"/>
      <c r="E216" s="6"/>
      <c r="F216" s="6"/>
    </row>
    <row r="217">
      <c r="B217" s="3"/>
      <c r="C217" s="6"/>
      <c r="D217" s="6"/>
      <c r="E217" s="6"/>
      <c r="F217" s="6"/>
    </row>
    <row r="218">
      <c r="B218" s="3"/>
      <c r="C218" s="6"/>
      <c r="D218" s="6"/>
      <c r="E218" s="6"/>
      <c r="F218" s="6"/>
    </row>
    <row r="219">
      <c r="B219" s="3"/>
      <c r="C219" s="6"/>
      <c r="D219" s="6"/>
      <c r="E219" s="6"/>
      <c r="F219" s="6"/>
    </row>
    <row r="220">
      <c r="B220" s="3"/>
      <c r="C220" s="6"/>
      <c r="D220" s="6"/>
      <c r="E220" s="6"/>
      <c r="F220" s="6"/>
    </row>
    <row r="221">
      <c r="B221" s="3"/>
      <c r="C221" s="6"/>
      <c r="D221" s="6"/>
      <c r="E221" s="6"/>
      <c r="F221" s="6"/>
    </row>
    <row r="222">
      <c r="B222" s="3"/>
      <c r="C222" s="6"/>
      <c r="D222" s="6"/>
      <c r="E222" s="6"/>
      <c r="F222" s="6"/>
    </row>
    <row r="223">
      <c r="B223" s="3"/>
      <c r="C223" s="6"/>
      <c r="D223" s="6"/>
      <c r="E223" s="6"/>
      <c r="F223" s="6"/>
    </row>
    <row r="224">
      <c r="B224" s="3"/>
      <c r="C224" s="6"/>
      <c r="D224" s="6"/>
      <c r="E224" s="6"/>
      <c r="F224" s="6"/>
    </row>
    <row r="225">
      <c r="B225" s="3"/>
      <c r="C225" s="6"/>
      <c r="D225" s="6"/>
      <c r="E225" s="6"/>
      <c r="F225" s="6"/>
    </row>
    <row r="226">
      <c r="B226" s="3"/>
      <c r="C226" s="6"/>
      <c r="D226" s="6"/>
      <c r="E226" s="6"/>
      <c r="F226" s="6"/>
    </row>
    <row r="227">
      <c r="B227" s="3"/>
      <c r="C227" s="6"/>
      <c r="D227" s="6"/>
      <c r="E227" s="6"/>
      <c r="F227" s="6"/>
    </row>
    <row r="228">
      <c r="B228" s="3"/>
      <c r="C228" s="6"/>
      <c r="D228" s="6"/>
      <c r="E228" s="6"/>
      <c r="F228" s="6"/>
    </row>
    <row r="229">
      <c r="B229" s="3"/>
      <c r="C229" s="6"/>
      <c r="D229" s="6"/>
      <c r="E229" s="6"/>
      <c r="F229" s="6"/>
    </row>
    <row r="230">
      <c r="B230" s="3"/>
      <c r="C230" s="6"/>
      <c r="D230" s="6"/>
      <c r="E230" s="6"/>
      <c r="F230" s="6"/>
    </row>
    <row r="231">
      <c r="B231" s="3"/>
      <c r="C231" s="6"/>
      <c r="D231" s="6"/>
      <c r="E231" s="6"/>
      <c r="F231" s="6"/>
    </row>
    <row r="232">
      <c r="B232" s="3"/>
      <c r="C232" s="6"/>
      <c r="D232" s="6"/>
      <c r="E232" s="6"/>
      <c r="F232" s="6"/>
    </row>
    <row r="233">
      <c r="B233" s="3"/>
      <c r="C233" s="6"/>
      <c r="D233" s="6"/>
      <c r="E233" s="6"/>
      <c r="F233" s="6"/>
    </row>
    <row r="234">
      <c r="B234" s="3"/>
      <c r="C234" s="6"/>
      <c r="D234" s="6"/>
      <c r="E234" s="6"/>
      <c r="F234" s="6"/>
    </row>
    <row r="235">
      <c r="B235" s="3"/>
      <c r="C235" s="6"/>
      <c r="D235" s="6"/>
      <c r="E235" s="6"/>
      <c r="F235" s="6"/>
    </row>
    <row r="236">
      <c r="B236" s="3"/>
      <c r="C236" s="6"/>
      <c r="D236" s="6"/>
      <c r="E236" s="6"/>
      <c r="F236" s="6"/>
    </row>
    <row r="237">
      <c r="B237" s="3"/>
      <c r="C237" s="6"/>
      <c r="D237" s="6"/>
      <c r="E237" s="6"/>
      <c r="F237" s="6"/>
    </row>
    <row r="238">
      <c r="B238" s="3"/>
      <c r="C238" s="6"/>
      <c r="D238" s="6"/>
      <c r="E238" s="6"/>
      <c r="F238" s="6"/>
    </row>
    <row r="239">
      <c r="B239" s="3"/>
      <c r="C239" s="6"/>
      <c r="D239" s="6"/>
      <c r="E239" s="6"/>
      <c r="F239" s="6"/>
    </row>
    <row r="240">
      <c r="B240" s="3"/>
      <c r="C240" s="6"/>
      <c r="D240" s="6"/>
      <c r="E240" s="6"/>
      <c r="F240" s="6"/>
    </row>
    <row r="241">
      <c r="B241" s="3"/>
      <c r="C241" s="6"/>
      <c r="D241" s="6"/>
      <c r="E241" s="6"/>
      <c r="F241" s="6"/>
    </row>
    <row r="242">
      <c r="B242" s="3"/>
      <c r="C242" s="6"/>
      <c r="D242" s="6"/>
      <c r="E242" s="6"/>
      <c r="F242" s="6"/>
    </row>
    <row r="243">
      <c r="B243" s="3"/>
      <c r="C243" s="6"/>
      <c r="D243" s="6"/>
      <c r="E243" s="6"/>
      <c r="F243" s="6"/>
    </row>
    <row r="244">
      <c r="B244" s="3"/>
      <c r="C244" s="6"/>
      <c r="D244" s="6"/>
      <c r="E244" s="6"/>
      <c r="F244" s="6"/>
    </row>
    <row r="245">
      <c r="B245" s="3"/>
      <c r="C245" s="6"/>
      <c r="D245" s="6"/>
      <c r="E245" s="6"/>
      <c r="F245" s="6"/>
    </row>
    <row r="246">
      <c r="B246" s="3"/>
      <c r="C246" s="6"/>
      <c r="D246" s="6"/>
      <c r="E246" s="6"/>
      <c r="F246" s="6"/>
    </row>
    <row r="247">
      <c r="B247" s="3"/>
      <c r="C247" s="6"/>
      <c r="D247" s="6"/>
      <c r="E247" s="6"/>
      <c r="F247" s="6"/>
    </row>
    <row r="248">
      <c r="B248" s="3"/>
      <c r="C248" s="6"/>
      <c r="D248" s="6"/>
      <c r="E248" s="6"/>
      <c r="F248" s="6"/>
    </row>
    <row r="249">
      <c r="B249" s="3"/>
      <c r="C249" s="6"/>
      <c r="D249" s="6"/>
      <c r="E249" s="6"/>
      <c r="F249" s="6"/>
    </row>
    <row r="250">
      <c r="B250" s="3"/>
      <c r="C250" s="6"/>
      <c r="D250" s="6"/>
      <c r="E250" s="6"/>
      <c r="F250" s="6"/>
    </row>
    <row r="251">
      <c r="B251" s="3"/>
      <c r="C251" s="6"/>
      <c r="D251" s="6"/>
      <c r="E251" s="6"/>
      <c r="F251" s="6"/>
    </row>
    <row r="252">
      <c r="B252" s="3"/>
      <c r="C252" s="6"/>
      <c r="D252" s="6"/>
      <c r="E252" s="6"/>
      <c r="F252" s="6"/>
    </row>
    <row r="253">
      <c r="B253" s="3"/>
      <c r="C253" s="6"/>
      <c r="D253" s="6"/>
      <c r="E253" s="6"/>
      <c r="F253" s="6"/>
    </row>
    <row r="254">
      <c r="B254" s="3"/>
      <c r="C254" s="6"/>
      <c r="D254" s="6"/>
      <c r="E254" s="6"/>
      <c r="F254" s="6"/>
    </row>
    <row r="255">
      <c r="B255" s="3"/>
      <c r="C255" s="6"/>
      <c r="D255" s="6"/>
      <c r="E255" s="6"/>
      <c r="F255" s="6"/>
    </row>
    <row r="256">
      <c r="B256" s="3"/>
      <c r="C256" s="6"/>
      <c r="D256" s="6"/>
      <c r="E256" s="6"/>
      <c r="F256" s="6"/>
    </row>
    <row r="257">
      <c r="B257" s="3"/>
      <c r="C257" s="6"/>
      <c r="D257" s="6"/>
      <c r="E257" s="6"/>
      <c r="F257" s="6"/>
    </row>
    <row r="258">
      <c r="B258" s="3"/>
      <c r="C258" s="6"/>
      <c r="D258" s="6"/>
      <c r="E258" s="6"/>
      <c r="F258" s="6"/>
    </row>
    <row r="259">
      <c r="B259" s="3"/>
      <c r="C259" s="6"/>
      <c r="D259" s="6"/>
      <c r="E259" s="6"/>
      <c r="F259" s="6"/>
    </row>
    <row r="260">
      <c r="B260" s="3"/>
      <c r="C260" s="6"/>
      <c r="D260" s="6"/>
      <c r="E260" s="6"/>
      <c r="F260" s="6"/>
    </row>
    <row r="261">
      <c r="B261" s="3"/>
      <c r="C261" s="6"/>
      <c r="D261" s="6"/>
      <c r="E261" s="6"/>
      <c r="F261" s="6"/>
    </row>
    <row r="262">
      <c r="B262" s="3"/>
      <c r="C262" s="6"/>
      <c r="D262" s="6"/>
      <c r="E262" s="6"/>
      <c r="F262" s="6"/>
    </row>
    <row r="263">
      <c r="B263" s="3"/>
      <c r="C263" s="6"/>
      <c r="D263" s="6"/>
      <c r="E263" s="6"/>
      <c r="F263" s="6"/>
    </row>
    <row r="264">
      <c r="B264" s="3"/>
      <c r="C264" s="6"/>
      <c r="D264" s="6"/>
      <c r="E264" s="6"/>
      <c r="F264" s="6"/>
    </row>
    <row r="265">
      <c r="B265" s="3"/>
      <c r="C265" s="6"/>
      <c r="D265" s="6"/>
      <c r="E265" s="6"/>
      <c r="F265" s="6"/>
    </row>
    <row r="266">
      <c r="B266" s="3"/>
      <c r="C266" s="6"/>
      <c r="D266" s="6"/>
      <c r="E266" s="6"/>
      <c r="F266" s="6"/>
    </row>
    <row r="267">
      <c r="B267" s="3"/>
      <c r="C267" s="6"/>
      <c r="D267" s="6"/>
      <c r="E267" s="6"/>
      <c r="F267" s="6"/>
    </row>
    <row r="268">
      <c r="B268" s="3"/>
      <c r="C268" s="6"/>
      <c r="D268" s="6"/>
      <c r="E268" s="6"/>
      <c r="F268" s="6"/>
    </row>
    <row r="269">
      <c r="B269" s="3"/>
      <c r="C269" s="6"/>
      <c r="D269" s="6"/>
      <c r="E269" s="6"/>
      <c r="F269" s="6"/>
    </row>
    <row r="270">
      <c r="B270" s="3"/>
      <c r="C270" s="6"/>
      <c r="D270" s="6"/>
      <c r="E270" s="6"/>
      <c r="F270" s="6"/>
    </row>
    <row r="271">
      <c r="B271" s="3"/>
      <c r="C271" s="6"/>
      <c r="D271" s="6"/>
      <c r="E271" s="6"/>
      <c r="F271" s="6"/>
    </row>
    <row r="272">
      <c r="B272" s="3"/>
      <c r="C272" s="6"/>
      <c r="D272" s="6"/>
      <c r="E272" s="6"/>
      <c r="F272" s="6"/>
    </row>
    <row r="273">
      <c r="B273" s="3"/>
      <c r="C273" s="6"/>
      <c r="D273" s="6"/>
      <c r="E273" s="6"/>
      <c r="F273" s="6"/>
    </row>
    <row r="274">
      <c r="B274" s="3"/>
      <c r="C274" s="6"/>
      <c r="D274" s="6"/>
      <c r="E274" s="6"/>
      <c r="F274" s="6"/>
    </row>
    <row r="275">
      <c r="B275" s="3"/>
      <c r="C275" s="6"/>
      <c r="D275" s="6"/>
      <c r="E275" s="6"/>
      <c r="F275" s="6"/>
    </row>
    <row r="276">
      <c r="B276" s="3"/>
      <c r="C276" s="6"/>
      <c r="D276" s="6"/>
      <c r="E276" s="6"/>
      <c r="F276" s="6"/>
    </row>
    <row r="277">
      <c r="B277" s="3"/>
      <c r="C277" s="6"/>
      <c r="D277" s="6"/>
      <c r="E277" s="6"/>
      <c r="F277" s="6"/>
    </row>
    <row r="278">
      <c r="B278" s="3"/>
      <c r="C278" s="6"/>
      <c r="D278" s="6"/>
      <c r="E278" s="6"/>
      <c r="F278" s="6"/>
    </row>
    <row r="279">
      <c r="B279" s="3"/>
      <c r="C279" s="6"/>
      <c r="D279" s="6"/>
      <c r="E279" s="6"/>
      <c r="F279" s="6"/>
    </row>
    <row r="280">
      <c r="B280" s="3"/>
      <c r="C280" s="6"/>
      <c r="D280" s="6"/>
      <c r="E280" s="6"/>
      <c r="F280" s="6"/>
    </row>
    <row r="281">
      <c r="B281" s="3"/>
      <c r="C281" s="6"/>
      <c r="D281" s="6"/>
      <c r="E281" s="6"/>
      <c r="F281" s="6"/>
    </row>
    <row r="282">
      <c r="B282" s="3"/>
      <c r="C282" s="6"/>
      <c r="D282" s="6"/>
      <c r="E282" s="6"/>
      <c r="F282" s="6"/>
    </row>
    <row r="283">
      <c r="B283" s="3"/>
      <c r="C283" s="6"/>
      <c r="D283" s="6"/>
      <c r="E283" s="6"/>
      <c r="F283" s="6"/>
    </row>
    <row r="284">
      <c r="B284" s="3"/>
      <c r="C284" s="6"/>
      <c r="D284" s="6"/>
      <c r="E284" s="6"/>
      <c r="F284" s="6"/>
    </row>
    <row r="285">
      <c r="B285" s="3"/>
      <c r="C285" s="6"/>
      <c r="D285" s="6"/>
      <c r="E285" s="6"/>
      <c r="F285" s="6"/>
    </row>
    <row r="286">
      <c r="B286" s="3"/>
      <c r="C286" s="6"/>
      <c r="D286" s="6"/>
      <c r="E286" s="6"/>
      <c r="F286" s="6"/>
    </row>
    <row r="287">
      <c r="B287" s="3"/>
      <c r="C287" s="6"/>
      <c r="D287" s="6"/>
      <c r="E287" s="6"/>
      <c r="F287" s="6"/>
    </row>
    <row r="288">
      <c r="B288" s="3"/>
      <c r="C288" s="6"/>
      <c r="D288" s="6"/>
      <c r="E288" s="6"/>
      <c r="F288" s="6"/>
    </row>
    <row r="289">
      <c r="B289" s="3"/>
      <c r="C289" s="6"/>
      <c r="D289" s="6"/>
      <c r="E289" s="6"/>
      <c r="F289" s="6"/>
    </row>
    <row r="290">
      <c r="B290" s="3"/>
      <c r="C290" s="6"/>
      <c r="D290" s="6"/>
      <c r="E290" s="6"/>
      <c r="F290" s="6"/>
    </row>
    <row r="291">
      <c r="B291" s="3"/>
      <c r="C291" s="6"/>
      <c r="D291" s="6"/>
      <c r="E291" s="6"/>
      <c r="F291" s="6"/>
    </row>
    <row r="292">
      <c r="B292" s="3"/>
      <c r="C292" s="6"/>
      <c r="D292" s="6"/>
      <c r="E292" s="6"/>
      <c r="F292" s="6"/>
    </row>
    <row r="293">
      <c r="B293" s="3"/>
      <c r="C293" s="6"/>
      <c r="D293" s="6"/>
      <c r="E293" s="6"/>
      <c r="F293" s="6"/>
    </row>
    <row r="294">
      <c r="B294" s="3"/>
      <c r="C294" s="6"/>
      <c r="D294" s="6"/>
      <c r="E294" s="6"/>
      <c r="F294" s="6"/>
    </row>
    <row r="295">
      <c r="B295" s="3"/>
      <c r="C295" s="6"/>
      <c r="D295" s="6"/>
      <c r="E295" s="6"/>
      <c r="F295" s="6"/>
    </row>
    <row r="296">
      <c r="B296" s="3"/>
      <c r="C296" s="6"/>
      <c r="D296" s="6"/>
      <c r="E296" s="6"/>
      <c r="F296" s="6"/>
    </row>
    <row r="297">
      <c r="B297" s="3"/>
      <c r="C297" s="6"/>
      <c r="D297" s="6"/>
      <c r="E297" s="6"/>
      <c r="F297" s="6"/>
    </row>
    <row r="298">
      <c r="B298" s="3"/>
      <c r="C298" s="6"/>
      <c r="D298" s="6"/>
      <c r="E298" s="6"/>
      <c r="F298" s="6"/>
    </row>
    <row r="299">
      <c r="B299" s="3"/>
      <c r="C299" s="6"/>
      <c r="D299" s="6"/>
      <c r="E299" s="6"/>
      <c r="F299" s="6"/>
    </row>
    <row r="300">
      <c r="B300" s="3"/>
      <c r="C300" s="6"/>
      <c r="D300" s="6"/>
      <c r="E300" s="6"/>
      <c r="F300" s="6"/>
    </row>
    <row r="301">
      <c r="B301" s="3"/>
      <c r="C301" s="6"/>
      <c r="D301" s="6"/>
      <c r="E301" s="6"/>
      <c r="F301" s="6"/>
    </row>
    <row r="302">
      <c r="B302" s="3"/>
      <c r="C302" s="6"/>
      <c r="D302" s="6"/>
      <c r="E302" s="6"/>
      <c r="F302" s="6"/>
    </row>
    <row r="303">
      <c r="B303" s="3"/>
      <c r="C303" s="6"/>
      <c r="D303" s="6"/>
      <c r="E303" s="6"/>
      <c r="F303" s="6"/>
    </row>
    <row r="304">
      <c r="B304" s="3"/>
      <c r="C304" s="6"/>
      <c r="D304" s="6"/>
      <c r="E304" s="6"/>
      <c r="F304" s="6"/>
    </row>
    <row r="305">
      <c r="B305" s="3"/>
      <c r="C305" s="6"/>
      <c r="D305" s="6"/>
      <c r="E305" s="6"/>
      <c r="F305" s="6"/>
    </row>
    <row r="306">
      <c r="B306" s="3"/>
      <c r="C306" s="6"/>
      <c r="D306" s="6"/>
      <c r="E306" s="6"/>
      <c r="F306" s="6"/>
    </row>
    <row r="307">
      <c r="B307" s="3"/>
      <c r="C307" s="6"/>
      <c r="D307" s="6"/>
      <c r="E307" s="6"/>
      <c r="F307" s="6"/>
    </row>
    <row r="308">
      <c r="B308" s="3"/>
      <c r="C308" s="6"/>
      <c r="D308" s="6"/>
      <c r="E308" s="6"/>
      <c r="F308" s="6"/>
    </row>
    <row r="309">
      <c r="B309" s="3"/>
      <c r="C309" s="6"/>
      <c r="D309" s="6"/>
      <c r="E309" s="6"/>
      <c r="F309" s="6"/>
    </row>
    <row r="310">
      <c r="B310" s="3"/>
      <c r="C310" s="6"/>
      <c r="D310" s="6"/>
      <c r="E310" s="6"/>
      <c r="F310" s="6"/>
    </row>
    <row r="311">
      <c r="B311" s="3"/>
      <c r="C311" s="6"/>
      <c r="D311" s="6"/>
      <c r="E311" s="6"/>
      <c r="F311" s="6"/>
    </row>
    <row r="312">
      <c r="B312" s="3"/>
      <c r="C312" s="6"/>
      <c r="D312" s="6"/>
      <c r="E312" s="6"/>
      <c r="F312" s="6"/>
    </row>
    <row r="313">
      <c r="B313" s="3"/>
      <c r="C313" s="6"/>
      <c r="D313" s="6"/>
      <c r="E313" s="6"/>
      <c r="F313" s="6"/>
    </row>
    <row r="314">
      <c r="B314" s="3"/>
      <c r="C314" s="6"/>
      <c r="D314" s="6"/>
      <c r="E314" s="6"/>
      <c r="F314" s="6"/>
    </row>
    <row r="315">
      <c r="B315" s="3"/>
      <c r="C315" s="6"/>
      <c r="D315" s="6"/>
      <c r="E315" s="6"/>
      <c r="F315" s="6"/>
    </row>
    <row r="316">
      <c r="B316" s="3"/>
      <c r="C316" s="6"/>
      <c r="D316" s="6"/>
      <c r="E316" s="6"/>
      <c r="F316" s="6"/>
    </row>
    <row r="317">
      <c r="B317" s="3"/>
      <c r="C317" s="6"/>
      <c r="D317" s="6"/>
      <c r="E317" s="6"/>
      <c r="F317" s="6"/>
    </row>
    <row r="318">
      <c r="B318" s="3"/>
      <c r="C318" s="6"/>
      <c r="D318" s="6"/>
      <c r="E318" s="6"/>
      <c r="F318" s="6"/>
    </row>
    <row r="319">
      <c r="B319" s="3"/>
      <c r="C319" s="6"/>
      <c r="D319" s="6"/>
      <c r="E319" s="6"/>
      <c r="F319" s="6"/>
    </row>
    <row r="320">
      <c r="B320" s="3"/>
      <c r="C320" s="6"/>
      <c r="D320" s="6"/>
      <c r="E320" s="6"/>
      <c r="F320" s="6"/>
    </row>
    <row r="321">
      <c r="B321" s="3"/>
      <c r="C321" s="6"/>
      <c r="D321" s="6"/>
      <c r="E321" s="6"/>
      <c r="F321" s="6"/>
    </row>
    <row r="322">
      <c r="B322" s="3"/>
      <c r="C322" s="6"/>
      <c r="D322" s="6"/>
      <c r="E322" s="6"/>
      <c r="F322" s="6"/>
    </row>
    <row r="323">
      <c r="B323" s="3"/>
      <c r="C323" s="6"/>
      <c r="D323" s="6"/>
      <c r="E323" s="6"/>
      <c r="F323" s="6"/>
    </row>
    <row r="324">
      <c r="B324" s="3"/>
      <c r="C324" s="6"/>
      <c r="D324" s="6"/>
      <c r="E324" s="6"/>
      <c r="F324" s="6"/>
    </row>
    <row r="325">
      <c r="B325" s="3"/>
      <c r="C325" s="6"/>
      <c r="D325" s="6"/>
      <c r="E325" s="6"/>
      <c r="F325" s="6"/>
    </row>
    <row r="326">
      <c r="B326" s="3"/>
      <c r="C326" s="6"/>
      <c r="D326" s="6"/>
      <c r="E326" s="6"/>
      <c r="F326" s="6"/>
    </row>
    <row r="327">
      <c r="B327" s="3"/>
      <c r="C327" s="6"/>
      <c r="D327" s="6"/>
      <c r="E327" s="6"/>
      <c r="F327" s="6"/>
    </row>
    <row r="328">
      <c r="B328" s="3"/>
      <c r="C328" s="6"/>
      <c r="D328" s="6"/>
      <c r="E328" s="6"/>
      <c r="F328" s="6"/>
    </row>
    <row r="329">
      <c r="B329" s="3"/>
      <c r="C329" s="6"/>
      <c r="D329" s="6"/>
      <c r="E329" s="6"/>
      <c r="F329" s="6"/>
    </row>
    <row r="330">
      <c r="B330" s="3"/>
      <c r="C330" s="6"/>
      <c r="D330" s="6"/>
      <c r="E330" s="6"/>
      <c r="F330" s="6"/>
    </row>
    <row r="331">
      <c r="B331" s="3"/>
      <c r="C331" s="6"/>
      <c r="D331" s="6"/>
      <c r="E331" s="6"/>
      <c r="F331" s="6"/>
    </row>
    <row r="332">
      <c r="B332" s="3"/>
      <c r="C332" s="6"/>
      <c r="D332" s="6"/>
      <c r="E332" s="6"/>
      <c r="F332" s="6"/>
    </row>
    <row r="333">
      <c r="B333" s="3"/>
      <c r="C333" s="6"/>
      <c r="D333" s="6"/>
      <c r="E333" s="6"/>
      <c r="F333" s="6"/>
    </row>
    <row r="334">
      <c r="B334" s="3"/>
      <c r="C334" s="6"/>
      <c r="D334" s="6"/>
      <c r="E334" s="6"/>
      <c r="F334" s="6"/>
    </row>
    <row r="335">
      <c r="B335" s="3"/>
      <c r="C335" s="6"/>
      <c r="D335" s="6"/>
      <c r="E335" s="6"/>
      <c r="F335" s="6"/>
    </row>
    <row r="336">
      <c r="B336" s="3"/>
      <c r="C336" s="6"/>
      <c r="D336" s="6"/>
      <c r="E336" s="6"/>
      <c r="F336" s="6"/>
    </row>
    <row r="337">
      <c r="B337" s="3"/>
      <c r="C337" s="6"/>
      <c r="D337" s="6"/>
      <c r="E337" s="6"/>
      <c r="F337" s="6"/>
    </row>
    <row r="338">
      <c r="B338" s="3"/>
      <c r="C338" s="6"/>
      <c r="D338" s="6"/>
      <c r="E338" s="6"/>
      <c r="F338" s="6"/>
    </row>
    <row r="339">
      <c r="B339" s="3"/>
      <c r="C339" s="6"/>
      <c r="D339" s="6"/>
      <c r="E339" s="6"/>
      <c r="F339" s="6"/>
    </row>
    <row r="340">
      <c r="B340" s="3"/>
      <c r="C340" s="6"/>
      <c r="D340" s="6"/>
      <c r="E340" s="6"/>
      <c r="F340" s="6"/>
    </row>
    <row r="341">
      <c r="B341" s="3"/>
      <c r="C341" s="6"/>
      <c r="D341" s="6"/>
      <c r="E341" s="6"/>
      <c r="F341" s="6"/>
    </row>
    <row r="342">
      <c r="B342" s="3"/>
      <c r="C342" s="6"/>
      <c r="D342" s="6"/>
      <c r="E342" s="6"/>
      <c r="F342" s="6"/>
    </row>
    <row r="343">
      <c r="B343" s="3"/>
      <c r="C343" s="6"/>
      <c r="D343" s="6"/>
      <c r="E343" s="6"/>
      <c r="F343" s="6"/>
    </row>
    <row r="344">
      <c r="B344" s="3"/>
      <c r="C344" s="6"/>
      <c r="D344" s="6"/>
      <c r="E344" s="6"/>
      <c r="F344" s="6"/>
    </row>
    <row r="345">
      <c r="B345" s="3"/>
      <c r="C345" s="6"/>
      <c r="D345" s="6"/>
      <c r="E345" s="6"/>
      <c r="F345" s="6"/>
    </row>
    <row r="346">
      <c r="B346" s="3"/>
      <c r="C346" s="6"/>
      <c r="D346" s="6"/>
      <c r="E346" s="6"/>
      <c r="F346" s="6"/>
    </row>
    <row r="347">
      <c r="B347" s="3"/>
      <c r="C347" s="6"/>
      <c r="D347" s="6"/>
      <c r="E347" s="6"/>
      <c r="F347" s="6"/>
    </row>
    <row r="348">
      <c r="B348" s="3"/>
      <c r="C348" s="6"/>
      <c r="D348" s="6"/>
      <c r="E348" s="6"/>
      <c r="F348" s="6"/>
    </row>
    <row r="349">
      <c r="B349" s="3"/>
      <c r="C349" s="6"/>
      <c r="D349" s="6"/>
      <c r="E349" s="6"/>
      <c r="F349" s="6"/>
    </row>
    <row r="350">
      <c r="B350" s="3"/>
      <c r="C350" s="6"/>
      <c r="D350" s="6"/>
      <c r="E350" s="6"/>
      <c r="F350" s="6"/>
    </row>
    <row r="351">
      <c r="B351" s="3"/>
      <c r="C351" s="6"/>
      <c r="D351" s="6"/>
      <c r="E351" s="6"/>
      <c r="F351" s="6"/>
    </row>
    <row r="352">
      <c r="B352" s="3"/>
      <c r="C352" s="6"/>
      <c r="D352" s="6"/>
      <c r="E352" s="6"/>
      <c r="F352" s="6"/>
    </row>
    <row r="353">
      <c r="B353" s="3"/>
      <c r="C353" s="6"/>
      <c r="D353" s="6"/>
      <c r="E353" s="6"/>
      <c r="F353" s="6"/>
    </row>
    <row r="354">
      <c r="B354" s="3"/>
      <c r="C354" s="6"/>
      <c r="D354" s="6"/>
      <c r="E354" s="6"/>
      <c r="F354" s="6"/>
    </row>
    <row r="355">
      <c r="B355" s="3"/>
      <c r="C355" s="6"/>
      <c r="D355" s="6"/>
      <c r="E355" s="6"/>
      <c r="F355" s="6"/>
    </row>
    <row r="356">
      <c r="B356" s="3"/>
      <c r="C356" s="6"/>
      <c r="D356" s="6"/>
      <c r="E356" s="6"/>
      <c r="F356" s="6"/>
    </row>
    <row r="357">
      <c r="B357" s="3"/>
      <c r="C357" s="6"/>
      <c r="D357" s="6"/>
      <c r="E357" s="6"/>
      <c r="F357" s="6"/>
    </row>
    <row r="358">
      <c r="B358" s="3"/>
      <c r="C358" s="6"/>
      <c r="D358" s="6"/>
      <c r="E358" s="6"/>
      <c r="F358" s="6"/>
    </row>
    <row r="359">
      <c r="B359" s="3"/>
      <c r="C359" s="6"/>
      <c r="D359" s="6"/>
      <c r="E359" s="6"/>
      <c r="F359" s="6"/>
    </row>
    <row r="360">
      <c r="B360" s="3"/>
      <c r="C360" s="6"/>
      <c r="D360" s="6"/>
      <c r="E360" s="6"/>
      <c r="F360" s="6"/>
    </row>
    <row r="361">
      <c r="B361" s="3"/>
      <c r="C361" s="6"/>
      <c r="D361" s="6"/>
      <c r="E361" s="6"/>
      <c r="F361" s="6"/>
    </row>
    <row r="362">
      <c r="B362" s="3"/>
      <c r="C362" s="6"/>
      <c r="D362" s="6"/>
      <c r="E362" s="6"/>
      <c r="F362" s="6"/>
    </row>
    <row r="363">
      <c r="B363" s="3"/>
      <c r="C363" s="6"/>
      <c r="D363" s="6"/>
      <c r="E363" s="6"/>
      <c r="F363" s="6"/>
    </row>
    <row r="364">
      <c r="B364" s="3"/>
      <c r="C364" s="6"/>
      <c r="D364" s="6"/>
      <c r="E364" s="6"/>
      <c r="F364" s="6"/>
    </row>
    <row r="365">
      <c r="B365" s="3"/>
      <c r="C365" s="6"/>
      <c r="D365" s="6"/>
      <c r="E365" s="6"/>
      <c r="F365" s="6"/>
    </row>
    <row r="366">
      <c r="B366" s="3"/>
      <c r="C366" s="6"/>
      <c r="D366" s="6"/>
      <c r="E366" s="6"/>
      <c r="F366" s="6"/>
    </row>
    <row r="367">
      <c r="B367" s="3"/>
      <c r="C367" s="6"/>
      <c r="D367" s="6"/>
      <c r="E367" s="6"/>
      <c r="F367" s="6"/>
    </row>
    <row r="368">
      <c r="B368" s="3"/>
      <c r="C368" s="6"/>
      <c r="D368" s="6"/>
      <c r="E368" s="6"/>
      <c r="F368" s="6"/>
    </row>
    <row r="369">
      <c r="B369" s="3"/>
      <c r="C369" s="6"/>
      <c r="D369" s="6"/>
      <c r="E369" s="6"/>
      <c r="F369" s="6"/>
    </row>
    <row r="370">
      <c r="B370" s="3"/>
      <c r="C370" s="6"/>
      <c r="D370" s="6"/>
      <c r="E370" s="6"/>
      <c r="F370" s="6"/>
    </row>
    <row r="371">
      <c r="B371" s="3"/>
      <c r="C371" s="6"/>
      <c r="D371" s="6"/>
      <c r="E371" s="6"/>
      <c r="F371" s="6"/>
    </row>
    <row r="372">
      <c r="B372" s="3"/>
      <c r="C372" s="6"/>
      <c r="D372" s="6"/>
      <c r="E372" s="6"/>
      <c r="F372" s="6"/>
    </row>
    <row r="373">
      <c r="B373" s="3"/>
      <c r="C373" s="6"/>
      <c r="D373" s="6"/>
      <c r="E373" s="6"/>
      <c r="F373" s="6"/>
    </row>
    <row r="374">
      <c r="B374" s="3"/>
      <c r="C374" s="6"/>
      <c r="D374" s="6"/>
      <c r="E374" s="6"/>
      <c r="F374" s="6"/>
    </row>
    <row r="375">
      <c r="B375" s="3"/>
      <c r="C375" s="6"/>
      <c r="D375" s="6"/>
      <c r="E375" s="6"/>
      <c r="F375" s="6"/>
    </row>
    <row r="376">
      <c r="B376" s="3"/>
      <c r="C376" s="6"/>
      <c r="D376" s="6"/>
      <c r="E376" s="6"/>
      <c r="F376" s="6"/>
    </row>
    <row r="377">
      <c r="B377" s="3"/>
      <c r="C377" s="6"/>
      <c r="D377" s="6"/>
      <c r="E377" s="6"/>
      <c r="F377" s="6"/>
    </row>
    <row r="378">
      <c r="B378" s="3"/>
      <c r="C378" s="6"/>
      <c r="D378" s="6"/>
      <c r="E378" s="6"/>
      <c r="F378" s="6"/>
    </row>
    <row r="379">
      <c r="B379" s="3"/>
      <c r="C379" s="6"/>
      <c r="D379" s="6"/>
      <c r="E379" s="6"/>
      <c r="F379" s="6"/>
    </row>
    <row r="380">
      <c r="B380" s="3"/>
      <c r="C380" s="6"/>
      <c r="D380" s="6"/>
      <c r="E380" s="6"/>
      <c r="F380" s="6"/>
    </row>
    <row r="381">
      <c r="B381" s="3"/>
      <c r="C381" s="6"/>
      <c r="D381" s="6"/>
      <c r="E381" s="6"/>
      <c r="F381" s="6"/>
    </row>
    <row r="382">
      <c r="B382" s="3"/>
      <c r="C382" s="6"/>
      <c r="D382" s="6"/>
      <c r="E382" s="6"/>
      <c r="F382" s="6"/>
    </row>
    <row r="383">
      <c r="B383" s="3"/>
      <c r="C383" s="6"/>
      <c r="D383" s="6"/>
      <c r="E383" s="6"/>
      <c r="F383" s="6"/>
    </row>
    <row r="384">
      <c r="B384" s="3"/>
      <c r="C384" s="6"/>
      <c r="D384" s="6"/>
      <c r="E384" s="6"/>
      <c r="F384" s="6"/>
    </row>
    <row r="385">
      <c r="B385" s="3"/>
      <c r="C385" s="6"/>
      <c r="D385" s="6"/>
      <c r="E385" s="6"/>
      <c r="F385" s="6"/>
    </row>
    <row r="386">
      <c r="B386" s="3"/>
      <c r="C386" s="6"/>
      <c r="D386" s="6"/>
      <c r="E386" s="6"/>
      <c r="F386" s="6"/>
    </row>
    <row r="387">
      <c r="B387" s="3"/>
      <c r="C387" s="6"/>
      <c r="D387" s="6"/>
      <c r="E387" s="6"/>
      <c r="F387" s="6"/>
    </row>
    <row r="388">
      <c r="B388" s="3"/>
      <c r="C388" s="6"/>
      <c r="D388" s="6"/>
      <c r="E388" s="6"/>
      <c r="F388" s="6"/>
    </row>
    <row r="389">
      <c r="B389" s="3"/>
      <c r="C389" s="6"/>
      <c r="D389" s="6"/>
      <c r="E389" s="6"/>
      <c r="F389" s="6"/>
    </row>
    <row r="390">
      <c r="B390" s="3"/>
      <c r="C390" s="6"/>
      <c r="D390" s="6"/>
      <c r="E390" s="6"/>
      <c r="F390" s="6"/>
    </row>
    <row r="391">
      <c r="B391" s="3"/>
      <c r="C391" s="6"/>
      <c r="D391" s="6"/>
      <c r="E391" s="6"/>
      <c r="F391" s="6"/>
    </row>
    <row r="392">
      <c r="B392" s="3"/>
      <c r="C392" s="6"/>
      <c r="D392" s="6"/>
      <c r="E392" s="6"/>
      <c r="F392" s="6"/>
    </row>
    <row r="393">
      <c r="B393" s="3"/>
      <c r="C393" s="6"/>
      <c r="D393" s="6"/>
      <c r="E393" s="6"/>
      <c r="F393" s="6"/>
    </row>
    <row r="394">
      <c r="B394" s="3"/>
      <c r="C394" s="6"/>
      <c r="D394" s="6"/>
      <c r="E394" s="6"/>
      <c r="F394" s="6"/>
    </row>
    <row r="395">
      <c r="B395" s="3"/>
      <c r="C395" s="6"/>
      <c r="D395" s="6"/>
      <c r="E395" s="6"/>
      <c r="F395" s="6"/>
    </row>
    <row r="396">
      <c r="B396" s="3"/>
      <c r="C396" s="6"/>
      <c r="D396" s="6"/>
      <c r="E396" s="6"/>
      <c r="F396" s="6"/>
    </row>
    <row r="397">
      <c r="B397" s="3"/>
      <c r="C397" s="6"/>
      <c r="D397" s="6"/>
      <c r="E397" s="6"/>
      <c r="F397" s="6"/>
    </row>
    <row r="398">
      <c r="B398" s="3"/>
      <c r="C398" s="6"/>
      <c r="D398" s="6"/>
      <c r="E398" s="6"/>
      <c r="F398" s="6"/>
    </row>
    <row r="399">
      <c r="B399" s="3"/>
      <c r="C399" s="6"/>
      <c r="D399" s="6"/>
      <c r="E399" s="6"/>
      <c r="F399" s="6"/>
    </row>
    <row r="400">
      <c r="B400" s="3"/>
      <c r="C400" s="6"/>
      <c r="D400" s="6"/>
      <c r="E400" s="6"/>
      <c r="F400" s="6"/>
    </row>
    <row r="401">
      <c r="B401" s="3"/>
      <c r="C401" s="6"/>
      <c r="D401" s="6"/>
      <c r="E401" s="6"/>
      <c r="F401" s="6"/>
    </row>
    <row r="402">
      <c r="B402" s="3"/>
      <c r="C402" s="6"/>
      <c r="D402" s="6"/>
      <c r="E402" s="6"/>
      <c r="F402" s="6"/>
    </row>
    <row r="403">
      <c r="B403" s="3"/>
      <c r="C403" s="6"/>
      <c r="D403" s="6"/>
      <c r="E403" s="6"/>
      <c r="F403" s="6"/>
    </row>
    <row r="404">
      <c r="B404" s="3"/>
      <c r="C404" s="6"/>
      <c r="D404" s="6"/>
      <c r="E404" s="6"/>
      <c r="F404" s="6"/>
    </row>
    <row r="405">
      <c r="B405" s="3"/>
      <c r="C405" s="6"/>
      <c r="D405" s="6"/>
      <c r="E405" s="6"/>
      <c r="F405" s="6"/>
    </row>
    <row r="406">
      <c r="B406" s="3"/>
      <c r="C406" s="6"/>
      <c r="D406" s="6"/>
      <c r="E406" s="6"/>
      <c r="F406" s="6"/>
    </row>
    <row r="407">
      <c r="B407" s="3"/>
      <c r="C407" s="6"/>
      <c r="D407" s="6"/>
      <c r="E407" s="6"/>
      <c r="F407" s="6"/>
    </row>
    <row r="408">
      <c r="B408" s="3"/>
      <c r="C408" s="6"/>
      <c r="D408" s="6"/>
      <c r="E408" s="6"/>
      <c r="F408" s="6"/>
    </row>
    <row r="409">
      <c r="B409" s="3"/>
      <c r="C409" s="6"/>
      <c r="D409" s="6"/>
      <c r="E409" s="6"/>
      <c r="F409" s="6"/>
    </row>
    <row r="410">
      <c r="B410" s="3"/>
      <c r="C410" s="6"/>
      <c r="D410" s="6"/>
      <c r="E410" s="6"/>
      <c r="F410" s="6"/>
    </row>
    <row r="411">
      <c r="B411" s="3"/>
      <c r="C411" s="6"/>
      <c r="D411" s="6"/>
      <c r="E411" s="6"/>
      <c r="F411" s="6"/>
    </row>
    <row r="412">
      <c r="B412" s="3"/>
      <c r="C412" s="6"/>
      <c r="D412" s="6"/>
      <c r="E412" s="6"/>
      <c r="F412" s="6"/>
    </row>
    <row r="413">
      <c r="B413" s="3"/>
      <c r="C413" s="6"/>
      <c r="D413" s="6"/>
      <c r="E413" s="6"/>
      <c r="F413" s="6"/>
    </row>
    <row r="414">
      <c r="B414" s="3"/>
      <c r="C414" s="6"/>
      <c r="D414" s="6"/>
      <c r="E414" s="6"/>
      <c r="F414" s="6"/>
    </row>
    <row r="415">
      <c r="B415" s="3"/>
      <c r="C415" s="6"/>
      <c r="D415" s="6"/>
      <c r="E415" s="6"/>
      <c r="F415" s="6"/>
    </row>
    <row r="416">
      <c r="B416" s="3"/>
      <c r="C416" s="6"/>
      <c r="D416" s="6"/>
      <c r="E416" s="6"/>
      <c r="F416" s="6"/>
    </row>
    <row r="417">
      <c r="B417" s="3"/>
      <c r="C417" s="6"/>
      <c r="D417" s="6"/>
      <c r="E417" s="6"/>
      <c r="F417" s="6"/>
    </row>
    <row r="418">
      <c r="B418" s="3"/>
      <c r="C418" s="6"/>
      <c r="D418" s="6"/>
      <c r="E418" s="6"/>
      <c r="F418" s="6"/>
    </row>
    <row r="419">
      <c r="B419" s="3"/>
      <c r="C419" s="6"/>
      <c r="D419" s="6"/>
      <c r="E419" s="6"/>
      <c r="F419" s="6"/>
    </row>
    <row r="420">
      <c r="B420" s="3"/>
      <c r="C420" s="6"/>
      <c r="D420" s="6"/>
      <c r="E420" s="6"/>
      <c r="F420" s="6"/>
    </row>
    <row r="421">
      <c r="B421" s="3"/>
      <c r="C421" s="6"/>
      <c r="D421" s="6"/>
      <c r="E421" s="6"/>
      <c r="F421" s="6"/>
    </row>
    <row r="422">
      <c r="B422" s="3"/>
      <c r="C422" s="6"/>
      <c r="D422" s="6"/>
      <c r="E422" s="6"/>
      <c r="F422" s="6"/>
    </row>
    <row r="423">
      <c r="B423" s="3"/>
      <c r="C423" s="6"/>
      <c r="D423" s="6"/>
      <c r="E423" s="6"/>
      <c r="F423" s="6"/>
    </row>
    <row r="424">
      <c r="B424" s="3"/>
      <c r="C424" s="6"/>
      <c r="D424" s="6"/>
      <c r="E424" s="6"/>
      <c r="F424" s="6"/>
    </row>
    <row r="425">
      <c r="B425" s="3"/>
      <c r="C425" s="6"/>
      <c r="D425" s="6"/>
      <c r="E425" s="6"/>
      <c r="F425" s="6"/>
    </row>
    <row r="426">
      <c r="B426" s="3"/>
      <c r="C426" s="6"/>
      <c r="D426" s="6"/>
      <c r="E426" s="6"/>
      <c r="F426" s="6"/>
    </row>
    <row r="427">
      <c r="B427" s="3"/>
      <c r="C427" s="6"/>
      <c r="D427" s="6"/>
      <c r="E427" s="6"/>
      <c r="F427" s="6"/>
    </row>
    <row r="428">
      <c r="B428" s="3"/>
      <c r="C428" s="6"/>
      <c r="D428" s="6"/>
      <c r="E428" s="6"/>
      <c r="F428" s="6"/>
    </row>
    <row r="429">
      <c r="B429" s="3"/>
      <c r="C429" s="6"/>
      <c r="D429" s="6"/>
      <c r="E429" s="6"/>
      <c r="F429" s="6"/>
    </row>
    <row r="430">
      <c r="B430" s="3"/>
      <c r="C430" s="6"/>
      <c r="D430" s="6"/>
      <c r="E430" s="6"/>
      <c r="F430" s="6"/>
    </row>
    <row r="431">
      <c r="B431" s="3"/>
      <c r="C431" s="6"/>
      <c r="D431" s="6"/>
      <c r="E431" s="6"/>
      <c r="F431" s="6"/>
    </row>
    <row r="432">
      <c r="B432" s="3"/>
      <c r="C432" s="6"/>
      <c r="D432" s="6"/>
      <c r="E432" s="6"/>
      <c r="F432" s="6"/>
    </row>
    <row r="433">
      <c r="B433" s="3"/>
      <c r="C433" s="6"/>
      <c r="D433" s="6"/>
      <c r="E433" s="6"/>
      <c r="F433" s="6"/>
    </row>
    <row r="434">
      <c r="B434" s="3"/>
      <c r="C434" s="6"/>
      <c r="D434" s="6"/>
      <c r="E434" s="6"/>
      <c r="F434" s="6"/>
    </row>
    <row r="435">
      <c r="B435" s="3"/>
      <c r="C435" s="6"/>
      <c r="D435" s="6"/>
      <c r="E435" s="6"/>
      <c r="F435" s="6"/>
    </row>
    <row r="436">
      <c r="B436" s="3"/>
      <c r="C436" s="6"/>
      <c r="D436" s="6"/>
      <c r="E436" s="6"/>
      <c r="F436" s="6"/>
    </row>
    <row r="437">
      <c r="B437" s="3"/>
      <c r="C437" s="6"/>
      <c r="D437" s="6"/>
      <c r="E437" s="6"/>
      <c r="F437" s="6"/>
    </row>
    <row r="438">
      <c r="B438" s="3"/>
      <c r="C438" s="6"/>
      <c r="D438" s="6"/>
      <c r="E438" s="6"/>
      <c r="F438" s="6"/>
    </row>
    <row r="439">
      <c r="B439" s="3"/>
      <c r="C439" s="6"/>
      <c r="D439" s="6"/>
      <c r="E439" s="6"/>
      <c r="F439" s="6"/>
    </row>
    <row r="440">
      <c r="B440" s="3"/>
      <c r="C440" s="6"/>
      <c r="D440" s="6"/>
      <c r="E440" s="6"/>
      <c r="F440" s="6"/>
    </row>
    <row r="441">
      <c r="B441" s="3"/>
      <c r="C441" s="6"/>
      <c r="D441" s="6"/>
      <c r="E441" s="6"/>
      <c r="F441" s="6"/>
    </row>
    <row r="442">
      <c r="B442" s="3"/>
      <c r="C442" s="6"/>
      <c r="D442" s="6"/>
      <c r="E442" s="6"/>
      <c r="F442" s="6"/>
    </row>
    <row r="443">
      <c r="B443" s="3"/>
      <c r="C443" s="6"/>
      <c r="D443" s="6"/>
      <c r="E443" s="6"/>
      <c r="F443" s="6"/>
    </row>
    <row r="444">
      <c r="B444" s="3"/>
      <c r="C444" s="6"/>
      <c r="D444" s="6"/>
      <c r="E444" s="6"/>
      <c r="F444" s="6"/>
    </row>
    <row r="445">
      <c r="B445" s="3"/>
      <c r="C445" s="6"/>
      <c r="D445" s="6"/>
      <c r="E445" s="6"/>
      <c r="F445" s="6"/>
    </row>
    <row r="446">
      <c r="B446" s="3"/>
      <c r="C446" s="6"/>
      <c r="D446" s="6"/>
      <c r="E446" s="6"/>
      <c r="F446" s="6"/>
    </row>
    <row r="447">
      <c r="B447" s="3"/>
      <c r="C447" s="6"/>
      <c r="D447" s="6"/>
      <c r="E447" s="6"/>
      <c r="F447" s="6"/>
    </row>
    <row r="448">
      <c r="B448" s="3"/>
      <c r="C448" s="6"/>
      <c r="D448" s="6"/>
      <c r="E448" s="6"/>
      <c r="F448" s="6"/>
    </row>
    <row r="449">
      <c r="B449" s="3"/>
      <c r="C449" s="6"/>
      <c r="D449" s="6"/>
      <c r="E449" s="6"/>
      <c r="F449" s="6"/>
    </row>
    <row r="450">
      <c r="B450" s="3"/>
      <c r="C450" s="6"/>
      <c r="D450" s="6"/>
      <c r="E450" s="6"/>
      <c r="F450" s="6"/>
    </row>
    <row r="451">
      <c r="B451" s="3"/>
      <c r="C451" s="6"/>
      <c r="D451" s="6"/>
      <c r="E451" s="6"/>
      <c r="F451" s="6"/>
    </row>
    <row r="452">
      <c r="B452" s="3"/>
      <c r="C452" s="6"/>
      <c r="D452" s="6"/>
      <c r="E452" s="6"/>
      <c r="F452" s="6"/>
    </row>
    <row r="453">
      <c r="B453" s="3"/>
      <c r="C453" s="6"/>
      <c r="D453" s="6"/>
      <c r="E453" s="6"/>
      <c r="F453" s="6"/>
    </row>
    <row r="454">
      <c r="B454" s="3"/>
      <c r="C454" s="6"/>
      <c r="D454" s="6"/>
      <c r="E454" s="6"/>
      <c r="F454" s="6"/>
    </row>
    <row r="455">
      <c r="B455" s="3"/>
      <c r="C455" s="6"/>
      <c r="D455" s="6"/>
      <c r="E455" s="6"/>
      <c r="F455" s="6"/>
    </row>
    <row r="456">
      <c r="B456" s="3"/>
      <c r="C456" s="6"/>
      <c r="D456" s="6"/>
      <c r="E456" s="6"/>
      <c r="F456" s="6"/>
    </row>
    <row r="457">
      <c r="B457" s="3"/>
      <c r="C457" s="6"/>
      <c r="D457" s="6"/>
      <c r="E457" s="6"/>
      <c r="F457" s="6"/>
    </row>
    <row r="458">
      <c r="B458" s="3"/>
      <c r="C458" s="6"/>
      <c r="D458" s="6"/>
      <c r="E458" s="6"/>
      <c r="F458" s="6"/>
    </row>
    <row r="459">
      <c r="B459" s="3"/>
      <c r="C459" s="6"/>
      <c r="D459" s="6"/>
      <c r="E459" s="6"/>
      <c r="F459" s="6"/>
    </row>
    <row r="460">
      <c r="B460" s="3"/>
      <c r="C460" s="6"/>
      <c r="D460" s="6"/>
      <c r="E460" s="6"/>
      <c r="F460" s="6"/>
    </row>
    <row r="461">
      <c r="B461" s="3"/>
      <c r="C461" s="6"/>
      <c r="D461" s="6"/>
      <c r="E461" s="6"/>
      <c r="F461" s="6"/>
    </row>
    <row r="462">
      <c r="B462" s="3"/>
      <c r="C462" s="6"/>
      <c r="D462" s="6"/>
      <c r="E462" s="6"/>
      <c r="F462" s="6"/>
    </row>
    <row r="463">
      <c r="B463" s="3"/>
      <c r="C463" s="6"/>
      <c r="D463" s="6"/>
      <c r="E463" s="6"/>
      <c r="F463" s="6"/>
    </row>
    <row r="464">
      <c r="B464" s="3"/>
      <c r="C464" s="6"/>
      <c r="D464" s="6"/>
      <c r="E464" s="6"/>
      <c r="F464" s="6"/>
    </row>
    <row r="465">
      <c r="B465" s="3"/>
      <c r="C465" s="6"/>
      <c r="D465" s="6"/>
      <c r="E465" s="6"/>
      <c r="F465" s="6"/>
    </row>
    <row r="466">
      <c r="B466" s="3"/>
      <c r="C466" s="6"/>
      <c r="D466" s="6"/>
      <c r="E466" s="6"/>
      <c r="F466" s="6"/>
    </row>
    <row r="467">
      <c r="B467" s="3"/>
      <c r="C467" s="6"/>
      <c r="D467" s="6"/>
      <c r="E467" s="6"/>
      <c r="F467" s="6"/>
    </row>
    <row r="468">
      <c r="B468" s="3"/>
      <c r="C468" s="6"/>
      <c r="D468" s="6"/>
      <c r="E468" s="6"/>
      <c r="F468" s="6"/>
    </row>
    <row r="469">
      <c r="B469" s="3"/>
      <c r="C469" s="6"/>
      <c r="D469" s="6"/>
      <c r="E469" s="6"/>
      <c r="F469" s="6"/>
    </row>
    <row r="470">
      <c r="B470" s="3"/>
      <c r="C470" s="6"/>
      <c r="D470" s="6"/>
      <c r="E470" s="6"/>
      <c r="F470" s="6"/>
    </row>
    <row r="471">
      <c r="B471" s="3"/>
      <c r="C471" s="6"/>
      <c r="D471" s="6"/>
      <c r="E471" s="6"/>
      <c r="F471" s="6"/>
    </row>
    <row r="472">
      <c r="B472" s="3"/>
      <c r="C472" s="6"/>
      <c r="D472" s="6"/>
      <c r="E472" s="6"/>
      <c r="F472" s="6"/>
    </row>
    <row r="473">
      <c r="B473" s="3"/>
      <c r="C473" s="6"/>
      <c r="D473" s="6"/>
      <c r="E473" s="6"/>
      <c r="F473" s="6"/>
    </row>
    <row r="474">
      <c r="B474" s="3"/>
      <c r="C474" s="6"/>
      <c r="D474" s="6"/>
      <c r="E474" s="6"/>
      <c r="F474" s="6"/>
    </row>
    <row r="475">
      <c r="B475" s="3"/>
      <c r="C475" s="6"/>
      <c r="D475" s="6"/>
      <c r="E475" s="6"/>
      <c r="F475" s="6"/>
    </row>
    <row r="476">
      <c r="B476" s="3"/>
      <c r="C476" s="6"/>
      <c r="D476" s="6"/>
      <c r="E476" s="6"/>
      <c r="F476" s="6"/>
    </row>
    <row r="477">
      <c r="B477" s="3"/>
      <c r="C477" s="6"/>
      <c r="D477" s="6"/>
      <c r="E477" s="6"/>
      <c r="F477" s="6"/>
    </row>
    <row r="478">
      <c r="B478" s="3"/>
      <c r="C478" s="6"/>
      <c r="D478" s="6"/>
      <c r="E478" s="6"/>
      <c r="F478" s="6"/>
    </row>
    <row r="479">
      <c r="B479" s="3"/>
      <c r="C479" s="6"/>
      <c r="D479" s="6"/>
      <c r="E479" s="6"/>
      <c r="F479" s="6"/>
    </row>
    <row r="480">
      <c r="B480" s="3"/>
      <c r="C480" s="6"/>
      <c r="D480" s="6"/>
      <c r="E480" s="6"/>
      <c r="F480" s="6"/>
    </row>
    <row r="481">
      <c r="B481" s="3"/>
      <c r="C481" s="6"/>
      <c r="D481" s="6"/>
      <c r="E481" s="6"/>
      <c r="F481" s="6"/>
    </row>
    <row r="482">
      <c r="B482" s="3"/>
      <c r="C482" s="6"/>
      <c r="D482" s="6"/>
      <c r="E482" s="6"/>
      <c r="F482" s="6"/>
    </row>
    <row r="483">
      <c r="B483" s="3"/>
      <c r="C483" s="6"/>
      <c r="D483" s="6"/>
      <c r="E483" s="6"/>
      <c r="F483" s="6"/>
    </row>
    <row r="484">
      <c r="B484" s="3"/>
      <c r="C484" s="6"/>
      <c r="D484" s="6"/>
      <c r="E484" s="6"/>
      <c r="F484" s="6"/>
    </row>
    <row r="485">
      <c r="B485" s="3"/>
      <c r="C485" s="6"/>
      <c r="D485" s="6"/>
      <c r="E485" s="6"/>
      <c r="F485" s="6"/>
    </row>
    <row r="486">
      <c r="B486" s="3"/>
      <c r="C486" s="6"/>
      <c r="D486" s="6"/>
      <c r="E486" s="6"/>
      <c r="F486" s="6"/>
    </row>
    <row r="487">
      <c r="B487" s="3"/>
      <c r="C487" s="6"/>
      <c r="D487" s="6"/>
      <c r="E487" s="6"/>
      <c r="F487" s="6"/>
    </row>
    <row r="488">
      <c r="B488" s="3"/>
      <c r="C488" s="6"/>
      <c r="D488" s="6"/>
      <c r="E488" s="6"/>
      <c r="F488" s="6"/>
    </row>
    <row r="489">
      <c r="B489" s="3"/>
      <c r="C489" s="6"/>
      <c r="D489" s="6"/>
      <c r="E489" s="6"/>
      <c r="F489" s="6"/>
    </row>
    <row r="490">
      <c r="B490" s="3"/>
      <c r="C490" s="6"/>
      <c r="D490" s="6"/>
      <c r="E490" s="6"/>
      <c r="F490" s="6"/>
    </row>
    <row r="491">
      <c r="B491" s="3"/>
      <c r="C491" s="6"/>
      <c r="D491" s="6"/>
      <c r="E491" s="6"/>
      <c r="F491" s="6"/>
    </row>
    <row r="492">
      <c r="B492" s="3"/>
      <c r="C492" s="6"/>
      <c r="D492" s="6"/>
      <c r="E492" s="6"/>
      <c r="F492" s="6"/>
    </row>
    <row r="493">
      <c r="B493" s="3"/>
      <c r="C493" s="6"/>
      <c r="D493" s="6"/>
      <c r="E493" s="6"/>
      <c r="F493" s="6"/>
    </row>
    <row r="494">
      <c r="B494" s="3"/>
      <c r="C494" s="6"/>
      <c r="D494" s="6"/>
      <c r="E494" s="6"/>
      <c r="F494" s="6"/>
    </row>
    <row r="495">
      <c r="B495" s="3"/>
      <c r="C495" s="6"/>
      <c r="D495" s="6"/>
      <c r="E495" s="6"/>
      <c r="F495" s="6"/>
    </row>
    <row r="496">
      <c r="B496" s="3"/>
      <c r="C496" s="6"/>
      <c r="D496" s="6"/>
      <c r="E496" s="6"/>
      <c r="F496" s="6"/>
    </row>
    <row r="497">
      <c r="B497" s="3"/>
      <c r="C497" s="6"/>
      <c r="D497" s="6"/>
      <c r="E497" s="6"/>
      <c r="F497" s="6"/>
    </row>
    <row r="498">
      <c r="B498" s="3"/>
      <c r="C498" s="6"/>
      <c r="D498" s="6"/>
      <c r="E498" s="6"/>
      <c r="F498" s="6"/>
    </row>
    <row r="499">
      <c r="B499" s="3"/>
      <c r="C499" s="6"/>
      <c r="D499" s="6"/>
      <c r="E499" s="6"/>
      <c r="F499" s="6"/>
    </row>
    <row r="500">
      <c r="B500" s="3"/>
      <c r="C500" s="6"/>
      <c r="D500" s="6"/>
      <c r="E500" s="6"/>
      <c r="F500" s="6"/>
    </row>
    <row r="501">
      <c r="B501" s="3"/>
      <c r="C501" s="6"/>
      <c r="D501" s="6"/>
      <c r="E501" s="6"/>
      <c r="F501" s="6"/>
    </row>
    <row r="502">
      <c r="B502" s="3"/>
      <c r="C502" s="6"/>
      <c r="D502" s="6"/>
      <c r="E502" s="6"/>
      <c r="F502" s="6"/>
    </row>
    <row r="503">
      <c r="B503" s="3"/>
      <c r="C503" s="6"/>
      <c r="D503" s="6"/>
      <c r="E503" s="6"/>
      <c r="F503" s="6"/>
    </row>
    <row r="504">
      <c r="B504" s="3"/>
      <c r="C504" s="6"/>
      <c r="D504" s="6"/>
      <c r="E504" s="6"/>
      <c r="F504" s="6"/>
    </row>
    <row r="505">
      <c r="B505" s="3"/>
      <c r="C505" s="6"/>
      <c r="D505" s="6"/>
      <c r="E505" s="6"/>
      <c r="F505" s="6"/>
    </row>
    <row r="506">
      <c r="B506" s="3"/>
      <c r="C506" s="6"/>
      <c r="D506" s="6"/>
      <c r="E506" s="6"/>
      <c r="F506" s="6"/>
    </row>
    <row r="507">
      <c r="B507" s="3"/>
      <c r="C507" s="6"/>
      <c r="D507" s="6"/>
      <c r="E507" s="6"/>
      <c r="F507" s="6"/>
    </row>
    <row r="508">
      <c r="B508" s="3"/>
      <c r="C508" s="6"/>
      <c r="D508" s="6"/>
      <c r="E508" s="6"/>
      <c r="F508" s="6"/>
    </row>
    <row r="509">
      <c r="B509" s="3"/>
      <c r="C509" s="6"/>
      <c r="D509" s="6"/>
      <c r="E509" s="6"/>
      <c r="F509" s="6"/>
    </row>
    <row r="510">
      <c r="B510" s="3"/>
      <c r="C510" s="6"/>
      <c r="D510" s="6"/>
      <c r="E510" s="6"/>
      <c r="F510" s="6"/>
    </row>
    <row r="511">
      <c r="B511" s="3"/>
      <c r="C511" s="6"/>
      <c r="D511" s="6"/>
      <c r="E511" s="6"/>
      <c r="F511" s="6"/>
    </row>
    <row r="512">
      <c r="B512" s="3"/>
      <c r="C512" s="6"/>
      <c r="D512" s="6"/>
      <c r="E512" s="6"/>
      <c r="F512" s="6"/>
    </row>
    <row r="513">
      <c r="B513" s="3"/>
      <c r="C513" s="6"/>
      <c r="D513" s="6"/>
      <c r="E513" s="6"/>
      <c r="F513" s="6"/>
    </row>
    <row r="514">
      <c r="B514" s="3"/>
      <c r="C514" s="6"/>
      <c r="D514" s="6"/>
      <c r="E514" s="6"/>
      <c r="F514" s="6"/>
    </row>
    <row r="515">
      <c r="B515" s="3"/>
      <c r="C515" s="6"/>
      <c r="D515" s="6"/>
      <c r="E515" s="6"/>
      <c r="F515" s="6"/>
    </row>
    <row r="516">
      <c r="B516" s="3"/>
      <c r="C516" s="6"/>
      <c r="D516" s="6"/>
      <c r="E516" s="6"/>
      <c r="F516" s="6"/>
    </row>
    <row r="517">
      <c r="B517" s="3"/>
      <c r="C517" s="6"/>
      <c r="D517" s="6"/>
      <c r="E517" s="6"/>
      <c r="F517" s="6"/>
    </row>
    <row r="518">
      <c r="B518" s="3"/>
      <c r="C518" s="6"/>
      <c r="D518" s="6"/>
      <c r="E518" s="6"/>
      <c r="F518" s="6"/>
    </row>
    <row r="519">
      <c r="B519" s="3"/>
      <c r="C519" s="6"/>
      <c r="D519" s="6"/>
      <c r="E519" s="6"/>
      <c r="F519" s="6"/>
    </row>
    <row r="520">
      <c r="B520" s="3"/>
      <c r="C520" s="6"/>
      <c r="D520" s="6"/>
      <c r="E520" s="6"/>
      <c r="F520" s="6"/>
    </row>
    <row r="521">
      <c r="B521" s="3"/>
      <c r="C521" s="6"/>
      <c r="D521" s="6"/>
      <c r="E521" s="6"/>
      <c r="F521" s="6"/>
    </row>
    <row r="522">
      <c r="B522" s="3"/>
      <c r="C522" s="6"/>
      <c r="D522" s="6"/>
      <c r="E522" s="6"/>
      <c r="F522" s="6"/>
    </row>
    <row r="523">
      <c r="B523" s="3"/>
      <c r="C523" s="6"/>
      <c r="D523" s="6"/>
      <c r="E523" s="6"/>
      <c r="F523" s="6"/>
    </row>
    <row r="524">
      <c r="B524" s="3"/>
      <c r="C524" s="6"/>
      <c r="D524" s="6"/>
      <c r="E524" s="6"/>
      <c r="F524" s="6"/>
    </row>
    <row r="525">
      <c r="B525" s="3"/>
      <c r="C525" s="6"/>
      <c r="D525" s="6"/>
      <c r="E525" s="6"/>
      <c r="F525" s="6"/>
    </row>
    <row r="526">
      <c r="B526" s="3"/>
      <c r="C526" s="6"/>
      <c r="D526" s="6"/>
      <c r="E526" s="6"/>
      <c r="F526" s="6"/>
    </row>
    <row r="527">
      <c r="B527" s="3"/>
      <c r="C527" s="6"/>
      <c r="D527" s="6"/>
      <c r="E527" s="6"/>
      <c r="F527" s="6"/>
    </row>
    <row r="528">
      <c r="B528" s="3"/>
      <c r="C528" s="6"/>
      <c r="D528" s="6"/>
      <c r="E528" s="6"/>
      <c r="F528" s="6"/>
    </row>
    <row r="529">
      <c r="B529" s="3"/>
      <c r="C529" s="6"/>
      <c r="D529" s="6"/>
      <c r="E529" s="6"/>
      <c r="F529" s="6"/>
    </row>
    <row r="530">
      <c r="B530" s="3"/>
      <c r="C530" s="6"/>
      <c r="D530" s="6"/>
      <c r="E530" s="6"/>
      <c r="F530" s="6"/>
    </row>
    <row r="531">
      <c r="B531" s="3"/>
      <c r="C531" s="6"/>
      <c r="D531" s="6"/>
      <c r="E531" s="6"/>
      <c r="F531" s="6"/>
    </row>
    <row r="532">
      <c r="B532" s="3"/>
      <c r="C532" s="6"/>
      <c r="D532" s="6"/>
      <c r="E532" s="6"/>
      <c r="F532" s="6"/>
    </row>
    <row r="533">
      <c r="B533" s="3"/>
      <c r="C533" s="6"/>
      <c r="D533" s="6"/>
      <c r="E533" s="6"/>
      <c r="F533" s="6"/>
    </row>
    <row r="534">
      <c r="B534" s="3"/>
      <c r="C534" s="6"/>
      <c r="D534" s="6"/>
      <c r="E534" s="6"/>
      <c r="F534" s="6"/>
    </row>
    <row r="535">
      <c r="B535" s="3"/>
      <c r="C535" s="6"/>
      <c r="D535" s="6"/>
      <c r="E535" s="6"/>
      <c r="F535" s="6"/>
    </row>
    <row r="536">
      <c r="B536" s="3"/>
      <c r="C536" s="6"/>
      <c r="D536" s="6"/>
      <c r="E536" s="6"/>
      <c r="F536" s="6"/>
    </row>
    <row r="537">
      <c r="B537" s="3"/>
      <c r="C537" s="6"/>
      <c r="D537" s="6"/>
      <c r="E537" s="6"/>
      <c r="F537" s="6"/>
    </row>
    <row r="538">
      <c r="B538" s="3"/>
      <c r="C538" s="6"/>
      <c r="D538" s="6"/>
      <c r="E538" s="6"/>
      <c r="F538" s="6"/>
    </row>
    <row r="539">
      <c r="B539" s="3"/>
      <c r="C539" s="6"/>
      <c r="D539" s="6"/>
      <c r="E539" s="6"/>
      <c r="F539" s="6"/>
    </row>
    <row r="540">
      <c r="B540" s="3"/>
      <c r="C540" s="6"/>
      <c r="D540" s="6"/>
      <c r="E540" s="6"/>
      <c r="F540" s="6"/>
    </row>
    <row r="541">
      <c r="B541" s="3"/>
      <c r="C541" s="6"/>
      <c r="D541" s="6"/>
      <c r="E541" s="6"/>
      <c r="F541" s="6"/>
    </row>
    <row r="542">
      <c r="B542" s="3"/>
      <c r="C542" s="6"/>
      <c r="D542" s="6"/>
      <c r="E542" s="6"/>
      <c r="F542" s="6"/>
    </row>
    <row r="543">
      <c r="B543" s="3"/>
      <c r="C543" s="6"/>
      <c r="D543" s="6"/>
      <c r="E543" s="6"/>
      <c r="F543" s="6"/>
    </row>
    <row r="544">
      <c r="B544" s="3"/>
      <c r="C544" s="6"/>
      <c r="D544" s="6"/>
      <c r="E544" s="6"/>
      <c r="F544" s="6"/>
    </row>
    <row r="545">
      <c r="B545" s="3"/>
      <c r="C545" s="6"/>
      <c r="D545" s="6"/>
      <c r="E545" s="6"/>
      <c r="F545" s="6"/>
    </row>
    <row r="546">
      <c r="B546" s="3"/>
      <c r="C546" s="6"/>
      <c r="D546" s="6"/>
      <c r="E546" s="6"/>
      <c r="F546" s="6"/>
    </row>
    <row r="547">
      <c r="B547" s="3"/>
      <c r="C547" s="6"/>
      <c r="D547" s="6"/>
      <c r="E547" s="6"/>
      <c r="F547" s="6"/>
    </row>
    <row r="548">
      <c r="B548" s="3"/>
      <c r="C548" s="6"/>
      <c r="D548" s="6"/>
      <c r="E548" s="6"/>
      <c r="F548" s="6"/>
    </row>
    <row r="549">
      <c r="B549" s="3"/>
      <c r="C549" s="6"/>
      <c r="D549" s="6"/>
      <c r="E549" s="6"/>
      <c r="F549" s="6"/>
    </row>
    <row r="550">
      <c r="B550" s="3"/>
      <c r="C550" s="6"/>
      <c r="D550" s="6"/>
      <c r="E550" s="6"/>
      <c r="F550" s="6"/>
    </row>
    <row r="551">
      <c r="B551" s="3"/>
      <c r="C551" s="6"/>
      <c r="D551" s="6"/>
      <c r="E551" s="6"/>
      <c r="F551" s="6"/>
    </row>
    <row r="552">
      <c r="B552" s="3"/>
      <c r="C552" s="6"/>
      <c r="D552" s="6"/>
      <c r="E552" s="6"/>
      <c r="F552" s="6"/>
    </row>
    <row r="553">
      <c r="B553" s="3"/>
      <c r="C553" s="6"/>
      <c r="D553" s="6"/>
      <c r="E553" s="6"/>
      <c r="F553" s="6"/>
    </row>
    <row r="554">
      <c r="B554" s="3"/>
      <c r="C554" s="6"/>
      <c r="D554" s="6"/>
      <c r="E554" s="6"/>
      <c r="F554" s="6"/>
    </row>
    <row r="555">
      <c r="B555" s="3"/>
      <c r="C555" s="6"/>
      <c r="D555" s="6"/>
      <c r="E555" s="6"/>
      <c r="F555" s="6"/>
    </row>
    <row r="556">
      <c r="B556" s="3"/>
      <c r="C556" s="6"/>
      <c r="D556" s="6"/>
      <c r="E556" s="6"/>
      <c r="F556" s="6"/>
    </row>
    <row r="557">
      <c r="B557" s="3"/>
      <c r="C557" s="6"/>
      <c r="D557" s="6"/>
      <c r="E557" s="6"/>
      <c r="F557" s="6"/>
    </row>
    <row r="558">
      <c r="B558" s="3"/>
      <c r="C558" s="6"/>
      <c r="D558" s="6"/>
      <c r="E558" s="6"/>
      <c r="F558" s="6"/>
    </row>
    <row r="559">
      <c r="B559" s="3"/>
      <c r="C559" s="6"/>
      <c r="D559" s="6"/>
      <c r="E559" s="6"/>
      <c r="F559" s="6"/>
    </row>
    <row r="560">
      <c r="B560" s="3"/>
      <c r="C560" s="6"/>
      <c r="D560" s="6"/>
      <c r="E560" s="6"/>
      <c r="F560" s="6"/>
    </row>
    <row r="561">
      <c r="B561" s="3"/>
      <c r="C561" s="6"/>
      <c r="D561" s="6"/>
      <c r="E561" s="6"/>
      <c r="F561" s="6"/>
    </row>
    <row r="562">
      <c r="B562" s="3"/>
      <c r="C562" s="6"/>
      <c r="D562" s="6"/>
      <c r="E562" s="6"/>
      <c r="F562" s="6"/>
    </row>
    <row r="563">
      <c r="B563" s="3"/>
      <c r="C563" s="6"/>
      <c r="D563" s="6"/>
      <c r="E563" s="6"/>
      <c r="F563" s="6"/>
    </row>
    <row r="564">
      <c r="B564" s="3"/>
      <c r="C564" s="6"/>
      <c r="D564" s="6"/>
      <c r="E564" s="6"/>
      <c r="F564" s="6"/>
    </row>
    <row r="565">
      <c r="B565" s="3"/>
      <c r="C565" s="6"/>
      <c r="D565" s="6"/>
      <c r="E565" s="6"/>
      <c r="F565" s="6"/>
    </row>
    <row r="566">
      <c r="B566" s="3"/>
      <c r="C566" s="6"/>
      <c r="D566" s="6"/>
      <c r="E566" s="6"/>
      <c r="F566" s="6"/>
    </row>
    <row r="567">
      <c r="B567" s="3"/>
      <c r="C567" s="6"/>
      <c r="D567" s="6"/>
      <c r="E567" s="6"/>
      <c r="F567" s="6"/>
    </row>
    <row r="568">
      <c r="B568" s="3"/>
      <c r="C568" s="6"/>
      <c r="D568" s="6"/>
      <c r="E568" s="6"/>
      <c r="F568" s="6"/>
    </row>
    <row r="569">
      <c r="B569" s="3"/>
      <c r="C569" s="6"/>
      <c r="D569" s="6"/>
      <c r="E569" s="6"/>
      <c r="F569" s="6"/>
    </row>
    <row r="570">
      <c r="B570" s="3"/>
      <c r="C570" s="6"/>
      <c r="D570" s="6"/>
      <c r="E570" s="6"/>
      <c r="F570" s="6"/>
    </row>
    <row r="571">
      <c r="B571" s="3"/>
      <c r="C571" s="6"/>
      <c r="D571" s="6"/>
      <c r="E571" s="6"/>
      <c r="F571" s="6"/>
    </row>
    <row r="572">
      <c r="B572" s="3"/>
      <c r="C572" s="6"/>
      <c r="D572" s="6"/>
      <c r="E572" s="6"/>
      <c r="F572" s="6"/>
    </row>
    <row r="573">
      <c r="B573" s="3"/>
      <c r="C573" s="6"/>
      <c r="D573" s="6"/>
      <c r="E573" s="6"/>
      <c r="F573" s="6"/>
    </row>
    <row r="574">
      <c r="B574" s="3"/>
      <c r="C574" s="6"/>
      <c r="D574" s="6"/>
      <c r="E574" s="6"/>
      <c r="F574" s="6"/>
    </row>
    <row r="575">
      <c r="B575" s="3"/>
      <c r="C575" s="6"/>
      <c r="D575" s="6"/>
      <c r="E575" s="6"/>
      <c r="F575" s="6"/>
    </row>
    <row r="576">
      <c r="B576" s="3"/>
      <c r="C576" s="6"/>
      <c r="D576" s="6"/>
      <c r="E576" s="6"/>
      <c r="F576" s="6"/>
    </row>
    <row r="577">
      <c r="B577" s="3"/>
      <c r="C577" s="6"/>
      <c r="D577" s="6"/>
      <c r="E577" s="6"/>
      <c r="F577" s="6"/>
    </row>
    <row r="578">
      <c r="B578" s="3"/>
      <c r="C578" s="6"/>
      <c r="D578" s="6"/>
      <c r="E578" s="6"/>
      <c r="F578" s="6"/>
    </row>
    <row r="579">
      <c r="B579" s="3"/>
      <c r="C579" s="6"/>
      <c r="D579" s="6"/>
      <c r="E579" s="6"/>
      <c r="F579" s="6"/>
    </row>
    <row r="580">
      <c r="B580" s="3"/>
      <c r="C580" s="6"/>
      <c r="D580" s="6"/>
      <c r="E580" s="6"/>
      <c r="F580" s="6"/>
    </row>
    <row r="581">
      <c r="B581" s="3"/>
      <c r="C581" s="6"/>
      <c r="D581" s="6"/>
      <c r="E581" s="6"/>
      <c r="F581" s="6"/>
    </row>
    <row r="582">
      <c r="B582" s="3"/>
      <c r="C582" s="6"/>
      <c r="D582" s="6"/>
      <c r="E582" s="6"/>
      <c r="F582" s="6"/>
    </row>
    <row r="583">
      <c r="B583" s="3"/>
      <c r="C583" s="6"/>
      <c r="D583" s="6"/>
      <c r="E583" s="6"/>
      <c r="F583" s="6"/>
    </row>
    <row r="584">
      <c r="B584" s="3"/>
      <c r="C584" s="6"/>
      <c r="D584" s="6"/>
      <c r="E584" s="6"/>
      <c r="F584" s="6"/>
    </row>
    <row r="585">
      <c r="B585" s="3"/>
      <c r="C585" s="6"/>
      <c r="D585" s="6"/>
      <c r="E585" s="6"/>
      <c r="F585" s="6"/>
    </row>
    <row r="586">
      <c r="B586" s="3"/>
      <c r="C586" s="6"/>
      <c r="D586" s="6"/>
      <c r="E586" s="6"/>
      <c r="F586" s="6"/>
    </row>
    <row r="587">
      <c r="B587" s="3"/>
      <c r="C587" s="6"/>
      <c r="D587" s="6"/>
      <c r="E587" s="6"/>
      <c r="F587" s="6"/>
    </row>
    <row r="588">
      <c r="B588" s="3"/>
      <c r="C588" s="6"/>
      <c r="D588" s="6"/>
      <c r="E588" s="6"/>
      <c r="F588" s="6"/>
    </row>
    <row r="589">
      <c r="B589" s="3"/>
      <c r="C589" s="6"/>
      <c r="D589" s="6"/>
      <c r="E589" s="6"/>
      <c r="F589" s="6"/>
    </row>
    <row r="590">
      <c r="B590" s="3"/>
      <c r="C590" s="6"/>
      <c r="D590" s="6"/>
      <c r="E590" s="6"/>
      <c r="F590" s="6"/>
    </row>
    <row r="591">
      <c r="B591" s="3"/>
      <c r="C591" s="6"/>
      <c r="D591" s="6"/>
      <c r="E591" s="6"/>
      <c r="F591" s="6"/>
    </row>
    <row r="592">
      <c r="B592" s="3"/>
      <c r="C592" s="6"/>
      <c r="D592" s="6"/>
      <c r="E592" s="6"/>
      <c r="F592" s="6"/>
    </row>
    <row r="593">
      <c r="B593" s="3"/>
      <c r="C593" s="6"/>
      <c r="D593" s="6"/>
      <c r="E593" s="6"/>
      <c r="F593" s="6"/>
    </row>
    <row r="594">
      <c r="B594" s="3"/>
      <c r="C594" s="6"/>
      <c r="D594" s="6"/>
      <c r="E594" s="6"/>
      <c r="F594" s="6"/>
    </row>
    <row r="595">
      <c r="B595" s="3"/>
      <c r="C595" s="6"/>
      <c r="D595" s="6"/>
      <c r="E595" s="6"/>
      <c r="F595" s="6"/>
    </row>
    <row r="596">
      <c r="B596" s="3"/>
      <c r="C596" s="6"/>
      <c r="D596" s="6"/>
      <c r="E596" s="6"/>
      <c r="F596" s="6"/>
    </row>
    <row r="597">
      <c r="B597" s="3"/>
      <c r="C597" s="6"/>
      <c r="D597" s="6"/>
      <c r="E597" s="6"/>
      <c r="F597" s="6"/>
    </row>
    <row r="598">
      <c r="B598" s="3"/>
      <c r="C598" s="6"/>
      <c r="D598" s="6"/>
      <c r="E598" s="6"/>
      <c r="F598" s="6"/>
    </row>
    <row r="599">
      <c r="B599" s="3"/>
      <c r="C599" s="6"/>
      <c r="D599" s="6"/>
      <c r="E599" s="6"/>
      <c r="F599" s="6"/>
    </row>
    <row r="600">
      <c r="B600" s="3"/>
      <c r="C600" s="6"/>
      <c r="D600" s="6"/>
      <c r="E600" s="6"/>
      <c r="F600" s="6"/>
    </row>
    <row r="601">
      <c r="B601" s="3"/>
      <c r="C601" s="6"/>
      <c r="D601" s="6"/>
      <c r="E601" s="6"/>
      <c r="F601" s="6"/>
    </row>
    <row r="602">
      <c r="B602" s="3"/>
      <c r="C602" s="6"/>
      <c r="D602" s="6"/>
      <c r="E602" s="6"/>
      <c r="F602" s="6"/>
    </row>
    <row r="603">
      <c r="B603" s="3"/>
      <c r="C603" s="6"/>
      <c r="D603" s="6"/>
      <c r="E603" s="6"/>
      <c r="F603" s="6"/>
    </row>
    <row r="604">
      <c r="B604" s="3"/>
      <c r="C604" s="6"/>
      <c r="D604" s="6"/>
      <c r="E604" s="6"/>
      <c r="F604" s="6"/>
    </row>
    <row r="605">
      <c r="B605" s="3"/>
      <c r="C605" s="6"/>
      <c r="D605" s="6"/>
      <c r="E605" s="6"/>
      <c r="F605" s="6"/>
    </row>
    <row r="606">
      <c r="B606" s="3"/>
      <c r="C606" s="6"/>
      <c r="D606" s="6"/>
      <c r="E606" s="6"/>
      <c r="F606" s="6"/>
    </row>
    <row r="607">
      <c r="B607" s="3"/>
      <c r="C607" s="6"/>
      <c r="D607" s="6"/>
      <c r="E607" s="6"/>
      <c r="F607" s="6"/>
    </row>
    <row r="608">
      <c r="B608" s="3"/>
      <c r="C608" s="6"/>
      <c r="D608" s="6"/>
      <c r="E608" s="6"/>
      <c r="F608" s="6"/>
    </row>
    <row r="609">
      <c r="B609" s="3"/>
      <c r="C609" s="6"/>
      <c r="D609" s="6"/>
      <c r="E609" s="6"/>
      <c r="F609" s="6"/>
    </row>
    <row r="610">
      <c r="B610" s="3"/>
      <c r="C610" s="6"/>
      <c r="D610" s="6"/>
      <c r="E610" s="6"/>
      <c r="F610" s="6"/>
    </row>
    <row r="611">
      <c r="B611" s="3"/>
      <c r="C611" s="6"/>
      <c r="D611" s="6"/>
      <c r="E611" s="6"/>
      <c r="F611" s="6"/>
    </row>
    <row r="612">
      <c r="B612" s="3"/>
      <c r="C612" s="6"/>
      <c r="D612" s="6"/>
      <c r="E612" s="6"/>
      <c r="F612" s="6"/>
    </row>
    <row r="613">
      <c r="B613" s="3"/>
      <c r="C613" s="6"/>
      <c r="D613" s="6"/>
      <c r="E613" s="6"/>
      <c r="F613" s="6"/>
    </row>
    <row r="614">
      <c r="B614" s="3"/>
      <c r="C614" s="6"/>
      <c r="D614" s="6"/>
      <c r="E614" s="6"/>
      <c r="F614" s="6"/>
    </row>
    <row r="615">
      <c r="B615" s="3"/>
      <c r="C615" s="6"/>
      <c r="D615" s="6"/>
      <c r="E615" s="6"/>
      <c r="F615" s="6"/>
    </row>
    <row r="616">
      <c r="B616" s="3"/>
      <c r="C616" s="6"/>
      <c r="D616" s="6"/>
      <c r="E616" s="6"/>
      <c r="F616" s="6"/>
    </row>
    <row r="617">
      <c r="B617" s="3"/>
      <c r="C617" s="6"/>
      <c r="D617" s="6"/>
      <c r="E617" s="6"/>
      <c r="F617" s="6"/>
    </row>
    <row r="618">
      <c r="B618" s="3"/>
      <c r="C618" s="6"/>
      <c r="D618" s="6"/>
      <c r="E618" s="6"/>
      <c r="F618" s="6"/>
    </row>
    <row r="619">
      <c r="B619" s="3"/>
      <c r="C619" s="6"/>
      <c r="D619" s="6"/>
      <c r="E619" s="6"/>
      <c r="F619" s="6"/>
    </row>
    <row r="620">
      <c r="B620" s="3"/>
      <c r="C620" s="6"/>
      <c r="D620" s="6"/>
      <c r="E620" s="6"/>
      <c r="F620" s="6"/>
    </row>
    <row r="621">
      <c r="B621" s="3"/>
      <c r="C621" s="6"/>
      <c r="D621" s="6"/>
      <c r="E621" s="6"/>
      <c r="F621" s="6"/>
    </row>
    <row r="622">
      <c r="B622" s="3"/>
      <c r="C622" s="6"/>
      <c r="D622" s="6"/>
      <c r="E622" s="6"/>
      <c r="F622" s="6"/>
    </row>
    <row r="623">
      <c r="B623" s="3"/>
      <c r="C623" s="6"/>
      <c r="D623" s="6"/>
      <c r="E623" s="6"/>
      <c r="F623" s="6"/>
    </row>
    <row r="624">
      <c r="B624" s="3"/>
      <c r="C624" s="6"/>
      <c r="D624" s="6"/>
      <c r="E624" s="6"/>
      <c r="F624" s="6"/>
    </row>
    <row r="625">
      <c r="B625" s="3"/>
      <c r="C625" s="6"/>
      <c r="D625" s="6"/>
      <c r="E625" s="6"/>
      <c r="F625" s="6"/>
    </row>
    <row r="626">
      <c r="B626" s="3"/>
      <c r="C626" s="6"/>
      <c r="D626" s="6"/>
      <c r="E626" s="6"/>
      <c r="F626" s="6"/>
    </row>
    <row r="627">
      <c r="B627" s="3"/>
      <c r="C627" s="6"/>
      <c r="D627" s="6"/>
      <c r="E627" s="6"/>
      <c r="F627" s="6"/>
    </row>
    <row r="628">
      <c r="B628" s="3"/>
      <c r="C628" s="6"/>
      <c r="D628" s="6"/>
      <c r="E628" s="6"/>
      <c r="F628" s="6"/>
    </row>
    <row r="629">
      <c r="B629" s="3"/>
      <c r="C629" s="6"/>
      <c r="D629" s="6"/>
      <c r="E629" s="6"/>
      <c r="F629" s="6"/>
    </row>
    <row r="630">
      <c r="B630" s="3"/>
      <c r="C630" s="6"/>
      <c r="D630" s="6"/>
      <c r="E630" s="6"/>
      <c r="F630" s="6"/>
    </row>
    <row r="631">
      <c r="B631" s="3"/>
      <c r="C631" s="6"/>
      <c r="D631" s="6"/>
      <c r="E631" s="6"/>
      <c r="F631" s="6"/>
    </row>
    <row r="632">
      <c r="B632" s="3"/>
      <c r="C632" s="6"/>
      <c r="D632" s="6"/>
      <c r="E632" s="6"/>
      <c r="F632" s="6"/>
    </row>
    <row r="633">
      <c r="B633" s="3"/>
      <c r="C633" s="6"/>
      <c r="D633" s="6"/>
      <c r="E633" s="6"/>
      <c r="F633" s="6"/>
    </row>
    <row r="634">
      <c r="B634" s="3"/>
      <c r="C634" s="6"/>
      <c r="D634" s="6"/>
      <c r="E634" s="6"/>
      <c r="F634" s="6"/>
    </row>
    <row r="635">
      <c r="B635" s="3"/>
      <c r="C635" s="6"/>
      <c r="D635" s="6"/>
      <c r="E635" s="6"/>
      <c r="F635" s="6"/>
    </row>
    <row r="636">
      <c r="B636" s="3"/>
      <c r="C636" s="6"/>
      <c r="D636" s="6"/>
      <c r="E636" s="6"/>
      <c r="F636" s="6"/>
    </row>
    <row r="637">
      <c r="B637" s="3"/>
      <c r="C637" s="6"/>
      <c r="D637" s="6"/>
      <c r="E637" s="6"/>
      <c r="F637" s="6"/>
    </row>
    <row r="638">
      <c r="B638" s="3"/>
      <c r="C638" s="6"/>
      <c r="D638" s="6"/>
      <c r="E638" s="6"/>
      <c r="F638" s="6"/>
    </row>
    <row r="639">
      <c r="B639" s="3"/>
      <c r="C639" s="6"/>
      <c r="D639" s="6"/>
      <c r="E639" s="6"/>
      <c r="F639" s="6"/>
    </row>
    <row r="640">
      <c r="B640" s="3"/>
      <c r="C640" s="6"/>
      <c r="D640" s="6"/>
      <c r="E640" s="6"/>
      <c r="F640" s="6"/>
    </row>
    <row r="641">
      <c r="B641" s="3"/>
      <c r="C641" s="6"/>
      <c r="D641" s="6"/>
      <c r="E641" s="6"/>
      <c r="F641" s="6"/>
    </row>
    <row r="642">
      <c r="B642" s="3"/>
      <c r="C642" s="6"/>
      <c r="D642" s="6"/>
      <c r="E642" s="6"/>
      <c r="F642" s="6"/>
    </row>
    <row r="643">
      <c r="B643" s="3"/>
      <c r="C643" s="6"/>
      <c r="D643" s="6"/>
      <c r="E643" s="6"/>
      <c r="F643" s="6"/>
    </row>
    <row r="644">
      <c r="B644" s="3"/>
      <c r="C644" s="6"/>
      <c r="D644" s="6"/>
      <c r="E644" s="6"/>
      <c r="F644" s="6"/>
    </row>
    <row r="645">
      <c r="B645" s="3"/>
      <c r="C645" s="6"/>
      <c r="D645" s="6"/>
      <c r="E645" s="6"/>
      <c r="F645" s="6"/>
    </row>
    <row r="646">
      <c r="B646" s="3"/>
      <c r="C646" s="6"/>
      <c r="D646" s="6"/>
      <c r="E646" s="6"/>
      <c r="F646" s="6"/>
    </row>
    <row r="647">
      <c r="B647" s="3"/>
      <c r="C647" s="6"/>
      <c r="D647" s="6"/>
      <c r="E647" s="6"/>
      <c r="F647" s="6"/>
    </row>
    <row r="648">
      <c r="B648" s="3"/>
      <c r="C648" s="6"/>
      <c r="D648" s="6"/>
      <c r="E648" s="6"/>
      <c r="F648" s="6"/>
    </row>
    <row r="649">
      <c r="B649" s="3"/>
      <c r="C649" s="6"/>
      <c r="D649" s="6"/>
      <c r="E649" s="6"/>
      <c r="F649" s="6"/>
    </row>
    <row r="650">
      <c r="B650" s="3"/>
      <c r="C650" s="6"/>
      <c r="D650" s="6"/>
      <c r="E650" s="6"/>
      <c r="F650" s="6"/>
    </row>
    <row r="651">
      <c r="B651" s="3"/>
      <c r="C651" s="6"/>
      <c r="D651" s="6"/>
      <c r="E651" s="6"/>
      <c r="F651" s="6"/>
    </row>
    <row r="652">
      <c r="B652" s="3"/>
      <c r="C652" s="6"/>
      <c r="D652" s="6"/>
      <c r="E652" s="6"/>
      <c r="F652" s="6"/>
    </row>
    <row r="653">
      <c r="B653" s="3"/>
      <c r="C653" s="6"/>
      <c r="D653" s="6"/>
      <c r="E653" s="6"/>
      <c r="F653" s="6"/>
    </row>
    <row r="654">
      <c r="B654" s="3"/>
      <c r="C654" s="6"/>
      <c r="D654" s="6"/>
      <c r="E654" s="6"/>
      <c r="F654" s="6"/>
    </row>
    <row r="655">
      <c r="B655" s="3"/>
      <c r="C655" s="6"/>
      <c r="D655" s="6"/>
      <c r="E655" s="6"/>
      <c r="F655" s="6"/>
    </row>
    <row r="656">
      <c r="B656" s="3"/>
      <c r="C656" s="6"/>
      <c r="D656" s="6"/>
      <c r="E656" s="6"/>
      <c r="F656" s="6"/>
    </row>
    <row r="657">
      <c r="B657" s="3"/>
      <c r="C657" s="6"/>
      <c r="D657" s="6"/>
      <c r="E657" s="6"/>
      <c r="F657" s="6"/>
    </row>
    <row r="658">
      <c r="B658" s="3"/>
      <c r="C658" s="6"/>
      <c r="D658" s="6"/>
      <c r="E658" s="6"/>
      <c r="F658" s="6"/>
    </row>
    <row r="659">
      <c r="B659" s="3"/>
      <c r="C659" s="6"/>
      <c r="D659" s="6"/>
      <c r="E659" s="6"/>
      <c r="F659" s="6"/>
    </row>
    <row r="660">
      <c r="B660" s="3"/>
      <c r="C660" s="6"/>
      <c r="D660" s="6"/>
      <c r="E660" s="6"/>
      <c r="F660" s="6"/>
    </row>
    <row r="661">
      <c r="B661" s="3"/>
      <c r="C661" s="6"/>
      <c r="D661" s="6"/>
      <c r="E661" s="6"/>
      <c r="F661" s="6"/>
    </row>
    <row r="662">
      <c r="B662" s="3"/>
      <c r="C662" s="6"/>
      <c r="D662" s="6"/>
      <c r="E662" s="6"/>
      <c r="F662" s="6"/>
    </row>
    <row r="663">
      <c r="B663" s="3"/>
      <c r="C663" s="6"/>
      <c r="D663" s="6"/>
      <c r="E663" s="6"/>
      <c r="F663" s="6"/>
    </row>
    <row r="664">
      <c r="B664" s="3"/>
      <c r="C664" s="6"/>
      <c r="D664" s="6"/>
      <c r="E664" s="6"/>
      <c r="F664" s="6"/>
    </row>
    <row r="665">
      <c r="B665" s="3"/>
      <c r="C665" s="6"/>
      <c r="D665" s="6"/>
      <c r="E665" s="6"/>
      <c r="F665" s="6"/>
    </row>
    <row r="666">
      <c r="B666" s="3"/>
      <c r="C666" s="6"/>
      <c r="D666" s="6"/>
      <c r="E666" s="6"/>
      <c r="F666" s="6"/>
    </row>
    <row r="667">
      <c r="B667" s="3"/>
      <c r="C667" s="6"/>
      <c r="D667" s="6"/>
      <c r="E667" s="6"/>
      <c r="F667" s="6"/>
    </row>
    <row r="668">
      <c r="B668" s="3"/>
      <c r="C668" s="6"/>
      <c r="D668" s="6"/>
      <c r="E668" s="6"/>
      <c r="F668" s="6"/>
    </row>
    <row r="669">
      <c r="B669" s="3"/>
      <c r="C669" s="6"/>
      <c r="D669" s="6"/>
      <c r="E669" s="6"/>
      <c r="F669" s="6"/>
    </row>
    <row r="670">
      <c r="B670" s="3"/>
      <c r="C670" s="6"/>
      <c r="D670" s="6"/>
      <c r="E670" s="6"/>
      <c r="F670" s="6"/>
    </row>
    <row r="671">
      <c r="B671" s="3"/>
      <c r="C671" s="6"/>
      <c r="D671" s="6"/>
      <c r="E671" s="6"/>
      <c r="F671" s="6"/>
    </row>
    <row r="672">
      <c r="B672" s="3"/>
      <c r="C672" s="6"/>
      <c r="D672" s="6"/>
      <c r="E672" s="6"/>
      <c r="F672" s="6"/>
    </row>
    <row r="673">
      <c r="B673" s="3"/>
      <c r="C673" s="6"/>
      <c r="D673" s="6"/>
      <c r="E673" s="6"/>
      <c r="F673" s="6"/>
    </row>
    <row r="674">
      <c r="B674" s="3"/>
      <c r="C674" s="6"/>
      <c r="D674" s="6"/>
      <c r="E674" s="6"/>
      <c r="F674" s="6"/>
    </row>
    <row r="675">
      <c r="B675" s="3"/>
      <c r="C675" s="6"/>
      <c r="D675" s="6"/>
      <c r="E675" s="6"/>
      <c r="F675" s="6"/>
    </row>
    <row r="676">
      <c r="B676" s="3"/>
      <c r="C676" s="6"/>
      <c r="D676" s="6"/>
      <c r="E676" s="6"/>
      <c r="F676" s="6"/>
    </row>
    <row r="677">
      <c r="B677" s="3"/>
      <c r="C677" s="6"/>
      <c r="D677" s="6"/>
      <c r="E677" s="6"/>
      <c r="F677" s="6"/>
    </row>
    <row r="678">
      <c r="B678" s="3"/>
      <c r="C678" s="6"/>
      <c r="D678" s="6"/>
      <c r="E678" s="6"/>
      <c r="F678" s="6"/>
    </row>
    <row r="679">
      <c r="B679" s="3"/>
      <c r="C679" s="6"/>
      <c r="D679" s="6"/>
      <c r="E679" s="6"/>
      <c r="F679" s="6"/>
    </row>
    <row r="680">
      <c r="B680" s="3"/>
      <c r="C680" s="6"/>
      <c r="D680" s="6"/>
      <c r="E680" s="6"/>
      <c r="F680" s="6"/>
    </row>
    <row r="681">
      <c r="B681" s="3"/>
      <c r="C681" s="6"/>
      <c r="D681" s="6"/>
      <c r="E681" s="6"/>
      <c r="F681" s="6"/>
    </row>
    <row r="682">
      <c r="B682" s="3"/>
      <c r="C682" s="6"/>
      <c r="D682" s="6"/>
      <c r="E682" s="6"/>
      <c r="F682" s="6"/>
    </row>
    <row r="683">
      <c r="B683" s="3"/>
      <c r="C683" s="6"/>
      <c r="D683" s="6"/>
      <c r="E683" s="6"/>
      <c r="F683" s="6"/>
    </row>
    <row r="684">
      <c r="B684" s="3"/>
      <c r="C684" s="6"/>
      <c r="D684" s="6"/>
      <c r="E684" s="6"/>
      <c r="F684" s="6"/>
    </row>
    <row r="685">
      <c r="B685" s="3"/>
      <c r="C685" s="6"/>
      <c r="D685" s="6"/>
      <c r="E685" s="6"/>
      <c r="F685" s="6"/>
    </row>
    <row r="686">
      <c r="B686" s="3"/>
      <c r="C686" s="6"/>
      <c r="D686" s="6"/>
      <c r="E686" s="6"/>
      <c r="F686" s="6"/>
    </row>
    <row r="687">
      <c r="B687" s="3"/>
      <c r="C687" s="6"/>
      <c r="D687" s="6"/>
      <c r="E687" s="6"/>
      <c r="F687" s="6"/>
    </row>
    <row r="688">
      <c r="B688" s="3"/>
      <c r="C688" s="6"/>
      <c r="D688" s="6"/>
      <c r="E688" s="6"/>
      <c r="F688" s="6"/>
    </row>
    <row r="689">
      <c r="B689" s="3"/>
      <c r="C689" s="6"/>
      <c r="D689" s="6"/>
      <c r="E689" s="6"/>
      <c r="F689" s="6"/>
    </row>
    <row r="690">
      <c r="B690" s="3"/>
      <c r="C690" s="6"/>
      <c r="D690" s="6"/>
      <c r="E690" s="6"/>
      <c r="F690" s="6"/>
    </row>
    <row r="691">
      <c r="B691" s="3"/>
      <c r="C691" s="6"/>
      <c r="D691" s="6"/>
      <c r="E691" s="6"/>
      <c r="F691" s="6"/>
    </row>
    <row r="692">
      <c r="B692" s="3"/>
      <c r="C692" s="6"/>
      <c r="D692" s="6"/>
      <c r="E692" s="6"/>
      <c r="F692" s="6"/>
    </row>
    <row r="693">
      <c r="B693" s="3"/>
      <c r="C693" s="6"/>
      <c r="D693" s="6"/>
      <c r="E693" s="6"/>
      <c r="F693" s="6"/>
    </row>
    <row r="694">
      <c r="B694" s="3"/>
      <c r="C694" s="6"/>
      <c r="D694" s="6"/>
      <c r="E694" s="6"/>
      <c r="F694" s="6"/>
    </row>
    <row r="695">
      <c r="B695" s="3"/>
      <c r="C695" s="6"/>
      <c r="D695" s="6"/>
      <c r="E695" s="6"/>
      <c r="F695" s="6"/>
    </row>
    <row r="696">
      <c r="B696" s="3"/>
      <c r="C696" s="6"/>
      <c r="D696" s="6"/>
      <c r="E696" s="6"/>
      <c r="F696" s="6"/>
    </row>
    <row r="697">
      <c r="B697" s="3"/>
      <c r="C697" s="6"/>
      <c r="D697" s="6"/>
      <c r="E697" s="6"/>
      <c r="F697" s="6"/>
    </row>
    <row r="698">
      <c r="B698" s="3"/>
      <c r="C698" s="6"/>
      <c r="D698" s="6"/>
      <c r="E698" s="6"/>
      <c r="F698" s="6"/>
    </row>
    <row r="699">
      <c r="B699" s="3"/>
      <c r="C699" s="6"/>
      <c r="D699" s="6"/>
      <c r="E699" s="6"/>
      <c r="F699" s="6"/>
    </row>
    <row r="700">
      <c r="B700" s="3"/>
      <c r="C700" s="6"/>
      <c r="D700" s="6"/>
      <c r="E700" s="6"/>
      <c r="F700" s="6"/>
    </row>
    <row r="701">
      <c r="B701" s="3"/>
      <c r="C701" s="6"/>
      <c r="D701" s="6"/>
      <c r="E701" s="6"/>
      <c r="F701" s="6"/>
    </row>
    <row r="702">
      <c r="B702" s="3"/>
      <c r="C702" s="6"/>
      <c r="D702" s="6"/>
      <c r="E702" s="6"/>
      <c r="F702" s="6"/>
    </row>
    <row r="703">
      <c r="B703" s="3"/>
      <c r="C703" s="6"/>
      <c r="D703" s="6"/>
      <c r="E703" s="6"/>
      <c r="F703" s="6"/>
    </row>
    <row r="704">
      <c r="B704" s="3"/>
      <c r="C704" s="6"/>
      <c r="D704" s="6"/>
      <c r="E704" s="6"/>
      <c r="F704" s="6"/>
    </row>
    <row r="705">
      <c r="B705" s="3"/>
      <c r="C705" s="6"/>
      <c r="D705" s="6"/>
      <c r="E705" s="6"/>
      <c r="F705" s="6"/>
    </row>
    <row r="706">
      <c r="B706" s="3"/>
      <c r="C706" s="6"/>
      <c r="D706" s="6"/>
      <c r="E706" s="6"/>
      <c r="F706" s="6"/>
    </row>
    <row r="707">
      <c r="B707" s="3"/>
      <c r="C707" s="6"/>
      <c r="D707" s="6"/>
      <c r="E707" s="6"/>
      <c r="F707" s="6"/>
    </row>
    <row r="708">
      <c r="B708" s="3"/>
      <c r="C708" s="6"/>
      <c r="D708" s="6"/>
      <c r="E708" s="6"/>
      <c r="F708" s="6"/>
    </row>
    <row r="709">
      <c r="B709" s="3"/>
      <c r="C709" s="6"/>
      <c r="D709" s="6"/>
      <c r="E709" s="6"/>
      <c r="F709" s="6"/>
    </row>
    <row r="710">
      <c r="B710" s="3"/>
      <c r="C710" s="6"/>
      <c r="D710" s="6"/>
      <c r="E710" s="6"/>
      <c r="F710" s="6"/>
    </row>
    <row r="711">
      <c r="B711" s="3"/>
      <c r="C711" s="6"/>
      <c r="D711" s="6"/>
      <c r="E711" s="6"/>
      <c r="F711" s="6"/>
    </row>
    <row r="712">
      <c r="B712" s="3"/>
      <c r="C712" s="6"/>
      <c r="D712" s="6"/>
      <c r="E712" s="6"/>
      <c r="F712" s="6"/>
    </row>
    <row r="713">
      <c r="B713" s="3"/>
      <c r="C713" s="6"/>
      <c r="D713" s="6"/>
      <c r="E713" s="6"/>
      <c r="F713" s="6"/>
    </row>
    <row r="714">
      <c r="B714" s="3"/>
      <c r="C714" s="6"/>
      <c r="D714" s="6"/>
      <c r="E714" s="6"/>
      <c r="F714" s="6"/>
    </row>
    <row r="715">
      <c r="B715" s="3"/>
      <c r="C715" s="6"/>
      <c r="D715" s="6"/>
      <c r="E715" s="6"/>
      <c r="F715" s="6"/>
    </row>
    <row r="716">
      <c r="B716" s="3"/>
      <c r="C716" s="6"/>
      <c r="D716" s="6"/>
      <c r="E716" s="6"/>
      <c r="F716" s="6"/>
    </row>
    <row r="717">
      <c r="B717" s="3"/>
      <c r="C717" s="6"/>
      <c r="D717" s="6"/>
      <c r="E717" s="6"/>
      <c r="F717" s="6"/>
    </row>
    <row r="718">
      <c r="B718" s="3"/>
      <c r="C718" s="6"/>
      <c r="D718" s="6"/>
      <c r="E718" s="6"/>
      <c r="F718" s="6"/>
    </row>
    <row r="719">
      <c r="B719" s="3"/>
      <c r="C719" s="6"/>
      <c r="D719" s="6"/>
      <c r="E719" s="6"/>
      <c r="F719" s="6"/>
    </row>
    <row r="720">
      <c r="B720" s="3"/>
      <c r="C720" s="6"/>
      <c r="D720" s="6"/>
      <c r="E720" s="6"/>
      <c r="F720" s="6"/>
    </row>
    <row r="721">
      <c r="B721" s="3"/>
      <c r="C721" s="6"/>
      <c r="D721" s="6"/>
      <c r="E721" s="6"/>
      <c r="F721" s="6"/>
    </row>
    <row r="722">
      <c r="B722" s="3"/>
      <c r="C722" s="6"/>
      <c r="D722" s="6"/>
      <c r="E722" s="6"/>
      <c r="F722" s="6"/>
    </row>
    <row r="723">
      <c r="B723" s="3"/>
      <c r="C723" s="6"/>
      <c r="D723" s="6"/>
      <c r="E723" s="6"/>
      <c r="F723" s="6"/>
    </row>
    <row r="724">
      <c r="B724" s="3"/>
      <c r="C724" s="6"/>
      <c r="D724" s="6"/>
      <c r="E724" s="6"/>
      <c r="F724" s="6"/>
    </row>
    <row r="725">
      <c r="B725" s="3"/>
      <c r="C725" s="6"/>
      <c r="D725" s="6"/>
      <c r="E725" s="6"/>
      <c r="F725" s="6"/>
    </row>
    <row r="726">
      <c r="B726" s="3"/>
      <c r="C726" s="6"/>
      <c r="D726" s="6"/>
      <c r="E726" s="6"/>
      <c r="F726" s="6"/>
    </row>
    <row r="727">
      <c r="B727" s="3"/>
      <c r="C727" s="6"/>
      <c r="D727" s="6"/>
      <c r="E727" s="6"/>
      <c r="F727" s="6"/>
    </row>
    <row r="728">
      <c r="B728" s="3"/>
      <c r="C728" s="6"/>
      <c r="D728" s="6"/>
      <c r="E728" s="6"/>
      <c r="F728" s="6"/>
    </row>
    <row r="729">
      <c r="B729" s="3"/>
      <c r="C729" s="6"/>
      <c r="D729" s="6"/>
      <c r="E729" s="6"/>
      <c r="F729" s="6"/>
    </row>
    <row r="730">
      <c r="B730" s="3"/>
      <c r="C730" s="6"/>
      <c r="D730" s="6"/>
      <c r="E730" s="6"/>
      <c r="F730" s="6"/>
    </row>
    <row r="731">
      <c r="B731" s="3"/>
      <c r="C731" s="6"/>
      <c r="D731" s="6"/>
      <c r="E731" s="6"/>
      <c r="F731" s="6"/>
    </row>
    <row r="732">
      <c r="B732" s="3"/>
      <c r="C732" s="6"/>
      <c r="D732" s="6"/>
      <c r="E732" s="6"/>
      <c r="F732" s="6"/>
    </row>
    <row r="733">
      <c r="B733" s="3"/>
      <c r="C733" s="6"/>
      <c r="D733" s="6"/>
      <c r="E733" s="6"/>
      <c r="F733" s="6"/>
    </row>
    <row r="734">
      <c r="B734" s="3"/>
      <c r="C734" s="6"/>
      <c r="D734" s="6"/>
      <c r="E734" s="6"/>
      <c r="F734" s="6"/>
    </row>
    <row r="735">
      <c r="B735" s="3"/>
      <c r="C735" s="6"/>
      <c r="D735" s="6"/>
      <c r="E735" s="6"/>
      <c r="F735" s="6"/>
    </row>
    <row r="736">
      <c r="B736" s="3"/>
      <c r="C736" s="6"/>
      <c r="D736" s="6"/>
      <c r="E736" s="6"/>
      <c r="F736" s="6"/>
    </row>
    <row r="737">
      <c r="B737" s="3"/>
      <c r="C737" s="6"/>
      <c r="D737" s="6"/>
      <c r="E737" s="6"/>
      <c r="F737" s="6"/>
    </row>
    <row r="738">
      <c r="B738" s="3"/>
      <c r="C738" s="6"/>
      <c r="D738" s="6"/>
      <c r="E738" s="6"/>
      <c r="F738" s="6"/>
    </row>
    <row r="739">
      <c r="B739" s="3"/>
      <c r="C739" s="6"/>
      <c r="D739" s="6"/>
      <c r="E739" s="6"/>
      <c r="F739" s="6"/>
    </row>
    <row r="740">
      <c r="B740" s="3"/>
      <c r="C740" s="6"/>
      <c r="D740" s="6"/>
      <c r="E740" s="6"/>
      <c r="F740" s="6"/>
    </row>
    <row r="741">
      <c r="B741" s="3"/>
      <c r="C741" s="6"/>
      <c r="D741" s="6"/>
      <c r="E741" s="6"/>
      <c r="F741" s="6"/>
    </row>
    <row r="742">
      <c r="B742" s="3"/>
      <c r="C742" s="6"/>
      <c r="D742" s="6"/>
      <c r="E742" s="6"/>
      <c r="F742" s="6"/>
    </row>
    <row r="743">
      <c r="B743" s="3"/>
      <c r="C743" s="6"/>
      <c r="D743" s="6"/>
      <c r="E743" s="6"/>
      <c r="F743" s="6"/>
    </row>
    <row r="744">
      <c r="B744" s="3"/>
      <c r="C744" s="6"/>
      <c r="D744" s="6"/>
      <c r="E744" s="6"/>
      <c r="F744" s="6"/>
    </row>
    <row r="745">
      <c r="B745" s="3"/>
      <c r="C745" s="6"/>
      <c r="D745" s="6"/>
      <c r="E745" s="6"/>
      <c r="F745" s="6"/>
    </row>
    <row r="746">
      <c r="B746" s="3"/>
      <c r="C746" s="6"/>
      <c r="D746" s="6"/>
      <c r="E746" s="6"/>
      <c r="F746" s="6"/>
    </row>
    <row r="747">
      <c r="B747" s="3"/>
      <c r="C747" s="6"/>
      <c r="D747" s="6"/>
      <c r="E747" s="6"/>
      <c r="F747" s="6"/>
    </row>
    <row r="748">
      <c r="B748" s="3"/>
      <c r="C748" s="6"/>
      <c r="D748" s="6"/>
      <c r="E748" s="6"/>
      <c r="F748" s="6"/>
    </row>
    <row r="749">
      <c r="B749" s="3"/>
      <c r="C749" s="6"/>
      <c r="D749" s="6"/>
      <c r="E749" s="6"/>
      <c r="F749" s="6"/>
    </row>
    <row r="750">
      <c r="B750" s="3"/>
      <c r="C750" s="6"/>
      <c r="D750" s="6"/>
      <c r="E750" s="6"/>
      <c r="F750" s="6"/>
    </row>
    <row r="751">
      <c r="B751" s="3"/>
      <c r="C751" s="6"/>
      <c r="D751" s="6"/>
      <c r="E751" s="6"/>
      <c r="F751" s="6"/>
    </row>
    <row r="752">
      <c r="B752" s="3"/>
      <c r="C752" s="6"/>
      <c r="D752" s="6"/>
      <c r="E752" s="6"/>
      <c r="F752" s="6"/>
    </row>
    <row r="753">
      <c r="B753" s="3"/>
      <c r="C753" s="6"/>
      <c r="D753" s="6"/>
      <c r="E753" s="6"/>
      <c r="F753" s="6"/>
    </row>
    <row r="754">
      <c r="B754" s="3"/>
      <c r="C754" s="6"/>
      <c r="D754" s="6"/>
      <c r="E754" s="6"/>
      <c r="F754" s="6"/>
    </row>
    <row r="755">
      <c r="B755" s="3"/>
      <c r="C755" s="6"/>
      <c r="D755" s="6"/>
      <c r="E755" s="6"/>
      <c r="F755" s="6"/>
    </row>
    <row r="756">
      <c r="B756" s="3"/>
      <c r="C756" s="6"/>
      <c r="D756" s="6"/>
      <c r="E756" s="6"/>
      <c r="F756" s="6"/>
    </row>
    <row r="757">
      <c r="B757" s="3"/>
      <c r="C757" s="6"/>
      <c r="D757" s="6"/>
      <c r="E757" s="6"/>
      <c r="F757" s="6"/>
    </row>
    <row r="758">
      <c r="B758" s="3"/>
      <c r="C758" s="6"/>
      <c r="D758" s="6"/>
      <c r="E758" s="6"/>
      <c r="F758" s="6"/>
    </row>
    <row r="759">
      <c r="B759" s="3"/>
      <c r="C759" s="6"/>
      <c r="D759" s="6"/>
      <c r="E759" s="6"/>
      <c r="F759" s="6"/>
    </row>
    <row r="760">
      <c r="B760" s="3"/>
      <c r="C760" s="6"/>
      <c r="D760" s="6"/>
      <c r="E760" s="6"/>
      <c r="F760" s="6"/>
    </row>
    <row r="761">
      <c r="B761" s="3"/>
      <c r="C761" s="6"/>
      <c r="D761" s="6"/>
      <c r="E761" s="6"/>
      <c r="F761" s="6"/>
    </row>
    <row r="762">
      <c r="B762" s="3"/>
      <c r="C762" s="6"/>
      <c r="D762" s="6"/>
      <c r="E762" s="6"/>
      <c r="F762" s="6"/>
    </row>
    <row r="763">
      <c r="B763" s="3"/>
      <c r="C763" s="6"/>
      <c r="D763" s="6"/>
      <c r="E763" s="6"/>
      <c r="F763" s="6"/>
    </row>
    <row r="764">
      <c r="B764" s="3"/>
      <c r="C764" s="6"/>
      <c r="D764" s="6"/>
      <c r="E764" s="6"/>
      <c r="F764" s="6"/>
    </row>
    <row r="765">
      <c r="B765" s="3"/>
      <c r="C765" s="6"/>
      <c r="D765" s="6"/>
      <c r="E765" s="6"/>
      <c r="F765" s="6"/>
    </row>
    <row r="766">
      <c r="B766" s="3"/>
      <c r="C766" s="6"/>
      <c r="D766" s="6"/>
      <c r="E766" s="6"/>
      <c r="F766" s="6"/>
    </row>
    <row r="767">
      <c r="B767" s="3"/>
      <c r="C767" s="6"/>
      <c r="D767" s="6"/>
      <c r="E767" s="6"/>
      <c r="F767" s="6"/>
    </row>
    <row r="768">
      <c r="B768" s="3"/>
      <c r="C768" s="6"/>
      <c r="D768" s="6"/>
      <c r="E768" s="6"/>
      <c r="F768" s="6"/>
    </row>
    <row r="769">
      <c r="B769" s="3"/>
      <c r="C769" s="6"/>
      <c r="D769" s="6"/>
      <c r="E769" s="6"/>
      <c r="F769" s="6"/>
    </row>
    <row r="770">
      <c r="B770" s="3"/>
      <c r="C770" s="6"/>
      <c r="D770" s="6"/>
      <c r="E770" s="6"/>
      <c r="F770" s="6"/>
    </row>
    <row r="771">
      <c r="B771" s="3"/>
      <c r="C771" s="6"/>
      <c r="D771" s="6"/>
      <c r="E771" s="6"/>
      <c r="F771" s="6"/>
    </row>
    <row r="772">
      <c r="B772" s="3"/>
      <c r="C772" s="6"/>
      <c r="D772" s="6"/>
      <c r="E772" s="6"/>
      <c r="F772" s="6"/>
    </row>
    <row r="773">
      <c r="B773" s="3"/>
      <c r="C773" s="6"/>
      <c r="D773" s="6"/>
      <c r="E773" s="6"/>
      <c r="F773" s="6"/>
    </row>
    <row r="774">
      <c r="B774" s="3"/>
      <c r="C774" s="6"/>
      <c r="D774" s="6"/>
      <c r="E774" s="6"/>
      <c r="F774" s="6"/>
    </row>
    <row r="775">
      <c r="B775" s="3"/>
      <c r="C775" s="6"/>
      <c r="D775" s="6"/>
      <c r="E775" s="6"/>
      <c r="F775" s="6"/>
    </row>
    <row r="776">
      <c r="B776" s="3"/>
      <c r="C776" s="6"/>
      <c r="D776" s="6"/>
      <c r="E776" s="6"/>
      <c r="F776" s="6"/>
    </row>
    <row r="777">
      <c r="B777" s="3"/>
      <c r="C777" s="6"/>
      <c r="D777" s="6"/>
      <c r="E777" s="6"/>
      <c r="F777" s="6"/>
    </row>
    <row r="778">
      <c r="B778" s="3"/>
      <c r="C778" s="6"/>
      <c r="D778" s="6"/>
      <c r="E778" s="6"/>
      <c r="F778" s="6"/>
    </row>
    <row r="779">
      <c r="B779" s="3"/>
      <c r="C779" s="6"/>
      <c r="D779" s="6"/>
      <c r="E779" s="6"/>
      <c r="F779" s="6"/>
    </row>
    <row r="780">
      <c r="B780" s="3"/>
      <c r="C780" s="6"/>
      <c r="D780" s="6"/>
      <c r="E780" s="6"/>
      <c r="F780" s="6"/>
    </row>
    <row r="781">
      <c r="B781" s="3"/>
      <c r="C781" s="6"/>
      <c r="D781" s="6"/>
      <c r="E781" s="6"/>
      <c r="F781" s="6"/>
    </row>
    <row r="782">
      <c r="B782" s="3"/>
      <c r="C782" s="6"/>
      <c r="D782" s="6"/>
      <c r="E782" s="6"/>
      <c r="F782" s="6"/>
    </row>
    <row r="783">
      <c r="B783" s="3"/>
      <c r="C783" s="6"/>
      <c r="D783" s="6"/>
      <c r="E783" s="6"/>
      <c r="F783" s="6"/>
    </row>
    <row r="784">
      <c r="B784" s="3"/>
      <c r="C784" s="6"/>
      <c r="D784" s="6"/>
      <c r="E784" s="6"/>
      <c r="F784" s="6"/>
    </row>
    <row r="785">
      <c r="B785" s="3"/>
      <c r="C785" s="6"/>
      <c r="D785" s="6"/>
      <c r="E785" s="6"/>
      <c r="F785" s="6"/>
    </row>
    <row r="786">
      <c r="B786" s="3"/>
      <c r="C786" s="6"/>
      <c r="D786" s="6"/>
      <c r="E786" s="6"/>
      <c r="F786" s="6"/>
    </row>
    <row r="787">
      <c r="B787" s="3"/>
      <c r="C787" s="6"/>
      <c r="D787" s="6"/>
      <c r="E787" s="6"/>
      <c r="F787" s="6"/>
    </row>
    <row r="788">
      <c r="B788" s="3"/>
      <c r="C788" s="6"/>
      <c r="D788" s="6"/>
      <c r="E788" s="6"/>
      <c r="F788" s="6"/>
    </row>
    <row r="789">
      <c r="B789" s="3"/>
      <c r="C789" s="6"/>
      <c r="D789" s="6"/>
      <c r="E789" s="6"/>
      <c r="F789" s="6"/>
    </row>
    <row r="790">
      <c r="B790" s="3"/>
      <c r="C790" s="6"/>
      <c r="D790" s="6"/>
      <c r="E790" s="6"/>
      <c r="F790" s="6"/>
    </row>
    <row r="791">
      <c r="B791" s="3"/>
      <c r="C791" s="6"/>
      <c r="D791" s="6"/>
      <c r="E791" s="6"/>
      <c r="F791" s="6"/>
    </row>
    <row r="792">
      <c r="B792" s="3"/>
      <c r="C792" s="6"/>
      <c r="D792" s="6"/>
      <c r="E792" s="6"/>
      <c r="F792" s="6"/>
    </row>
    <row r="793">
      <c r="B793" s="3"/>
      <c r="C793" s="6"/>
      <c r="D793" s="6"/>
      <c r="E793" s="6"/>
      <c r="F793" s="6"/>
    </row>
    <row r="794">
      <c r="B794" s="3"/>
      <c r="C794" s="6"/>
      <c r="D794" s="6"/>
      <c r="E794" s="6"/>
      <c r="F794" s="6"/>
    </row>
    <row r="795">
      <c r="B795" s="3"/>
      <c r="C795" s="6"/>
      <c r="D795" s="6"/>
      <c r="E795" s="6"/>
      <c r="F795" s="6"/>
    </row>
    <row r="796">
      <c r="B796" s="3"/>
      <c r="C796" s="6"/>
      <c r="D796" s="6"/>
      <c r="E796" s="6"/>
      <c r="F796" s="6"/>
    </row>
    <row r="797">
      <c r="B797" s="3"/>
      <c r="C797" s="6"/>
      <c r="D797" s="6"/>
      <c r="E797" s="6"/>
      <c r="F797" s="6"/>
    </row>
    <row r="798">
      <c r="B798" s="3"/>
      <c r="C798" s="6"/>
      <c r="D798" s="6"/>
      <c r="E798" s="6"/>
      <c r="F798" s="6"/>
    </row>
    <row r="799">
      <c r="B799" s="3"/>
      <c r="C799" s="6"/>
      <c r="D799" s="6"/>
      <c r="E799" s="6"/>
      <c r="F799" s="6"/>
    </row>
    <row r="800">
      <c r="B800" s="3"/>
      <c r="C800" s="6"/>
      <c r="D800" s="6"/>
      <c r="E800" s="6"/>
      <c r="F800" s="6"/>
    </row>
    <row r="801">
      <c r="B801" s="3"/>
      <c r="C801" s="6"/>
      <c r="D801" s="6"/>
      <c r="E801" s="6"/>
      <c r="F801" s="6"/>
    </row>
    <row r="802">
      <c r="B802" s="3"/>
      <c r="C802" s="6"/>
      <c r="D802" s="6"/>
      <c r="E802" s="6"/>
      <c r="F802" s="6"/>
    </row>
    <row r="803">
      <c r="B803" s="3"/>
      <c r="C803" s="6"/>
      <c r="D803" s="6"/>
      <c r="E803" s="6"/>
      <c r="F803" s="6"/>
    </row>
    <row r="804">
      <c r="B804" s="3"/>
      <c r="C804" s="6"/>
      <c r="D804" s="6"/>
      <c r="E804" s="6"/>
      <c r="F804" s="6"/>
    </row>
    <row r="805">
      <c r="B805" s="3"/>
      <c r="C805" s="6"/>
      <c r="D805" s="6"/>
      <c r="E805" s="6"/>
      <c r="F805" s="6"/>
    </row>
    <row r="806">
      <c r="B806" s="3"/>
      <c r="C806" s="6"/>
      <c r="D806" s="6"/>
      <c r="E806" s="6"/>
      <c r="F806" s="6"/>
    </row>
    <row r="807">
      <c r="B807" s="3"/>
      <c r="C807" s="6"/>
      <c r="D807" s="6"/>
      <c r="E807" s="6"/>
      <c r="F807" s="6"/>
    </row>
    <row r="808">
      <c r="B808" s="3"/>
      <c r="C808" s="6"/>
      <c r="D808" s="6"/>
      <c r="E808" s="6"/>
      <c r="F808" s="6"/>
    </row>
    <row r="809">
      <c r="B809" s="3"/>
      <c r="C809" s="6"/>
      <c r="D809" s="6"/>
      <c r="E809" s="6"/>
      <c r="F809" s="6"/>
    </row>
    <row r="810">
      <c r="B810" s="3"/>
      <c r="C810" s="6"/>
      <c r="D810" s="6"/>
      <c r="E810" s="6"/>
      <c r="F810" s="6"/>
    </row>
    <row r="811">
      <c r="B811" s="3"/>
      <c r="C811" s="6"/>
      <c r="D811" s="6"/>
      <c r="E811" s="6"/>
      <c r="F811" s="6"/>
    </row>
    <row r="812">
      <c r="B812" s="3"/>
      <c r="C812" s="6"/>
      <c r="D812" s="6"/>
      <c r="E812" s="6"/>
      <c r="F812" s="6"/>
    </row>
    <row r="813">
      <c r="B813" s="3"/>
      <c r="C813" s="6"/>
      <c r="D813" s="6"/>
      <c r="E813" s="6"/>
      <c r="F813" s="6"/>
    </row>
    <row r="814">
      <c r="B814" s="3"/>
      <c r="C814" s="6"/>
      <c r="D814" s="6"/>
      <c r="E814" s="6"/>
      <c r="F814" s="6"/>
    </row>
    <row r="815">
      <c r="B815" s="3"/>
      <c r="C815" s="6"/>
      <c r="D815" s="6"/>
      <c r="E815" s="6"/>
      <c r="F815" s="6"/>
    </row>
    <row r="816">
      <c r="B816" s="3"/>
      <c r="C816" s="6"/>
      <c r="D816" s="6"/>
      <c r="E816" s="6"/>
      <c r="F816" s="6"/>
    </row>
    <row r="817">
      <c r="B817" s="3"/>
      <c r="C817" s="6"/>
      <c r="D817" s="6"/>
      <c r="E817" s="6"/>
      <c r="F817" s="6"/>
    </row>
    <row r="818">
      <c r="B818" s="3"/>
      <c r="C818" s="6"/>
      <c r="D818" s="6"/>
      <c r="E818" s="6"/>
      <c r="F818" s="6"/>
    </row>
    <row r="819">
      <c r="B819" s="3"/>
      <c r="C819" s="6"/>
      <c r="D819" s="6"/>
      <c r="E819" s="6"/>
      <c r="F819" s="6"/>
    </row>
    <row r="820">
      <c r="B820" s="3"/>
      <c r="C820" s="6"/>
      <c r="D820" s="6"/>
      <c r="E820" s="6"/>
      <c r="F820" s="6"/>
    </row>
    <row r="821">
      <c r="B821" s="3"/>
      <c r="C821" s="6"/>
      <c r="D821" s="6"/>
      <c r="E821" s="6"/>
      <c r="F821" s="6"/>
    </row>
    <row r="822">
      <c r="B822" s="3"/>
      <c r="C822" s="6"/>
      <c r="D822" s="6"/>
      <c r="E822" s="6"/>
      <c r="F822" s="6"/>
    </row>
    <row r="823">
      <c r="B823" s="3"/>
      <c r="C823" s="6"/>
      <c r="D823" s="6"/>
      <c r="E823" s="6"/>
      <c r="F823" s="6"/>
    </row>
    <row r="824">
      <c r="B824" s="3"/>
      <c r="C824" s="6"/>
      <c r="D824" s="6"/>
      <c r="E824" s="6"/>
      <c r="F824" s="6"/>
    </row>
    <row r="825">
      <c r="B825" s="3"/>
      <c r="C825" s="6"/>
      <c r="D825" s="6"/>
      <c r="E825" s="6"/>
      <c r="F825" s="6"/>
    </row>
    <row r="826">
      <c r="B826" s="3"/>
      <c r="C826" s="6"/>
      <c r="D826" s="6"/>
      <c r="E826" s="6"/>
      <c r="F826" s="6"/>
    </row>
    <row r="827">
      <c r="B827" s="3"/>
      <c r="C827" s="6"/>
      <c r="D827" s="6"/>
      <c r="E827" s="6"/>
      <c r="F827" s="6"/>
    </row>
    <row r="828">
      <c r="B828" s="3"/>
      <c r="C828" s="6"/>
      <c r="D828" s="6"/>
      <c r="E828" s="6"/>
      <c r="F828" s="6"/>
    </row>
    <row r="829">
      <c r="B829" s="3"/>
      <c r="C829" s="6"/>
      <c r="D829" s="6"/>
      <c r="E829" s="6"/>
      <c r="F829" s="6"/>
    </row>
    <row r="830">
      <c r="B830" s="3"/>
      <c r="C830" s="6"/>
      <c r="D830" s="6"/>
      <c r="E830" s="6"/>
      <c r="F830" s="6"/>
    </row>
    <row r="831">
      <c r="B831" s="3"/>
      <c r="C831" s="6"/>
      <c r="D831" s="6"/>
      <c r="E831" s="6"/>
      <c r="F831" s="6"/>
    </row>
    <row r="832">
      <c r="B832" s="3"/>
      <c r="C832" s="6"/>
      <c r="D832" s="6"/>
      <c r="E832" s="6"/>
      <c r="F832" s="6"/>
    </row>
    <row r="833">
      <c r="B833" s="3"/>
      <c r="C833" s="6"/>
      <c r="D833" s="6"/>
      <c r="E833" s="6"/>
      <c r="F833" s="6"/>
    </row>
    <row r="834">
      <c r="B834" s="3"/>
      <c r="C834" s="6"/>
      <c r="D834" s="6"/>
      <c r="E834" s="6"/>
      <c r="F834" s="6"/>
    </row>
    <row r="835">
      <c r="B835" s="3"/>
      <c r="C835" s="6"/>
      <c r="D835" s="6"/>
      <c r="E835" s="6"/>
      <c r="F835" s="6"/>
    </row>
    <row r="836">
      <c r="B836" s="3"/>
      <c r="C836" s="6"/>
      <c r="D836" s="6"/>
      <c r="E836" s="6"/>
      <c r="F836" s="6"/>
    </row>
    <row r="837">
      <c r="B837" s="3"/>
      <c r="C837" s="6"/>
      <c r="D837" s="6"/>
      <c r="E837" s="6"/>
      <c r="F837" s="6"/>
    </row>
    <row r="838">
      <c r="B838" s="3"/>
      <c r="C838" s="6"/>
      <c r="D838" s="6"/>
      <c r="E838" s="6"/>
      <c r="F838" s="6"/>
    </row>
    <row r="839">
      <c r="B839" s="3"/>
      <c r="C839" s="6"/>
      <c r="D839" s="6"/>
      <c r="E839" s="6"/>
      <c r="F839" s="6"/>
    </row>
    <row r="840">
      <c r="B840" s="3"/>
      <c r="C840" s="6"/>
      <c r="D840" s="6"/>
      <c r="E840" s="6"/>
      <c r="F840" s="6"/>
    </row>
    <row r="841">
      <c r="B841" s="3"/>
      <c r="C841" s="6"/>
      <c r="D841" s="6"/>
      <c r="E841" s="6"/>
      <c r="F841" s="6"/>
    </row>
    <row r="842">
      <c r="B842" s="3"/>
      <c r="C842" s="6"/>
      <c r="D842" s="6"/>
      <c r="E842" s="6"/>
      <c r="F842" s="6"/>
    </row>
    <row r="843">
      <c r="B843" s="3"/>
      <c r="C843" s="6"/>
      <c r="D843" s="6"/>
      <c r="E843" s="6"/>
      <c r="F843" s="6"/>
    </row>
    <row r="844">
      <c r="B844" s="3"/>
      <c r="C844" s="6"/>
      <c r="D844" s="6"/>
      <c r="E844" s="6"/>
      <c r="F844" s="6"/>
    </row>
    <row r="845">
      <c r="B845" s="3"/>
      <c r="C845" s="6"/>
      <c r="D845" s="6"/>
      <c r="E845" s="6"/>
      <c r="F845" s="6"/>
    </row>
    <row r="846">
      <c r="B846" s="3"/>
      <c r="C846" s="6"/>
      <c r="D846" s="6"/>
      <c r="E846" s="6"/>
      <c r="F846" s="6"/>
    </row>
    <row r="847">
      <c r="B847" s="3"/>
      <c r="C847" s="6"/>
      <c r="D847" s="6"/>
      <c r="E847" s="6"/>
      <c r="F847" s="6"/>
    </row>
    <row r="848">
      <c r="B848" s="3"/>
      <c r="C848" s="6"/>
      <c r="D848" s="6"/>
      <c r="E848" s="6"/>
      <c r="F848" s="6"/>
    </row>
    <row r="849">
      <c r="B849" s="3"/>
      <c r="C849" s="6"/>
      <c r="D849" s="6"/>
      <c r="E849" s="6"/>
      <c r="F849" s="6"/>
    </row>
    <row r="850">
      <c r="B850" s="3"/>
      <c r="C850" s="6"/>
      <c r="D850" s="6"/>
      <c r="E850" s="6"/>
      <c r="F850" s="6"/>
    </row>
    <row r="851">
      <c r="B851" s="3"/>
      <c r="C851" s="6"/>
      <c r="D851" s="6"/>
      <c r="E851" s="6"/>
      <c r="F851" s="6"/>
    </row>
    <row r="852">
      <c r="B852" s="3"/>
      <c r="C852" s="6"/>
      <c r="D852" s="6"/>
      <c r="E852" s="6"/>
      <c r="F852" s="6"/>
    </row>
    <row r="853">
      <c r="B853" s="3"/>
      <c r="C853" s="6"/>
      <c r="D853" s="6"/>
      <c r="E853" s="6"/>
      <c r="F853" s="6"/>
    </row>
    <row r="854">
      <c r="B854" s="3"/>
      <c r="C854" s="6"/>
      <c r="D854" s="6"/>
      <c r="E854" s="6"/>
      <c r="F854" s="6"/>
    </row>
    <row r="855">
      <c r="B855" s="3"/>
      <c r="C855" s="6"/>
      <c r="D855" s="6"/>
      <c r="E855" s="6"/>
      <c r="F855" s="6"/>
    </row>
    <row r="856">
      <c r="B856" s="3"/>
      <c r="C856" s="6"/>
      <c r="D856" s="6"/>
      <c r="E856" s="6"/>
      <c r="F856" s="6"/>
    </row>
    <row r="857">
      <c r="B857" s="3"/>
      <c r="C857" s="6"/>
      <c r="D857" s="6"/>
      <c r="E857" s="6"/>
      <c r="F857" s="6"/>
    </row>
    <row r="858">
      <c r="B858" s="3"/>
      <c r="C858" s="6"/>
      <c r="D858" s="6"/>
      <c r="E858" s="6"/>
      <c r="F858" s="6"/>
    </row>
    <row r="859">
      <c r="B859" s="3"/>
      <c r="C859" s="6"/>
      <c r="D859" s="6"/>
      <c r="E859" s="6"/>
      <c r="F859" s="6"/>
    </row>
    <row r="860">
      <c r="B860" s="3"/>
      <c r="C860" s="6"/>
      <c r="D860" s="6"/>
      <c r="E860" s="6"/>
      <c r="F860" s="6"/>
    </row>
    <row r="861">
      <c r="B861" s="3"/>
      <c r="C861" s="6"/>
      <c r="D861" s="6"/>
      <c r="E861" s="6"/>
      <c r="F861" s="6"/>
    </row>
    <row r="862">
      <c r="B862" s="3"/>
      <c r="C862" s="6"/>
      <c r="D862" s="6"/>
      <c r="E862" s="6"/>
      <c r="F862" s="6"/>
    </row>
    <row r="863">
      <c r="B863" s="3"/>
      <c r="C863" s="6"/>
      <c r="D863" s="6"/>
      <c r="E863" s="6"/>
      <c r="F863" s="6"/>
    </row>
    <row r="864">
      <c r="B864" s="3"/>
      <c r="C864" s="6"/>
      <c r="D864" s="6"/>
      <c r="E864" s="6"/>
      <c r="F864" s="6"/>
    </row>
    <row r="865">
      <c r="B865" s="3"/>
      <c r="C865" s="6"/>
      <c r="D865" s="6"/>
      <c r="E865" s="6"/>
      <c r="F865" s="6"/>
    </row>
    <row r="866">
      <c r="B866" s="3"/>
      <c r="C866" s="6"/>
      <c r="D866" s="6"/>
      <c r="E866" s="6"/>
      <c r="F866" s="6"/>
    </row>
    <row r="867">
      <c r="B867" s="3"/>
      <c r="C867" s="6"/>
      <c r="D867" s="6"/>
      <c r="E867" s="6"/>
      <c r="F867" s="6"/>
    </row>
    <row r="868">
      <c r="B868" s="3"/>
      <c r="C868" s="6"/>
      <c r="D868" s="6"/>
      <c r="E868" s="6"/>
      <c r="F868" s="6"/>
    </row>
    <row r="869">
      <c r="B869" s="3"/>
      <c r="C869" s="6"/>
      <c r="D869" s="6"/>
      <c r="E869" s="6"/>
      <c r="F869" s="6"/>
    </row>
    <row r="870">
      <c r="B870" s="3"/>
      <c r="C870" s="6"/>
      <c r="D870" s="6"/>
      <c r="E870" s="6"/>
      <c r="F870" s="6"/>
    </row>
    <row r="871">
      <c r="B871" s="3"/>
      <c r="C871" s="6"/>
      <c r="D871" s="6"/>
      <c r="E871" s="6"/>
      <c r="F871" s="6"/>
    </row>
    <row r="872">
      <c r="B872" s="3"/>
      <c r="C872" s="6"/>
      <c r="D872" s="6"/>
      <c r="E872" s="6"/>
      <c r="F872" s="6"/>
    </row>
    <row r="873">
      <c r="B873" s="3"/>
      <c r="C873" s="6"/>
      <c r="D873" s="6"/>
      <c r="E873" s="6"/>
      <c r="F873" s="6"/>
    </row>
    <row r="874">
      <c r="B874" s="3"/>
      <c r="C874" s="6"/>
      <c r="D874" s="6"/>
      <c r="E874" s="6"/>
      <c r="F874" s="6"/>
    </row>
    <row r="875">
      <c r="B875" s="3"/>
      <c r="C875" s="6"/>
      <c r="D875" s="6"/>
      <c r="E875" s="6"/>
      <c r="F875" s="6"/>
    </row>
    <row r="876">
      <c r="B876" s="3"/>
      <c r="C876" s="6"/>
      <c r="D876" s="6"/>
      <c r="E876" s="6"/>
      <c r="F876" s="6"/>
    </row>
    <row r="877">
      <c r="B877" s="3"/>
      <c r="C877" s="6"/>
      <c r="D877" s="6"/>
      <c r="E877" s="6"/>
      <c r="F877" s="6"/>
    </row>
    <row r="878">
      <c r="B878" s="3"/>
      <c r="C878" s="6"/>
      <c r="D878" s="6"/>
      <c r="E878" s="6"/>
      <c r="F878" s="6"/>
    </row>
    <row r="879">
      <c r="B879" s="3"/>
      <c r="C879" s="6"/>
      <c r="D879" s="6"/>
      <c r="E879" s="6"/>
      <c r="F879" s="6"/>
    </row>
    <row r="880">
      <c r="B880" s="3"/>
      <c r="C880" s="6"/>
      <c r="D880" s="6"/>
      <c r="E880" s="6"/>
      <c r="F880" s="6"/>
    </row>
    <row r="881">
      <c r="B881" s="3"/>
      <c r="C881" s="6"/>
      <c r="D881" s="6"/>
      <c r="E881" s="6"/>
      <c r="F881" s="6"/>
    </row>
    <row r="882">
      <c r="B882" s="3"/>
      <c r="C882" s="6"/>
      <c r="D882" s="6"/>
      <c r="E882" s="6"/>
      <c r="F882" s="6"/>
    </row>
    <row r="883">
      <c r="B883" s="3"/>
      <c r="C883" s="6"/>
      <c r="D883" s="6"/>
      <c r="E883" s="6"/>
      <c r="F883" s="6"/>
    </row>
    <row r="884">
      <c r="B884" s="3"/>
      <c r="C884" s="6"/>
      <c r="D884" s="6"/>
      <c r="E884" s="6"/>
      <c r="F884" s="6"/>
    </row>
    <row r="885">
      <c r="B885" s="3"/>
      <c r="C885" s="6"/>
      <c r="D885" s="6"/>
      <c r="E885" s="6"/>
      <c r="F885" s="6"/>
    </row>
    <row r="886">
      <c r="B886" s="3"/>
      <c r="C886" s="6"/>
      <c r="D886" s="6"/>
      <c r="E886" s="6"/>
      <c r="F886" s="6"/>
    </row>
    <row r="887">
      <c r="B887" s="3"/>
      <c r="C887" s="6"/>
      <c r="D887" s="6"/>
      <c r="E887" s="6"/>
      <c r="F887" s="6"/>
    </row>
    <row r="888">
      <c r="B888" s="3"/>
      <c r="C888" s="6"/>
      <c r="D888" s="6"/>
      <c r="E888" s="6"/>
      <c r="F888" s="6"/>
    </row>
    <row r="889">
      <c r="B889" s="3"/>
      <c r="C889" s="6"/>
      <c r="D889" s="6"/>
      <c r="E889" s="6"/>
      <c r="F889" s="6"/>
    </row>
    <row r="890">
      <c r="B890" s="3"/>
      <c r="C890" s="6"/>
      <c r="D890" s="6"/>
      <c r="E890" s="6"/>
      <c r="F890" s="6"/>
    </row>
    <row r="891">
      <c r="B891" s="3"/>
      <c r="C891" s="6"/>
      <c r="D891" s="6"/>
      <c r="E891" s="6"/>
      <c r="F891" s="6"/>
    </row>
    <row r="892">
      <c r="B892" s="3"/>
      <c r="C892" s="6"/>
      <c r="D892" s="6"/>
      <c r="E892" s="6"/>
      <c r="F892" s="6"/>
    </row>
    <row r="893">
      <c r="B893" s="3"/>
      <c r="C893" s="6"/>
      <c r="D893" s="6"/>
      <c r="E893" s="6"/>
      <c r="F893" s="6"/>
    </row>
    <row r="894">
      <c r="B894" s="3"/>
      <c r="C894" s="6"/>
      <c r="D894" s="6"/>
      <c r="E894" s="6"/>
      <c r="F894" s="6"/>
    </row>
    <row r="895">
      <c r="B895" s="3"/>
      <c r="C895" s="6"/>
      <c r="D895" s="6"/>
      <c r="E895" s="6"/>
      <c r="F895" s="6"/>
    </row>
    <row r="896">
      <c r="B896" s="3"/>
      <c r="C896" s="6"/>
      <c r="D896" s="6"/>
      <c r="E896" s="6"/>
      <c r="F896" s="6"/>
    </row>
    <row r="897">
      <c r="B897" s="3"/>
      <c r="C897" s="6"/>
      <c r="D897" s="6"/>
      <c r="E897" s="6"/>
      <c r="F897" s="6"/>
    </row>
    <row r="898">
      <c r="B898" s="3"/>
      <c r="C898" s="6"/>
      <c r="D898" s="6"/>
      <c r="E898" s="6"/>
      <c r="F898" s="6"/>
    </row>
    <row r="899">
      <c r="B899" s="3"/>
      <c r="C899" s="6"/>
      <c r="D899" s="6"/>
      <c r="E899" s="6"/>
      <c r="F899" s="6"/>
    </row>
    <row r="900">
      <c r="B900" s="3"/>
      <c r="C900" s="6"/>
      <c r="D900" s="6"/>
      <c r="E900" s="6"/>
      <c r="F900" s="6"/>
    </row>
    <row r="901">
      <c r="B901" s="3"/>
      <c r="C901" s="6"/>
      <c r="D901" s="6"/>
      <c r="E901" s="6"/>
      <c r="F901" s="6"/>
    </row>
    <row r="902">
      <c r="B902" s="3"/>
      <c r="C902" s="6"/>
      <c r="D902" s="6"/>
      <c r="E902" s="6"/>
      <c r="F902" s="6"/>
    </row>
    <row r="903">
      <c r="B903" s="3"/>
      <c r="C903" s="6"/>
      <c r="D903" s="6"/>
      <c r="E903" s="6"/>
      <c r="F903" s="6"/>
    </row>
    <row r="904">
      <c r="B904" s="3"/>
      <c r="C904" s="6"/>
      <c r="D904" s="6"/>
      <c r="E904" s="6"/>
      <c r="F904" s="6"/>
    </row>
    <row r="905">
      <c r="B905" s="3"/>
      <c r="C905" s="6"/>
      <c r="D905" s="6"/>
      <c r="E905" s="6"/>
      <c r="F905" s="6"/>
    </row>
    <row r="906">
      <c r="B906" s="3"/>
      <c r="C906" s="6"/>
      <c r="D906" s="6"/>
      <c r="E906" s="6"/>
      <c r="F906" s="6"/>
    </row>
    <row r="907">
      <c r="B907" s="3"/>
      <c r="C907" s="6"/>
      <c r="D907" s="6"/>
      <c r="E907" s="6"/>
      <c r="F907" s="6"/>
    </row>
    <row r="908">
      <c r="B908" s="3"/>
      <c r="C908" s="6"/>
      <c r="D908" s="6"/>
      <c r="E908" s="6"/>
      <c r="F908" s="6"/>
    </row>
    <row r="909">
      <c r="B909" s="3"/>
      <c r="C909" s="6"/>
      <c r="D909" s="6"/>
      <c r="E909" s="6"/>
      <c r="F909" s="6"/>
    </row>
    <row r="910">
      <c r="B910" s="3"/>
      <c r="C910" s="6"/>
      <c r="D910" s="6"/>
      <c r="E910" s="6"/>
      <c r="F910" s="6"/>
    </row>
    <row r="911">
      <c r="B911" s="3"/>
      <c r="C911" s="6"/>
      <c r="D911" s="6"/>
      <c r="E911" s="6"/>
      <c r="F911" s="6"/>
    </row>
    <row r="912">
      <c r="B912" s="3"/>
      <c r="C912" s="6"/>
      <c r="D912" s="6"/>
      <c r="E912" s="6"/>
      <c r="F912" s="6"/>
    </row>
    <row r="913">
      <c r="B913" s="3"/>
      <c r="C913" s="6"/>
      <c r="D913" s="6"/>
      <c r="E913" s="6"/>
      <c r="F913" s="6"/>
    </row>
    <row r="914">
      <c r="B914" s="3"/>
      <c r="C914" s="6"/>
      <c r="D914" s="6"/>
      <c r="E914" s="6"/>
      <c r="F914" s="6"/>
    </row>
    <row r="915">
      <c r="B915" s="3"/>
      <c r="C915" s="6"/>
      <c r="D915" s="6"/>
      <c r="E915" s="6"/>
      <c r="F915" s="6"/>
    </row>
    <row r="916">
      <c r="B916" s="3"/>
      <c r="C916" s="6"/>
      <c r="D916" s="6"/>
      <c r="E916" s="6"/>
      <c r="F916" s="6"/>
    </row>
    <row r="917">
      <c r="B917" s="3"/>
      <c r="C917" s="6"/>
      <c r="D917" s="6"/>
      <c r="E917" s="6"/>
      <c r="F917" s="6"/>
    </row>
    <row r="918">
      <c r="B918" s="3"/>
      <c r="C918" s="6"/>
      <c r="D918" s="6"/>
      <c r="E918" s="6"/>
      <c r="F918" s="6"/>
    </row>
    <row r="919">
      <c r="B919" s="3"/>
      <c r="C919" s="6"/>
      <c r="D919" s="6"/>
      <c r="E919" s="6"/>
      <c r="F919" s="6"/>
    </row>
    <row r="920">
      <c r="B920" s="3"/>
      <c r="C920" s="6"/>
      <c r="D920" s="6"/>
      <c r="E920" s="6"/>
      <c r="F920" s="6"/>
    </row>
    <row r="921">
      <c r="B921" s="3"/>
      <c r="C921" s="6"/>
      <c r="D921" s="6"/>
      <c r="E921" s="6"/>
      <c r="F921" s="6"/>
    </row>
    <row r="922">
      <c r="B922" s="3"/>
      <c r="C922" s="6"/>
      <c r="D922" s="6"/>
      <c r="E922" s="6"/>
      <c r="F922" s="6"/>
    </row>
    <row r="923">
      <c r="B923" s="3"/>
      <c r="C923" s="6"/>
      <c r="D923" s="6"/>
      <c r="E923" s="6"/>
      <c r="F923" s="6"/>
    </row>
    <row r="924">
      <c r="B924" s="3"/>
      <c r="C924" s="6"/>
      <c r="D924" s="6"/>
      <c r="E924" s="6"/>
      <c r="F924" s="6"/>
    </row>
    <row r="925">
      <c r="B925" s="3"/>
      <c r="C925" s="6"/>
      <c r="D925" s="6"/>
      <c r="E925" s="6"/>
      <c r="F925" s="6"/>
    </row>
    <row r="926">
      <c r="B926" s="3"/>
      <c r="C926" s="6"/>
      <c r="D926" s="6"/>
      <c r="E926" s="6"/>
      <c r="F926" s="6"/>
    </row>
    <row r="927">
      <c r="B927" s="3"/>
      <c r="C927" s="6"/>
      <c r="D927" s="6"/>
      <c r="E927" s="6"/>
      <c r="F927" s="6"/>
    </row>
    <row r="928">
      <c r="B928" s="3"/>
      <c r="C928" s="6"/>
      <c r="D928" s="6"/>
      <c r="E928" s="6"/>
      <c r="F928" s="6"/>
    </row>
    <row r="929">
      <c r="B929" s="3"/>
      <c r="C929" s="6"/>
      <c r="D929" s="6"/>
      <c r="E929" s="6"/>
      <c r="F929" s="6"/>
    </row>
    <row r="930">
      <c r="B930" s="3"/>
      <c r="C930" s="6"/>
      <c r="D930" s="6"/>
      <c r="E930" s="6"/>
      <c r="F930" s="6"/>
    </row>
    <row r="931">
      <c r="B931" s="3"/>
      <c r="C931" s="6"/>
      <c r="D931" s="6"/>
      <c r="E931" s="6"/>
      <c r="F931" s="6"/>
    </row>
    <row r="932">
      <c r="B932" s="3"/>
      <c r="C932" s="6"/>
      <c r="D932" s="6"/>
      <c r="E932" s="6"/>
      <c r="F932" s="6"/>
    </row>
    <row r="933">
      <c r="B933" s="3"/>
      <c r="C933" s="6"/>
      <c r="D933" s="6"/>
      <c r="E933" s="6"/>
      <c r="F933" s="6"/>
    </row>
    <row r="934">
      <c r="B934" s="3"/>
      <c r="C934" s="6"/>
      <c r="D934" s="6"/>
      <c r="E934" s="6"/>
      <c r="F934" s="6"/>
    </row>
    <row r="935">
      <c r="B935" s="3"/>
      <c r="C935" s="6"/>
      <c r="D935" s="6"/>
      <c r="E935" s="6"/>
      <c r="F935" s="6"/>
    </row>
    <row r="936">
      <c r="B936" s="3"/>
      <c r="C936" s="6"/>
      <c r="D936" s="6"/>
      <c r="E936" s="6"/>
      <c r="F936" s="6"/>
    </row>
    <row r="937">
      <c r="B937" s="3"/>
      <c r="C937" s="6"/>
      <c r="D937" s="6"/>
      <c r="E937" s="6"/>
      <c r="F937" s="6"/>
    </row>
    <row r="938">
      <c r="B938" s="3"/>
      <c r="C938" s="6"/>
      <c r="D938" s="6"/>
      <c r="E938" s="6"/>
      <c r="F938" s="6"/>
    </row>
    <row r="939">
      <c r="B939" s="3"/>
      <c r="C939" s="6"/>
      <c r="D939" s="6"/>
      <c r="E939" s="6"/>
      <c r="F939" s="6"/>
    </row>
    <row r="940">
      <c r="B940" s="3"/>
      <c r="C940" s="6"/>
      <c r="D940" s="6"/>
      <c r="E940" s="6"/>
      <c r="F940" s="6"/>
    </row>
    <row r="941">
      <c r="B941" s="3"/>
      <c r="C941" s="6"/>
      <c r="D941" s="6"/>
      <c r="E941" s="6"/>
      <c r="F941" s="6"/>
    </row>
    <row r="942">
      <c r="B942" s="3"/>
      <c r="C942" s="6"/>
      <c r="D942" s="6"/>
      <c r="E942" s="6"/>
      <c r="F942" s="6"/>
    </row>
    <row r="943">
      <c r="B943" s="3"/>
      <c r="C943" s="6"/>
      <c r="D943" s="6"/>
      <c r="E943" s="6"/>
      <c r="F943" s="6"/>
    </row>
    <row r="944">
      <c r="B944" s="3"/>
      <c r="C944" s="6"/>
      <c r="D944" s="6"/>
      <c r="E944" s="6"/>
      <c r="F944" s="6"/>
    </row>
    <row r="945">
      <c r="B945" s="3"/>
      <c r="C945" s="6"/>
      <c r="D945" s="6"/>
      <c r="E945" s="6"/>
      <c r="F945" s="6"/>
    </row>
    <row r="946">
      <c r="B946" s="3"/>
      <c r="C946" s="6"/>
      <c r="D946" s="6"/>
      <c r="E946" s="6"/>
      <c r="F946" s="6"/>
    </row>
    <row r="947">
      <c r="B947" s="3"/>
      <c r="C947" s="6"/>
      <c r="D947" s="6"/>
      <c r="E947" s="6"/>
      <c r="F947" s="6"/>
    </row>
    <row r="948">
      <c r="B948" s="3"/>
      <c r="C948" s="6"/>
      <c r="D948" s="6"/>
      <c r="E948" s="6"/>
      <c r="F948" s="6"/>
    </row>
    <row r="949">
      <c r="B949" s="3"/>
      <c r="C949" s="6"/>
      <c r="D949" s="6"/>
      <c r="E949" s="6"/>
      <c r="F949" s="6"/>
    </row>
    <row r="950">
      <c r="B950" s="3"/>
      <c r="C950" s="6"/>
      <c r="D950" s="6"/>
      <c r="E950" s="6"/>
      <c r="F950" s="6"/>
    </row>
    <row r="951">
      <c r="B951" s="3"/>
      <c r="C951" s="6"/>
      <c r="D951" s="6"/>
      <c r="E951" s="6"/>
      <c r="F951" s="6"/>
    </row>
    <row r="952">
      <c r="B952" s="3"/>
      <c r="C952" s="6"/>
      <c r="D952" s="6"/>
      <c r="E952" s="6"/>
      <c r="F952" s="6"/>
    </row>
    <row r="953">
      <c r="B953" s="3"/>
      <c r="C953" s="6"/>
      <c r="D953" s="6"/>
      <c r="E953" s="6"/>
      <c r="F953" s="6"/>
    </row>
    <row r="954">
      <c r="B954" s="3"/>
      <c r="C954" s="6"/>
      <c r="D954" s="6"/>
      <c r="E954" s="6"/>
      <c r="F954" s="6"/>
    </row>
    <row r="955">
      <c r="B955" s="3"/>
      <c r="C955" s="6"/>
      <c r="D955" s="6"/>
      <c r="E955" s="6"/>
      <c r="F955" s="6"/>
    </row>
    <row r="956">
      <c r="B956" s="3"/>
      <c r="C956" s="6"/>
      <c r="D956" s="6"/>
      <c r="E956" s="6"/>
      <c r="F956" s="6"/>
    </row>
    <row r="957">
      <c r="B957" s="3"/>
      <c r="C957" s="6"/>
      <c r="D957" s="6"/>
      <c r="E957" s="6"/>
      <c r="F957" s="6"/>
    </row>
    <row r="958">
      <c r="B958" s="3"/>
      <c r="C958" s="6"/>
      <c r="D958" s="6"/>
      <c r="E958" s="6"/>
      <c r="F958" s="6"/>
    </row>
    <row r="959">
      <c r="B959" s="3"/>
      <c r="C959" s="6"/>
      <c r="D959" s="6"/>
      <c r="E959" s="6"/>
      <c r="F959" s="6"/>
    </row>
    <row r="960">
      <c r="B960" s="3"/>
      <c r="C960" s="6"/>
      <c r="D960" s="6"/>
      <c r="E960" s="6"/>
      <c r="F960" s="6"/>
    </row>
    <row r="961">
      <c r="B961" s="3"/>
      <c r="C961" s="6"/>
      <c r="D961" s="6"/>
      <c r="E961" s="6"/>
      <c r="F961" s="6"/>
    </row>
    <row r="962">
      <c r="B962" s="3"/>
      <c r="C962" s="6"/>
      <c r="D962" s="6"/>
      <c r="E962" s="6"/>
      <c r="F962" s="6"/>
    </row>
    <row r="963">
      <c r="B963" s="3"/>
      <c r="C963" s="6"/>
      <c r="D963" s="6"/>
      <c r="E963" s="6"/>
      <c r="F963" s="6"/>
    </row>
    <row r="964">
      <c r="B964" s="3"/>
      <c r="C964" s="6"/>
      <c r="D964" s="6"/>
      <c r="E964" s="6"/>
      <c r="F964" s="6"/>
    </row>
    <row r="965">
      <c r="B965" s="3"/>
      <c r="C965" s="6"/>
      <c r="D965" s="6"/>
      <c r="E965" s="6"/>
      <c r="F965" s="6"/>
    </row>
    <row r="966">
      <c r="B966" s="3"/>
      <c r="C966" s="6"/>
      <c r="D966" s="6"/>
      <c r="E966" s="6"/>
      <c r="F966" s="6"/>
    </row>
    <row r="967">
      <c r="B967" s="3"/>
      <c r="C967" s="6"/>
      <c r="D967" s="6"/>
      <c r="E967" s="6"/>
      <c r="F967" s="6"/>
    </row>
    <row r="968">
      <c r="B968" s="3"/>
      <c r="C968" s="6"/>
      <c r="D968" s="6"/>
      <c r="E968" s="6"/>
      <c r="F968" s="6"/>
    </row>
    <row r="969">
      <c r="B969" s="3"/>
      <c r="C969" s="6"/>
      <c r="D969" s="6"/>
      <c r="E969" s="6"/>
      <c r="F969" s="6"/>
    </row>
    <row r="970">
      <c r="B970" s="3"/>
      <c r="C970" s="6"/>
      <c r="D970" s="6"/>
      <c r="E970" s="6"/>
      <c r="F970" s="6"/>
    </row>
    <row r="971">
      <c r="B971" s="3"/>
      <c r="C971" s="6"/>
      <c r="D971" s="6"/>
      <c r="E971" s="6"/>
      <c r="F971" s="6"/>
    </row>
    <row r="972">
      <c r="B972" s="3"/>
      <c r="C972" s="6"/>
      <c r="D972" s="6"/>
      <c r="E972" s="6"/>
      <c r="F972" s="6"/>
    </row>
    <row r="973">
      <c r="B973" s="3"/>
      <c r="C973" s="6"/>
      <c r="D973" s="6"/>
      <c r="E973" s="6"/>
      <c r="F973" s="6"/>
    </row>
    <row r="974">
      <c r="B974" s="3"/>
      <c r="C974" s="6"/>
      <c r="D974" s="6"/>
      <c r="E974" s="6"/>
      <c r="F974" s="6"/>
    </row>
    <row r="975">
      <c r="B975" s="3"/>
      <c r="C975" s="6"/>
      <c r="D975" s="6"/>
      <c r="E975" s="6"/>
      <c r="F975" s="6"/>
    </row>
    <row r="976">
      <c r="B976" s="3"/>
      <c r="C976" s="6"/>
      <c r="D976" s="6"/>
      <c r="E976" s="6"/>
      <c r="F976" s="6"/>
    </row>
    <row r="977">
      <c r="B977" s="3"/>
      <c r="C977" s="6"/>
      <c r="D977" s="6"/>
      <c r="E977" s="6"/>
      <c r="F977" s="6"/>
    </row>
    <row r="978">
      <c r="B978" s="3"/>
      <c r="C978" s="6"/>
      <c r="D978" s="6"/>
      <c r="E978" s="6"/>
      <c r="F978" s="6"/>
    </row>
    <row r="979">
      <c r="B979" s="3"/>
      <c r="C979" s="6"/>
      <c r="D979" s="6"/>
      <c r="E979" s="6"/>
      <c r="F979" s="6"/>
    </row>
    <row r="980">
      <c r="B980" s="3"/>
      <c r="C980" s="6"/>
      <c r="D980" s="6"/>
      <c r="E980" s="6"/>
      <c r="F980" s="6"/>
    </row>
    <row r="981">
      <c r="B981" s="3"/>
      <c r="C981" s="6"/>
      <c r="D981" s="6"/>
      <c r="E981" s="6"/>
      <c r="F981" s="6"/>
    </row>
    <row r="982">
      <c r="B982" s="3"/>
      <c r="C982" s="6"/>
      <c r="D982" s="6"/>
      <c r="E982" s="6"/>
      <c r="F982" s="6"/>
    </row>
    <row r="983">
      <c r="B983" s="3"/>
      <c r="C983" s="6"/>
      <c r="D983" s="6"/>
      <c r="E983" s="6"/>
      <c r="F983" s="6"/>
    </row>
    <row r="984">
      <c r="B984" s="3"/>
      <c r="C984" s="6"/>
      <c r="D984" s="6"/>
      <c r="E984" s="6"/>
      <c r="F984" s="6"/>
    </row>
    <row r="985">
      <c r="B985" s="3"/>
      <c r="C985" s="6"/>
      <c r="D985" s="6"/>
      <c r="E985" s="6"/>
      <c r="F985" s="6"/>
    </row>
    <row r="986">
      <c r="B986" s="3"/>
      <c r="C986" s="6"/>
      <c r="D986" s="6"/>
      <c r="E986" s="6"/>
      <c r="F986" s="6"/>
    </row>
    <row r="987">
      <c r="B987" s="3"/>
      <c r="C987" s="6"/>
      <c r="D987" s="6"/>
      <c r="E987" s="6"/>
      <c r="F987" s="6"/>
    </row>
    <row r="988">
      <c r="B988" s="3"/>
      <c r="C988" s="6"/>
      <c r="D988" s="6"/>
      <c r="E988" s="6"/>
      <c r="F988" s="6"/>
    </row>
    <row r="989">
      <c r="B989" s="3"/>
      <c r="C989" s="6"/>
      <c r="D989" s="6"/>
      <c r="E989" s="6"/>
      <c r="F989" s="6"/>
    </row>
    <row r="990">
      <c r="B990" s="3"/>
      <c r="C990" s="6"/>
      <c r="D990" s="6"/>
      <c r="E990" s="6"/>
      <c r="F990" s="6"/>
    </row>
    <row r="991">
      <c r="B991" s="3"/>
      <c r="C991" s="6"/>
      <c r="D991" s="6"/>
      <c r="E991" s="6"/>
      <c r="F991" s="6"/>
    </row>
    <row r="992">
      <c r="B992" s="3"/>
      <c r="C992" s="6"/>
      <c r="D992" s="6"/>
      <c r="E992" s="6"/>
      <c r="F992" s="6"/>
    </row>
    <row r="993">
      <c r="B993" s="3"/>
      <c r="C993" s="6"/>
      <c r="D993" s="6"/>
      <c r="E993" s="6"/>
      <c r="F993" s="6"/>
    </row>
    <row r="994">
      <c r="B994" s="3"/>
      <c r="C994" s="6"/>
      <c r="D994" s="6"/>
      <c r="E994" s="6"/>
      <c r="F994" s="6"/>
    </row>
    <row r="995">
      <c r="B995" s="3"/>
      <c r="C995" s="6"/>
      <c r="D995" s="6"/>
      <c r="E995" s="6"/>
      <c r="F995" s="6"/>
    </row>
    <row r="996">
      <c r="B996" s="3"/>
      <c r="C996" s="6"/>
      <c r="D996" s="6"/>
      <c r="E996" s="6"/>
      <c r="F996" s="6"/>
    </row>
    <row r="997">
      <c r="B997" s="3"/>
      <c r="C997" s="6"/>
      <c r="D997" s="6"/>
      <c r="E997" s="6"/>
      <c r="F997" s="6"/>
    </row>
    <row r="998">
      <c r="B998" s="3"/>
      <c r="C998" s="6"/>
      <c r="D998" s="6"/>
      <c r="E998" s="6"/>
      <c r="F998" s="6"/>
    </row>
    <row r="999">
      <c r="B999" s="3"/>
      <c r="C999" s="6"/>
      <c r="D999" s="6"/>
      <c r="E999" s="6"/>
      <c r="F999" s="6"/>
    </row>
    <row r="1000">
      <c r="B1000" s="3"/>
      <c r="C1000" s="6"/>
      <c r="D1000" s="6"/>
      <c r="E1000" s="6"/>
      <c r="F1000" s="6"/>
    </row>
    <row r="1001">
      <c r="B1001" s="3"/>
      <c r="C1001" s="6"/>
      <c r="D1001" s="6"/>
      <c r="E1001" s="6"/>
      <c r="F1001" s="6"/>
    </row>
    <row r="1002">
      <c r="B1002" s="3"/>
      <c r="C1002" s="6"/>
      <c r="D1002" s="6"/>
      <c r="E1002" s="6"/>
      <c r="F1002" s="6"/>
    </row>
    <row r="1003">
      <c r="B1003" s="3"/>
      <c r="C1003" s="6"/>
      <c r="D1003" s="6"/>
      <c r="E1003" s="6"/>
      <c r="F1003" s="6"/>
    </row>
    <row r="1004">
      <c r="B1004" s="3"/>
      <c r="C1004" s="6"/>
      <c r="D1004" s="6"/>
      <c r="E1004" s="6"/>
      <c r="F1004" s="6"/>
    </row>
    <row r="1005">
      <c r="B1005" s="3"/>
      <c r="C1005" s="6"/>
      <c r="D1005" s="6"/>
      <c r="E1005" s="6"/>
      <c r="F1005" s="6"/>
    </row>
    <row r="1006">
      <c r="B1006" s="3"/>
      <c r="C1006" s="6"/>
      <c r="D1006" s="6"/>
      <c r="E1006" s="6"/>
      <c r="F1006" s="6"/>
    </row>
    <row r="1007">
      <c r="B1007" s="3"/>
      <c r="C1007" s="6"/>
      <c r="D1007" s="6"/>
      <c r="E1007" s="6"/>
      <c r="F1007" s="6"/>
    </row>
    <row r="1008">
      <c r="B1008" s="3"/>
      <c r="C1008" s="6"/>
      <c r="D1008" s="6"/>
      <c r="E1008" s="6"/>
      <c r="F1008" s="6"/>
    </row>
    <row r="1009">
      <c r="B1009" s="3"/>
      <c r="C1009" s="6"/>
      <c r="D1009" s="6"/>
      <c r="E1009" s="6"/>
      <c r="F1009" s="6"/>
    </row>
    <row r="1010">
      <c r="B1010" s="3"/>
      <c r="C1010" s="6"/>
      <c r="D1010" s="6"/>
      <c r="E1010" s="6"/>
      <c r="F1010" s="6"/>
    </row>
    <row r="1011">
      <c r="B1011" s="3"/>
      <c r="C1011" s="6"/>
      <c r="D1011" s="6"/>
      <c r="E1011" s="6"/>
      <c r="F1011" s="6"/>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4" max="4" width="19.75"/>
    <col customWidth="1" min="6" max="6" width="14.38"/>
  </cols>
  <sheetData>
    <row r="1">
      <c r="B1" s="511"/>
      <c r="C1" s="513" t="s">
        <v>315</v>
      </c>
      <c r="D1" s="513" t="s">
        <v>316</v>
      </c>
      <c r="E1" s="513" t="s">
        <v>317</v>
      </c>
      <c r="F1" s="513" t="s">
        <v>318</v>
      </c>
    </row>
    <row r="2">
      <c r="B2" s="512" t="s">
        <v>257</v>
      </c>
      <c r="C2" s="512">
        <v>16000.0</v>
      </c>
      <c r="D2" s="511"/>
      <c r="E2" s="511"/>
      <c r="F2" s="511"/>
    </row>
    <row r="3">
      <c r="B3" s="512" t="s">
        <v>260</v>
      </c>
      <c r="C3" s="512">
        <v>18177.0</v>
      </c>
      <c r="D3" s="572">
        <f>C3/C2</f>
        <v>1.1360625</v>
      </c>
      <c r="E3" s="511"/>
      <c r="F3" s="511"/>
    </row>
    <row r="4">
      <c r="B4" s="512" t="s">
        <v>261</v>
      </c>
      <c r="C4" s="512">
        <v>1927.0</v>
      </c>
      <c r="D4" s="515">
        <f>C4/C2</f>
        <v>0.1204375</v>
      </c>
      <c r="E4" s="515">
        <f>C4/C3</f>
        <v>0.1060130935</v>
      </c>
      <c r="F4" s="515"/>
    </row>
    <row r="5">
      <c r="B5" s="512" t="s">
        <v>266</v>
      </c>
      <c r="C5" s="512">
        <v>200.0</v>
      </c>
      <c r="D5" s="515">
        <f>C5/C2</f>
        <v>0.0125</v>
      </c>
      <c r="E5" s="515">
        <f>C5/C3</f>
        <v>0.01100291577</v>
      </c>
      <c r="F5" s="515">
        <f>C5/C4</f>
        <v>0.1037882719</v>
      </c>
    </row>
    <row r="6">
      <c r="B6" s="512" t="s">
        <v>267</v>
      </c>
      <c r="C6" s="549">
        <v>134.0</v>
      </c>
      <c r="D6" s="515">
        <f t="shared" ref="D6:D7" si="1">C6/C2</f>
        <v>0.008375</v>
      </c>
      <c r="E6" s="515">
        <f t="shared" ref="E6:E7" si="2">C6/C3</f>
        <v>0.007371953568</v>
      </c>
      <c r="F6" s="515">
        <f t="shared" ref="F6:F7" si="3">C6/C4</f>
        <v>0.06953814219</v>
      </c>
      <c r="H6" s="585"/>
    </row>
    <row r="7">
      <c r="A7" s="33"/>
      <c r="B7" s="563" t="s">
        <v>319</v>
      </c>
      <c r="C7" s="596">
        <v>0.0</v>
      </c>
      <c r="D7" s="565">
        <f t="shared" si="1"/>
        <v>0</v>
      </c>
      <c r="E7" s="565">
        <f t="shared" si="2"/>
        <v>0</v>
      </c>
      <c r="F7" s="565">
        <f t="shared" si="3"/>
        <v>0</v>
      </c>
      <c r="G7" s="33"/>
      <c r="H7" s="588"/>
      <c r="I7" s="33"/>
      <c r="J7" s="33"/>
      <c r="K7" s="33"/>
      <c r="L7" s="33"/>
      <c r="M7" s="33"/>
      <c r="N7" s="33"/>
      <c r="O7" s="33"/>
      <c r="P7" s="33"/>
      <c r="Q7" s="33"/>
      <c r="R7" s="33"/>
      <c r="S7" s="33"/>
      <c r="T7" s="33"/>
      <c r="U7" s="33"/>
      <c r="V7" s="33"/>
      <c r="W7" s="33"/>
      <c r="X7" s="33"/>
      <c r="Y7" s="33"/>
      <c r="Z7" s="33"/>
      <c r="AA7" s="33"/>
    </row>
    <row r="8">
      <c r="A8" s="33"/>
      <c r="B8" s="560" t="s">
        <v>320</v>
      </c>
      <c r="C8" s="561">
        <v>0.0</v>
      </c>
      <c r="D8" s="562"/>
      <c r="E8" s="562"/>
      <c r="F8" s="562"/>
      <c r="G8" s="33"/>
      <c r="H8" s="586"/>
      <c r="I8" s="33"/>
      <c r="J8" s="33"/>
      <c r="K8" s="33"/>
      <c r="L8" s="33"/>
      <c r="M8" s="33"/>
      <c r="N8" s="33"/>
      <c r="O8" s="33"/>
      <c r="P8" s="33"/>
      <c r="Q8" s="33"/>
      <c r="R8" s="33"/>
      <c r="S8" s="33"/>
      <c r="T8" s="33"/>
      <c r="U8" s="33"/>
      <c r="V8" s="33"/>
      <c r="W8" s="33"/>
      <c r="X8" s="33"/>
      <c r="Y8" s="33"/>
      <c r="Z8" s="33"/>
      <c r="AA8" s="33"/>
    </row>
    <row r="9">
      <c r="A9" s="33"/>
      <c r="B9" s="563" t="s">
        <v>269</v>
      </c>
      <c r="C9" s="564">
        <v>79.0</v>
      </c>
      <c r="D9" s="565">
        <f>C9/C3</f>
        <v>0.00434615173</v>
      </c>
      <c r="E9" s="565">
        <f>C9/C4</f>
        <v>0.04099636741</v>
      </c>
      <c r="F9" s="565">
        <f>C9/C5</f>
        <v>0.395</v>
      </c>
      <c r="G9" s="33"/>
      <c r="H9" s="587"/>
      <c r="I9" s="33"/>
      <c r="J9" s="33"/>
      <c r="K9" s="33"/>
      <c r="L9" s="33"/>
      <c r="M9" s="33"/>
      <c r="N9" s="33"/>
      <c r="O9" s="33"/>
      <c r="P9" s="33"/>
      <c r="Q9" s="33"/>
      <c r="R9" s="33"/>
      <c r="S9" s="33"/>
      <c r="T9" s="33"/>
      <c r="U9" s="33"/>
      <c r="V9" s="33"/>
      <c r="W9" s="33"/>
      <c r="X9" s="33"/>
      <c r="Y9" s="33"/>
      <c r="Z9" s="33"/>
      <c r="AA9" s="33"/>
    </row>
    <row r="10">
      <c r="A10" s="33"/>
      <c r="B10" s="560" t="s">
        <v>321</v>
      </c>
      <c r="C10" s="561">
        <v>0.5895522388059702</v>
      </c>
      <c r="D10" s="562"/>
      <c r="E10" s="562"/>
      <c r="F10" s="562"/>
      <c r="G10" s="33"/>
      <c r="H10" s="586"/>
      <c r="I10" s="33"/>
      <c r="J10" s="33"/>
      <c r="K10" s="33"/>
      <c r="L10" s="33"/>
      <c r="M10" s="33"/>
      <c r="N10" s="33"/>
      <c r="O10" s="33"/>
      <c r="P10" s="33"/>
      <c r="Q10" s="33"/>
      <c r="R10" s="33"/>
      <c r="S10" s="33"/>
      <c r="T10" s="33"/>
      <c r="U10" s="33"/>
      <c r="V10" s="33"/>
      <c r="W10" s="33"/>
      <c r="X10" s="33"/>
      <c r="Y10" s="33"/>
      <c r="Z10" s="33"/>
      <c r="AA10" s="33"/>
    </row>
    <row r="11">
      <c r="A11" s="33"/>
      <c r="B11" s="512" t="s">
        <v>322</v>
      </c>
      <c r="C11" s="549">
        <v>10.0</v>
      </c>
      <c r="D11" s="515">
        <f>C11/C2</f>
        <v>0.000625</v>
      </c>
      <c r="E11" s="515">
        <f>C11/C3</f>
        <v>0.0005501457886</v>
      </c>
      <c r="F11" s="515">
        <f>C11/C4</f>
        <v>0.005189413596</v>
      </c>
      <c r="G11" s="33"/>
      <c r="H11" s="588"/>
      <c r="I11" s="33"/>
      <c r="J11" s="33"/>
      <c r="K11" s="33"/>
      <c r="L11" s="33"/>
      <c r="M11" s="33"/>
      <c r="N11" s="33"/>
      <c r="O11" s="33"/>
      <c r="P11" s="33"/>
      <c r="Q11" s="33"/>
      <c r="R11" s="33"/>
      <c r="S11" s="33"/>
      <c r="T11" s="33"/>
      <c r="U11" s="33"/>
      <c r="V11" s="33"/>
      <c r="W11" s="33"/>
      <c r="X11" s="33"/>
      <c r="Y11" s="33"/>
      <c r="Z11" s="33"/>
      <c r="AA11" s="33"/>
    </row>
    <row r="12">
      <c r="A12" s="33"/>
      <c r="B12" s="512" t="s">
        <v>323</v>
      </c>
      <c r="C12" s="520">
        <v>0.07462686567164178</v>
      </c>
      <c r="D12" s="515"/>
      <c r="E12" s="515"/>
      <c r="F12" s="515"/>
      <c r="G12" s="33"/>
      <c r="H12" s="589"/>
      <c r="I12" s="33"/>
      <c r="J12" s="33"/>
      <c r="K12" s="33"/>
      <c r="L12" s="33"/>
      <c r="M12" s="33"/>
      <c r="N12" s="33"/>
      <c r="O12" s="33"/>
      <c r="P12" s="33"/>
      <c r="Q12" s="33"/>
      <c r="R12" s="33"/>
      <c r="S12" s="33"/>
      <c r="T12" s="33"/>
      <c r="U12" s="33"/>
      <c r="V12" s="33"/>
      <c r="W12" s="33"/>
      <c r="X12" s="33"/>
      <c r="Y12" s="33"/>
      <c r="Z12" s="33"/>
      <c r="AA12" s="33"/>
    </row>
    <row r="13">
      <c r="A13" s="33"/>
      <c r="B13" s="512" t="s">
        <v>324</v>
      </c>
      <c r="C13" s="549">
        <v>89.0</v>
      </c>
      <c r="D13" s="515">
        <f>C13/C2</f>
        <v>0.0055625</v>
      </c>
      <c r="E13" s="515">
        <f>C13/C3</f>
        <v>0.004896297519</v>
      </c>
      <c r="F13" s="515">
        <f>C11/C4</f>
        <v>0.005189413596</v>
      </c>
      <c r="G13" s="33"/>
      <c r="H13" s="588"/>
      <c r="I13" s="33"/>
      <c r="J13" s="33"/>
      <c r="K13" s="33"/>
      <c r="L13" s="33"/>
      <c r="M13" s="33"/>
      <c r="N13" s="33"/>
      <c r="O13" s="33"/>
      <c r="P13" s="33"/>
      <c r="Q13" s="33"/>
      <c r="R13" s="33"/>
      <c r="S13" s="33"/>
      <c r="T13" s="33"/>
      <c r="U13" s="33"/>
      <c r="V13" s="33"/>
      <c r="W13" s="33"/>
      <c r="X13" s="33"/>
      <c r="Y13" s="33"/>
      <c r="Z13" s="33"/>
      <c r="AA13" s="33"/>
    </row>
    <row r="14">
      <c r="A14" s="33"/>
      <c r="B14" s="512" t="s">
        <v>325</v>
      </c>
      <c r="C14" s="520">
        <v>0.664179104477612</v>
      </c>
      <c r="D14" s="515"/>
      <c r="E14" s="515"/>
      <c r="F14" s="515"/>
      <c r="G14" s="33"/>
      <c r="H14" s="589"/>
      <c r="I14" s="33"/>
      <c r="J14" s="33"/>
      <c r="K14" s="33"/>
      <c r="L14" s="33"/>
      <c r="M14" s="33"/>
      <c r="N14" s="33"/>
      <c r="O14" s="33"/>
      <c r="P14" s="33"/>
      <c r="Q14" s="33"/>
      <c r="R14" s="33"/>
      <c r="S14" s="33"/>
      <c r="T14" s="33"/>
      <c r="U14" s="33"/>
      <c r="V14" s="33"/>
      <c r="W14" s="33"/>
      <c r="X14" s="33"/>
      <c r="Y14" s="33"/>
      <c r="Z14" s="33"/>
      <c r="AA14" s="33"/>
    </row>
    <row r="15">
      <c r="B15" s="512" t="s">
        <v>273</v>
      </c>
      <c r="C15" s="512">
        <v>11.0</v>
      </c>
      <c r="D15" s="511"/>
      <c r="E15" s="511"/>
      <c r="F15" s="511"/>
    </row>
    <row r="16">
      <c r="B16" s="512" t="s">
        <v>282</v>
      </c>
      <c r="C16" s="549">
        <v>-10.0</v>
      </c>
      <c r="D16" s="511"/>
      <c r="E16" s="511"/>
      <c r="F16" s="511"/>
      <c r="H16" s="585"/>
    </row>
    <row r="17">
      <c r="B17" s="512" t="s">
        <v>283</v>
      </c>
      <c r="C17" s="512">
        <v>124.0</v>
      </c>
      <c r="D17" s="511"/>
      <c r="E17" s="511"/>
      <c r="F17" s="511"/>
    </row>
    <row r="18">
      <c r="B18" s="512" t="s">
        <v>291</v>
      </c>
      <c r="C18" s="522">
        <v>2.283745296E9</v>
      </c>
      <c r="D18" s="523"/>
      <c r="E18" s="523"/>
      <c r="F18" s="523"/>
      <c r="H18" s="557"/>
    </row>
    <row r="19">
      <c r="B19" s="512" t="s">
        <v>292</v>
      </c>
      <c r="C19" s="522">
        <v>2.225182287E9</v>
      </c>
      <c r="D19" s="523"/>
      <c r="E19" s="523"/>
      <c r="F19" s="523"/>
      <c r="H19" s="557"/>
    </row>
    <row r="20">
      <c r="B20" s="512" t="s">
        <v>293</v>
      </c>
      <c r="C20" s="524">
        <v>0.9743565934858963</v>
      </c>
      <c r="D20" s="511"/>
      <c r="E20" s="511"/>
      <c r="F20" s="511"/>
      <c r="H20" s="590"/>
    </row>
    <row r="21">
      <c r="B21" s="512" t="s">
        <v>294</v>
      </c>
      <c r="C21" s="522">
        <v>5.8563009E7</v>
      </c>
      <c r="D21" s="511"/>
      <c r="E21" s="511"/>
      <c r="F21" s="511"/>
      <c r="H21" s="557"/>
    </row>
    <row r="22">
      <c r="B22" s="512" t="s">
        <v>295</v>
      </c>
      <c r="C22" s="522">
        <v>472282.3306451613</v>
      </c>
      <c r="D22" s="511"/>
      <c r="E22" s="511"/>
      <c r="F22" s="511"/>
      <c r="H22" s="557"/>
    </row>
    <row r="23">
      <c r="B23" s="512" t="s">
        <v>296</v>
      </c>
      <c r="C23" s="522">
        <v>6.759308550999999E7</v>
      </c>
      <c r="D23" s="511"/>
      <c r="E23" s="511"/>
      <c r="F23" s="511"/>
      <c r="H23" s="557"/>
    </row>
    <row r="24">
      <c r="B24" s="512" t="s">
        <v>297</v>
      </c>
      <c r="C24" s="525">
        <v>4.552864956E7</v>
      </c>
      <c r="D24" s="511"/>
      <c r="E24" s="511"/>
      <c r="F24" s="511"/>
      <c r="H24" s="527"/>
    </row>
    <row r="25">
      <c r="B25" s="512" t="s">
        <v>327</v>
      </c>
      <c r="C25" s="524">
        <v>0.6735696294447797</v>
      </c>
      <c r="D25" s="566" t="s">
        <v>328</v>
      </c>
      <c r="E25" s="567">
        <v>0.6736</v>
      </c>
      <c r="F25" s="511"/>
      <c r="H25" s="590"/>
    </row>
    <row r="26">
      <c r="B26" s="512" t="s">
        <v>299</v>
      </c>
      <c r="C26" s="522">
        <v>1.7978411E7</v>
      </c>
      <c r="D26" s="512" t="s">
        <v>329</v>
      </c>
      <c r="E26" s="511" t="str">
        <f>IFERROR(__xludf.DUMMYFUNCTION("IMPORTRANGE(""1vYc4iTJ16E7R6SUnGhwdB4aOJULuweZOJUwnvK3B2Ug"", ""キャッシュバック・ボーナス!O61"")"),"#REF!")</f>
        <v>#REF!</v>
      </c>
      <c r="F26" s="511"/>
      <c r="H26" s="557"/>
    </row>
    <row r="27">
      <c r="B27" s="512" t="s">
        <v>300</v>
      </c>
      <c r="C27" s="525">
        <v>3.0099722E7</v>
      </c>
      <c r="D27" s="512" t="s">
        <v>331</v>
      </c>
      <c r="E27" s="504" t="str">
        <f>E26/C21</f>
        <v>#REF!</v>
      </c>
      <c r="F27" s="511"/>
      <c r="H27" s="527"/>
    </row>
    <row r="28">
      <c r="B28" s="512" t="s">
        <v>301</v>
      </c>
      <c r="C28" s="522">
        <v>242739.6935483871</v>
      </c>
      <c r="D28" s="512" t="s">
        <v>332</v>
      </c>
      <c r="E28" s="515" t="str">
        <f>E26/C27</f>
        <v>#REF!</v>
      </c>
      <c r="F28" s="511"/>
      <c r="H28" s="557"/>
    </row>
    <row r="29">
      <c r="B29" s="512" t="s">
        <v>302</v>
      </c>
      <c r="C29" s="525">
        <v>4679490.0</v>
      </c>
      <c r="D29" s="512" t="s">
        <v>333</v>
      </c>
      <c r="E29" s="515" t="str">
        <f>E26/C18</f>
        <v>#REF!</v>
      </c>
      <c r="F29" s="511"/>
      <c r="H29" s="527"/>
    </row>
    <row r="30">
      <c r="B30" s="512" t="s">
        <v>303</v>
      </c>
      <c r="C30" s="525">
        <v>2.5420232E7</v>
      </c>
      <c r="D30" s="511"/>
      <c r="E30" s="511"/>
      <c r="F30" s="511"/>
      <c r="H30" s="527"/>
    </row>
    <row r="31">
      <c r="A31" s="33"/>
      <c r="B31" s="591" t="s">
        <v>304</v>
      </c>
      <c r="C31" s="592">
        <v>5084046.308</v>
      </c>
      <c r="D31" s="591"/>
      <c r="E31" s="591"/>
      <c r="F31" s="591"/>
      <c r="G31" s="33"/>
      <c r="H31" s="593"/>
      <c r="I31" s="33"/>
      <c r="J31" s="33"/>
      <c r="K31" s="33"/>
      <c r="L31" s="33"/>
      <c r="M31" s="33"/>
      <c r="N31" s="33"/>
      <c r="O31" s="33"/>
      <c r="P31" s="33"/>
      <c r="Q31" s="33"/>
      <c r="R31" s="33"/>
      <c r="S31" s="33"/>
      <c r="T31" s="33"/>
      <c r="U31" s="33"/>
      <c r="V31" s="33"/>
      <c r="W31" s="33"/>
      <c r="X31" s="33"/>
      <c r="Y31" s="33"/>
      <c r="Z31" s="33"/>
      <c r="AA31" s="33"/>
    </row>
    <row r="32">
      <c r="A32" s="33"/>
      <c r="B32" s="594" t="s">
        <v>305</v>
      </c>
      <c r="C32" s="592">
        <v>5719552.0965</v>
      </c>
      <c r="D32" s="594"/>
      <c r="E32" s="594"/>
      <c r="F32" s="594"/>
      <c r="G32" s="33"/>
      <c r="H32" s="593"/>
      <c r="I32" s="33"/>
      <c r="J32" s="33"/>
      <c r="K32" s="33"/>
      <c r="L32" s="33"/>
      <c r="M32" s="33"/>
      <c r="N32" s="33"/>
      <c r="O32" s="33"/>
      <c r="P32" s="33"/>
      <c r="Q32" s="33"/>
      <c r="R32" s="33"/>
      <c r="S32" s="33"/>
      <c r="T32" s="33"/>
      <c r="U32" s="33"/>
      <c r="V32" s="33"/>
      <c r="W32" s="33"/>
      <c r="X32" s="33"/>
      <c r="Y32" s="33"/>
      <c r="Z32" s="33"/>
      <c r="AA32" s="33"/>
    </row>
    <row r="33">
      <c r="B33" s="532" t="s">
        <v>343</v>
      </c>
      <c r="C33" s="534">
        <v>299012.0</v>
      </c>
      <c r="D33" s="533"/>
      <c r="E33" s="533"/>
      <c r="F33" s="533"/>
      <c r="H33" s="557"/>
    </row>
    <row r="34">
      <c r="B34" s="547" t="s">
        <v>131</v>
      </c>
      <c r="C34" s="534">
        <v>1580391.0</v>
      </c>
      <c r="D34" s="533"/>
      <c r="E34" s="533"/>
      <c r="F34" s="533"/>
      <c r="H34" s="557"/>
    </row>
    <row r="35">
      <c r="B35" s="536" t="s">
        <v>135</v>
      </c>
      <c r="C35" s="534">
        <v>1337726.0</v>
      </c>
      <c r="D35" s="537"/>
      <c r="E35" s="537"/>
      <c r="F35" s="537"/>
      <c r="H35" s="557"/>
    </row>
    <row r="36">
      <c r="B36" s="538" t="s">
        <v>129</v>
      </c>
      <c r="C36" s="522">
        <v>1028965.2954500001</v>
      </c>
      <c r="D36" s="511"/>
      <c r="E36" s="511"/>
      <c r="F36" s="511"/>
      <c r="H36" s="557"/>
    </row>
    <row r="37">
      <c r="B37" s="538" t="s">
        <v>127</v>
      </c>
      <c r="C37" s="522">
        <v>1044455.0</v>
      </c>
      <c r="D37" s="511"/>
      <c r="E37" s="511"/>
      <c r="F37" s="511"/>
      <c r="H37" s="557"/>
    </row>
    <row r="38">
      <c r="B38" s="538" t="s">
        <v>336</v>
      </c>
      <c r="C38" s="522">
        <v>1135110.0</v>
      </c>
      <c r="D38" s="511"/>
      <c r="E38" s="511"/>
      <c r="F38" s="511"/>
      <c r="H38" s="557"/>
    </row>
    <row r="39">
      <c r="B39" s="538" t="s">
        <v>337</v>
      </c>
      <c r="C39" s="522">
        <v>949961.4531456</v>
      </c>
      <c r="D39" s="511"/>
      <c r="E39" s="511"/>
      <c r="F39" s="511"/>
      <c r="H39" s="557"/>
    </row>
    <row r="40">
      <c r="B40" s="512" t="s">
        <v>307</v>
      </c>
      <c r="C40" s="522">
        <v>7375620.7485956</v>
      </c>
      <c r="D40" s="511"/>
      <c r="E40" s="511"/>
      <c r="F40" s="511"/>
      <c r="H40" s="557"/>
    </row>
    <row r="41">
      <c r="B41" s="532" t="s">
        <v>311</v>
      </c>
      <c r="C41" s="534">
        <v>6990563.6735000005</v>
      </c>
      <c r="D41" s="533"/>
      <c r="E41" s="533"/>
      <c r="F41" s="533"/>
      <c r="H41" s="557"/>
    </row>
    <row r="42">
      <c r="B42" s="532" t="s">
        <v>338</v>
      </c>
      <c r="C42" s="540">
        <v>250449.17340440117</v>
      </c>
      <c r="D42" s="533"/>
      <c r="E42" s="533"/>
      <c r="F42" s="533"/>
      <c r="H42" s="551"/>
    </row>
    <row r="43">
      <c r="B43" s="568"/>
      <c r="C43" s="568"/>
    </row>
    <row r="44">
      <c r="A44" s="569"/>
      <c r="B44" s="1"/>
      <c r="C44" s="552"/>
    </row>
    <row r="45">
      <c r="A45" s="569"/>
      <c r="B45" s="1"/>
      <c r="C45" s="1"/>
    </row>
    <row r="46">
      <c r="B46" s="1"/>
      <c r="C46" s="552"/>
    </row>
    <row r="47">
      <c r="A47" s="569"/>
      <c r="B47" s="1"/>
      <c r="C47" s="552"/>
    </row>
    <row r="48">
      <c r="A48" s="569"/>
      <c r="B48" s="1"/>
      <c r="C48" s="552"/>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17.63"/>
    <col customWidth="1" min="6" max="6" width="14.38"/>
  </cols>
  <sheetData>
    <row r="1">
      <c r="B1" s="511"/>
      <c r="C1" s="513" t="s">
        <v>315</v>
      </c>
      <c r="D1" s="513" t="s">
        <v>316</v>
      </c>
      <c r="E1" s="513" t="s">
        <v>317</v>
      </c>
      <c r="F1" s="513" t="s">
        <v>318</v>
      </c>
    </row>
    <row r="2">
      <c r="B2" s="512" t="s">
        <v>257</v>
      </c>
      <c r="C2" s="512">
        <v>10000.0</v>
      </c>
      <c r="D2" s="511"/>
      <c r="E2" s="511"/>
      <c r="F2" s="511"/>
    </row>
    <row r="3">
      <c r="B3" s="512" t="s">
        <v>260</v>
      </c>
      <c r="C3" s="512">
        <v>19000.0</v>
      </c>
      <c r="D3" s="572">
        <f>C3/C2</f>
        <v>1.9</v>
      </c>
      <c r="E3" s="511"/>
      <c r="F3" s="511"/>
    </row>
    <row r="4">
      <c r="B4" s="512" t="s">
        <v>261</v>
      </c>
      <c r="C4" s="512">
        <v>2542.0</v>
      </c>
      <c r="D4" s="515">
        <f>C4/C2</f>
        <v>0.2542</v>
      </c>
      <c r="E4" s="515">
        <f>C4/C3</f>
        <v>0.1337894737</v>
      </c>
      <c r="F4" s="515"/>
    </row>
    <row r="5">
      <c r="B5" s="512" t="s">
        <v>266</v>
      </c>
      <c r="C5" s="549">
        <v>130.0</v>
      </c>
      <c r="D5" s="515">
        <f>C5/C2</f>
        <v>0.013</v>
      </c>
      <c r="E5" s="515">
        <f>C5/C3</f>
        <v>0.006842105263</v>
      </c>
      <c r="F5" s="515">
        <f>C5/C4</f>
        <v>0.05114083399</v>
      </c>
      <c r="H5" s="585"/>
    </row>
    <row r="6">
      <c r="B6" s="512" t="s">
        <v>267</v>
      </c>
      <c r="C6" s="549">
        <v>68.0</v>
      </c>
      <c r="D6" s="515">
        <f>C6/C2</f>
        <v>0.0068</v>
      </c>
      <c r="E6" s="515">
        <f>C6/C3</f>
        <v>0.003578947368</v>
      </c>
      <c r="F6" s="515">
        <f>C6/C4</f>
        <v>0.02675059009</v>
      </c>
      <c r="H6" s="585"/>
    </row>
    <row r="7">
      <c r="B7" s="512" t="s">
        <v>319</v>
      </c>
      <c r="C7" s="549">
        <v>0.0</v>
      </c>
      <c r="D7" s="515">
        <f>C7/C2</f>
        <v>0</v>
      </c>
      <c r="E7" s="515">
        <f>C7/C3</f>
        <v>0</v>
      </c>
      <c r="F7" s="515">
        <f>C7/C3</f>
        <v>0</v>
      </c>
      <c r="H7" s="585"/>
    </row>
    <row r="8">
      <c r="A8" s="33"/>
      <c r="B8" s="560" t="s">
        <v>320</v>
      </c>
      <c r="C8" s="561">
        <v>0.0</v>
      </c>
      <c r="D8" s="562"/>
      <c r="E8" s="562"/>
      <c r="F8" s="562"/>
      <c r="G8" s="33"/>
      <c r="H8" s="586"/>
      <c r="I8" s="33"/>
      <c r="J8" s="33"/>
      <c r="K8" s="33"/>
      <c r="L8" s="33"/>
      <c r="M8" s="33"/>
      <c r="N8" s="33"/>
      <c r="O8" s="33"/>
      <c r="P8" s="33"/>
      <c r="Q8" s="33"/>
      <c r="R8" s="33"/>
      <c r="S8" s="33"/>
      <c r="T8" s="33"/>
      <c r="U8" s="33"/>
      <c r="V8" s="33"/>
      <c r="W8" s="33"/>
      <c r="X8" s="33"/>
      <c r="Y8" s="33"/>
      <c r="Z8" s="33"/>
      <c r="AA8" s="33"/>
    </row>
    <row r="9">
      <c r="A9" s="33"/>
      <c r="B9" s="563" t="s">
        <v>269</v>
      </c>
      <c r="C9" s="564">
        <v>50.0</v>
      </c>
      <c r="D9" s="565">
        <f>C9/C3</f>
        <v>0.002631578947</v>
      </c>
      <c r="E9" s="565">
        <f>C9/C4</f>
        <v>0.01966955153</v>
      </c>
      <c r="F9" s="565">
        <f>C9/C5</f>
        <v>0.3846153846</v>
      </c>
      <c r="G9" s="33"/>
      <c r="H9" s="587"/>
      <c r="I9" s="33"/>
      <c r="J9" s="33"/>
      <c r="K9" s="33"/>
      <c r="L9" s="33"/>
      <c r="M9" s="33"/>
      <c r="N9" s="33"/>
      <c r="O9" s="33"/>
      <c r="P9" s="33"/>
      <c r="Q9" s="33"/>
      <c r="R9" s="33"/>
      <c r="S9" s="33"/>
      <c r="T9" s="33"/>
      <c r="U9" s="33"/>
      <c r="V9" s="33"/>
      <c r="W9" s="33"/>
      <c r="X9" s="33"/>
      <c r="Y9" s="33"/>
      <c r="Z9" s="33"/>
      <c r="AA9" s="33"/>
    </row>
    <row r="10">
      <c r="A10" s="33"/>
      <c r="B10" s="560" t="s">
        <v>321</v>
      </c>
      <c r="C10" s="561">
        <v>0.7352941176470589</v>
      </c>
      <c r="D10" s="562"/>
      <c r="E10" s="562"/>
      <c r="F10" s="562"/>
      <c r="G10" s="33"/>
      <c r="H10" s="586"/>
      <c r="I10" s="33"/>
      <c r="J10" s="33"/>
      <c r="K10" s="33"/>
      <c r="L10" s="33"/>
      <c r="M10" s="33"/>
      <c r="N10" s="33"/>
      <c r="O10" s="33"/>
      <c r="P10" s="33"/>
      <c r="Q10" s="33"/>
      <c r="R10" s="33"/>
      <c r="S10" s="33"/>
      <c r="T10" s="33"/>
      <c r="U10" s="33"/>
      <c r="V10" s="33"/>
      <c r="W10" s="33"/>
      <c r="X10" s="33"/>
      <c r="Y10" s="33"/>
      <c r="Z10" s="33"/>
      <c r="AA10" s="33"/>
    </row>
    <row r="11">
      <c r="A11" s="33"/>
      <c r="B11" s="512" t="s">
        <v>322</v>
      </c>
      <c r="C11" s="549">
        <v>2.0</v>
      </c>
      <c r="D11" s="515">
        <f>C11/C2</f>
        <v>0.0002</v>
      </c>
      <c r="E11" s="515">
        <f>C11/C3</f>
        <v>0.0001052631579</v>
      </c>
      <c r="F11" s="515">
        <f>C11/C4</f>
        <v>0.0007867820614</v>
      </c>
      <c r="G11" s="33"/>
      <c r="H11" s="588"/>
      <c r="I11" s="33"/>
      <c r="J11" s="33"/>
      <c r="K11" s="33"/>
      <c r="L11" s="33"/>
      <c r="M11" s="33"/>
      <c r="N11" s="33"/>
      <c r="O11" s="33"/>
      <c r="P11" s="33"/>
      <c r="Q11" s="33"/>
      <c r="R11" s="33"/>
      <c r="S11" s="33"/>
      <c r="T11" s="33"/>
      <c r="U11" s="33"/>
      <c r="V11" s="33"/>
      <c r="W11" s="33"/>
      <c r="X11" s="33"/>
      <c r="Y11" s="33"/>
      <c r="Z11" s="33"/>
      <c r="AA11" s="33"/>
    </row>
    <row r="12">
      <c r="A12" s="33"/>
      <c r="B12" s="512" t="s">
        <v>323</v>
      </c>
      <c r="C12" s="520">
        <v>0.029411764705882353</v>
      </c>
      <c r="D12" s="515"/>
      <c r="E12" s="515"/>
      <c r="F12" s="515"/>
      <c r="G12" s="33"/>
      <c r="H12" s="589"/>
      <c r="I12" s="33"/>
      <c r="J12" s="33"/>
      <c r="K12" s="33"/>
      <c r="L12" s="33"/>
      <c r="M12" s="33"/>
      <c r="N12" s="33"/>
      <c r="O12" s="33"/>
      <c r="P12" s="33"/>
      <c r="Q12" s="33"/>
      <c r="R12" s="33"/>
      <c r="S12" s="33"/>
      <c r="T12" s="33"/>
      <c r="U12" s="33"/>
      <c r="V12" s="33"/>
      <c r="W12" s="33"/>
      <c r="X12" s="33"/>
      <c r="Y12" s="33"/>
      <c r="Z12" s="33"/>
      <c r="AA12" s="33"/>
    </row>
    <row r="13">
      <c r="A13" s="33"/>
      <c r="B13" s="512" t="s">
        <v>324</v>
      </c>
      <c r="C13" s="549">
        <v>52.0</v>
      </c>
      <c r="D13" s="515">
        <f>C13/C2</f>
        <v>0.0052</v>
      </c>
      <c r="E13" s="515">
        <f>C13/C3</f>
        <v>0.002736842105</v>
      </c>
      <c r="F13" s="515">
        <f>C11/C4</f>
        <v>0.0007867820614</v>
      </c>
      <c r="G13" s="33"/>
      <c r="H13" s="588"/>
      <c r="I13" s="33"/>
      <c r="J13" s="33"/>
      <c r="K13" s="33"/>
      <c r="L13" s="33"/>
      <c r="M13" s="33"/>
      <c r="N13" s="33"/>
      <c r="O13" s="33"/>
      <c r="P13" s="33"/>
      <c r="Q13" s="33"/>
      <c r="R13" s="33"/>
      <c r="S13" s="33"/>
      <c r="T13" s="33"/>
      <c r="U13" s="33"/>
      <c r="V13" s="33"/>
      <c r="W13" s="33"/>
      <c r="X13" s="33"/>
      <c r="Y13" s="33"/>
      <c r="Z13" s="33"/>
      <c r="AA13" s="33"/>
    </row>
    <row r="14">
      <c r="A14" s="33"/>
      <c r="B14" s="512" t="s">
        <v>325</v>
      </c>
      <c r="C14" s="520">
        <v>0.7647058823529411</v>
      </c>
      <c r="D14" s="515"/>
      <c r="E14" s="515"/>
      <c r="F14" s="515"/>
      <c r="G14" s="33"/>
      <c r="H14" s="589"/>
      <c r="I14" s="33"/>
      <c r="J14" s="33"/>
      <c r="K14" s="33"/>
      <c r="L14" s="33"/>
      <c r="M14" s="33"/>
      <c r="N14" s="33"/>
      <c r="O14" s="33"/>
      <c r="P14" s="33"/>
      <c r="Q14" s="33"/>
      <c r="R14" s="33"/>
      <c r="S14" s="33"/>
      <c r="T14" s="33"/>
      <c r="U14" s="33"/>
      <c r="V14" s="33"/>
      <c r="W14" s="33"/>
      <c r="X14" s="33"/>
      <c r="Y14" s="33"/>
      <c r="Z14" s="33"/>
      <c r="AA14" s="33"/>
    </row>
    <row r="15">
      <c r="B15" s="512" t="s">
        <v>273</v>
      </c>
      <c r="C15" s="512">
        <v>0.0</v>
      </c>
      <c r="D15" s="511"/>
      <c r="E15" s="511"/>
      <c r="F15" s="511"/>
    </row>
    <row r="16">
      <c r="B16" s="512" t="s">
        <v>282</v>
      </c>
      <c r="C16" s="512">
        <v>0.0</v>
      </c>
      <c r="D16" s="511"/>
      <c r="E16" s="511"/>
      <c r="F16" s="511"/>
    </row>
    <row r="17">
      <c r="B17" s="512" t="s">
        <v>283</v>
      </c>
      <c r="C17" s="512">
        <v>58.0</v>
      </c>
      <c r="D17" s="511"/>
      <c r="E17" s="511"/>
      <c r="F17" s="511"/>
    </row>
    <row r="18">
      <c r="B18" s="512" t="s">
        <v>291</v>
      </c>
      <c r="C18" s="522">
        <v>1.29614183E8</v>
      </c>
      <c r="D18" s="523"/>
      <c r="E18" s="523"/>
      <c r="F18" s="523"/>
      <c r="H18" s="557"/>
    </row>
    <row r="19">
      <c r="B19" s="512" t="s">
        <v>292</v>
      </c>
      <c r="C19" s="522">
        <v>1.2267789E8</v>
      </c>
      <c r="D19" s="523"/>
      <c r="E19" s="523"/>
      <c r="F19" s="523"/>
      <c r="H19" s="557"/>
    </row>
    <row r="20">
      <c r="B20" s="512" t="s">
        <v>293</v>
      </c>
      <c r="C20" s="524">
        <v>0.9464850771770864</v>
      </c>
      <c r="D20" s="511"/>
      <c r="E20" s="511"/>
      <c r="F20" s="511"/>
      <c r="H20" s="590"/>
    </row>
    <row r="21">
      <c r="B21" s="512" t="s">
        <v>294</v>
      </c>
      <c r="C21" s="522">
        <v>6936293.0</v>
      </c>
      <c r="D21" s="511"/>
      <c r="E21" s="511"/>
      <c r="F21" s="511"/>
      <c r="H21" s="557"/>
    </row>
    <row r="22">
      <c r="B22" s="512" t="s">
        <v>295</v>
      </c>
      <c r="C22" s="522">
        <v>119591.25862068965</v>
      </c>
      <c r="D22" s="511"/>
      <c r="E22" s="511"/>
      <c r="F22" s="511"/>
      <c r="H22" s="557"/>
    </row>
    <row r="23">
      <c r="B23" s="512" t="s">
        <v>296</v>
      </c>
      <c r="C23" s="522">
        <v>5432157.6</v>
      </c>
      <c r="D23" s="511"/>
      <c r="E23" s="511"/>
      <c r="F23" s="511"/>
      <c r="H23" s="557"/>
    </row>
    <row r="24">
      <c r="B24" s="512" t="s">
        <v>297</v>
      </c>
      <c r="C24" s="525">
        <v>4115281.0</v>
      </c>
      <c r="D24" s="511"/>
      <c r="E24" s="511"/>
      <c r="F24" s="511"/>
      <c r="H24" s="527"/>
    </row>
    <row r="25">
      <c r="B25" s="512" t="s">
        <v>298</v>
      </c>
      <c r="C25" s="524">
        <v>0.757577615200266</v>
      </c>
      <c r="D25" s="511"/>
      <c r="E25" s="511"/>
      <c r="F25" s="511"/>
      <c r="H25" s="590"/>
    </row>
    <row r="26">
      <c r="B26" s="512" t="s">
        <v>299</v>
      </c>
      <c r="C26" s="522">
        <v>1230324.0</v>
      </c>
      <c r="D26" s="511"/>
      <c r="E26" s="511"/>
      <c r="F26" s="511"/>
      <c r="H26" s="557"/>
    </row>
    <row r="27">
      <c r="B27" s="512" t="s">
        <v>300</v>
      </c>
      <c r="C27" s="525">
        <v>2884957.0</v>
      </c>
      <c r="D27" s="511"/>
      <c r="E27" s="511"/>
      <c r="F27" s="511"/>
      <c r="H27" s="527"/>
    </row>
    <row r="28">
      <c r="B28" s="512" t="s">
        <v>301</v>
      </c>
      <c r="C28" s="522">
        <v>49740.637931034486</v>
      </c>
      <c r="D28" s="511"/>
      <c r="E28" s="511"/>
      <c r="F28" s="511"/>
      <c r="H28" s="557"/>
    </row>
    <row r="29">
      <c r="B29" s="512" t="s">
        <v>302</v>
      </c>
      <c r="C29" s="525">
        <v>582310.2</v>
      </c>
      <c r="D29" s="511"/>
      <c r="E29" s="511"/>
      <c r="F29" s="511"/>
      <c r="H29" s="527"/>
    </row>
    <row r="30">
      <c r="B30" s="512" t="s">
        <v>303</v>
      </c>
      <c r="C30" s="525">
        <v>2302646.8</v>
      </c>
      <c r="D30" s="511"/>
      <c r="E30" s="511"/>
      <c r="F30" s="511"/>
      <c r="H30" s="527"/>
    </row>
    <row r="31">
      <c r="A31" s="33"/>
      <c r="B31" s="591" t="s">
        <v>304</v>
      </c>
      <c r="C31" s="597">
        <v>0.0</v>
      </c>
      <c r="D31" s="591"/>
      <c r="E31" s="591"/>
      <c r="F31" s="591"/>
      <c r="G31" s="33"/>
      <c r="H31" s="595"/>
      <c r="I31" s="33"/>
      <c r="J31" s="33"/>
      <c r="K31" s="33"/>
      <c r="L31" s="33"/>
      <c r="M31" s="33"/>
      <c r="N31" s="33"/>
      <c r="O31" s="33"/>
      <c r="P31" s="33"/>
      <c r="Q31" s="33"/>
      <c r="R31" s="33"/>
      <c r="S31" s="33"/>
      <c r="T31" s="33"/>
      <c r="U31" s="33"/>
      <c r="V31" s="33"/>
      <c r="W31" s="33"/>
      <c r="X31" s="33"/>
      <c r="Y31" s="33"/>
      <c r="Z31" s="33"/>
      <c r="AA31" s="33"/>
    </row>
    <row r="32">
      <c r="A32" s="33"/>
      <c r="B32" s="594" t="s">
        <v>305</v>
      </c>
      <c r="C32" s="597">
        <v>0.0</v>
      </c>
      <c r="D32" s="594"/>
      <c r="E32" s="594"/>
      <c r="F32" s="594"/>
      <c r="G32" s="33"/>
      <c r="H32" s="595"/>
      <c r="I32" s="33"/>
      <c r="J32" s="33"/>
      <c r="K32" s="33"/>
      <c r="L32" s="33"/>
      <c r="M32" s="33"/>
      <c r="N32" s="33"/>
      <c r="O32" s="33"/>
      <c r="P32" s="33"/>
      <c r="Q32" s="33"/>
      <c r="R32" s="33"/>
      <c r="S32" s="33"/>
      <c r="T32" s="33"/>
      <c r="U32" s="33"/>
      <c r="V32" s="33"/>
      <c r="W32" s="33"/>
      <c r="X32" s="33"/>
      <c r="Y32" s="33"/>
      <c r="Z32" s="33"/>
      <c r="AA32" s="33"/>
    </row>
    <row r="33">
      <c r="B33" s="532" t="s">
        <v>343</v>
      </c>
      <c r="C33" s="534">
        <v>299012.0</v>
      </c>
      <c r="D33" s="533"/>
      <c r="E33" s="533"/>
      <c r="F33" s="533"/>
      <c r="H33" s="557"/>
    </row>
    <row r="34">
      <c r="B34" s="547" t="s">
        <v>131</v>
      </c>
      <c r="C34" s="534">
        <v>0.0</v>
      </c>
      <c r="D34" s="533"/>
      <c r="E34" s="533"/>
      <c r="F34" s="533"/>
      <c r="H34" s="557"/>
    </row>
    <row r="35">
      <c r="B35" s="536" t="s">
        <v>135</v>
      </c>
      <c r="C35" s="534">
        <v>1564063.0</v>
      </c>
      <c r="D35" s="537"/>
      <c r="E35" s="537"/>
      <c r="F35" s="537"/>
      <c r="H35" s="557"/>
    </row>
    <row r="36">
      <c r="B36" s="538" t="s">
        <v>129</v>
      </c>
      <c r="C36" s="522">
        <v>19125.0</v>
      </c>
      <c r="D36" s="511"/>
      <c r="E36" s="511"/>
      <c r="F36" s="511"/>
      <c r="H36" s="557"/>
    </row>
    <row r="37">
      <c r="B37" s="538" t="s">
        <v>127</v>
      </c>
      <c r="C37" s="522">
        <v>67430.0</v>
      </c>
      <c r="D37" s="511"/>
      <c r="E37" s="511"/>
      <c r="F37" s="511"/>
      <c r="H37" s="557"/>
    </row>
    <row r="38">
      <c r="B38" s="538" t="s">
        <v>336</v>
      </c>
      <c r="C38" s="522">
        <v>111317.0</v>
      </c>
      <c r="D38" s="511"/>
      <c r="E38" s="511"/>
      <c r="F38" s="511"/>
      <c r="H38" s="557"/>
    </row>
    <row r="39">
      <c r="B39" s="538" t="s">
        <v>337</v>
      </c>
      <c r="C39" s="522">
        <v>17847.449999999997</v>
      </c>
      <c r="D39" s="511"/>
      <c r="E39" s="511"/>
      <c r="F39" s="511"/>
      <c r="H39" s="557"/>
    </row>
    <row r="40">
      <c r="B40" s="530" t="s">
        <v>307</v>
      </c>
      <c r="C40" s="598">
        <v>2078794.45</v>
      </c>
      <c r="D40" s="531"/>
      <c r="E40" s="531"/>
      <c r="F40" s="531"/>
      <c r="H40" s="557"/>
    </row>
    <row r="41">
      <c r="B41" s="532" t="s">
        <v>311</v>
      </c>
      <c r="C41" s="534">
        <v>673606.0</v>
      </c>
      <c r="D41" s="533"/>
      <c r="E41" s="533"/>
      <c r="F41" s="533"/>
      <c r="H41" s="557"/>
    </row>
    <row r="42">
      <c r="B42" s="532" t="s">
        <v>338</v>
      </c>
      <c r="C42" s="540">
        <v>-449753.65000000014</v>
      </c>
      <c r="D42" s="533"/>
      <c r="E42" s="533"/>
      <c r="F42" s="533"/>
      <c r="H42" s="551"/>
    </row>
    <row r="43">
      <c r="B43" s="568"/>
      <c r="C43" s="568"/>
    </row>
    <row r="44">
      <c r="A44" s="569"/>
      <c r="B44" s="1"/>
      <c r="C44" s="552"/>
    </row>
    <row r="45">
      <c r="A45" s="569"/>
      <c r="B45" s="1"/>
      <c r="C45" s="1"/>
    </row>
    <row r="46">
      <c r="B46" s="1"/>
      <c r="C46" s="552"/>
    </row>
    <row r="47">
      <c r="A47" s="569"/>
      <c r="B47" s="1"/>
      <c r="C47" s="552"/>
    </row>
    <row r="48">
      <c r="A48" s="569"/>
      <c r="B48" s="1"/>
      <c r="C48" s="552"/>
    </row>
  </sheetData>
  <hyperlinks>
    <hyperlink r:id="rId1" location="gid=0" ref="B34"/>
    <hyperlink r:id="rId2" location="gid=0" ref="B35"/>
    <hyperlink r:id="rId3" ref="B36"/>
    <hyperlink r:id="rId4" location="gid=441054899" ref="B37"/>
    <hyperlink r:id="rId5" location="gid=0" ref="B38"/>
    <hyperlink r:id="rId6" location="gid=2089831337" ref="B39"/>
  </hyperlinks>
  <drawing r:id="rId7"/>
  <tableParts count="1">
    <tablePart r:id="rId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18.13"/>
    <col customWidth="1" min="4" max="4" width="16.88"/>
    <col customWidth="1" min="5" max="5" width="16.0"/>
    <col customWidth="1" min="6" max="6" width="14.88"/>
    <col customWidth="1" min="8" max="8" width="16.0"/>
  </cols>
  <sheetData>
    <row r="2">
      <c r="B2" s="54" t="s">
        <v>350</v>
      </c>
      <c r="C2" s="55"/>
      <c r="D2" s="1" t="s">
        <v>351</v>
      </c>
    </row>
    <row r="3">
      <c r="B3" s="54" t="s">
        <v>352</v>
      </c>
      <c r="C3" s="55"/>
      <c r="D3" s="54" t="s">
        <v>353</v>
      </c>
      <c r="E3" s="55"/>
      <c r="F3" s="54" t="s">
        <v>354</v>
      </c>
      <c r="G3" s="55"/>
      <c r="H3" s="54" t="s">
        <v>355</v>
      </c>
      <c r="I3" s="55"/>
    </row>
    <row r="4">
      <c r="B4" s="54" t="s">
        <v>356</v>
      </c>
      <c r="C4" s="55"/>
      <c r="D4" s="54" t="s">
        <v>357</v>
      </c>
      <c r="E4" s="55"/>
      <c r="F4" s="54" t="s">
        <v>358</v>
      </c>
      <c r="G4" s="55"/>
      <c r="H4" s="54" t="s">
        <v>359</v>
      </c>
      <c r="I4" s="55"/>
    </row>
    <row r="5">
      <c r="B5" s="54" t="s">
        <v>360</v>
      </c>
      <c r="C5" s="55"/>
      <c r="D5" s="54" t="s">
        <v>361</v>
      </c>
      <c r="E5" s="55"/>
      <c r="F5" s="54" t="s">
        <v>362</v>
      </c>
      <c r="G5" s="55"/>
      <c r="H5" s="54" t="s">
        <v>363</v>
      </c>
      <c r="I5" s="55"/>
    </row>
    <row r="6">
      <c r="B6" s="54" t="s">
        <v>364</v>
      </c>
      <c r="C6" s="55"/>
      <c r="D6" s="54" t="s">
        <v>365</v>
      </c>
      <c r="E6" s="55"/>
      <c r="F6" s="54" t="s">
        <v>366</v>
      </c>
      <c r="G6" s="55"/>
      <c r="H6" s="54" t="s">
        <v>367</v>
      </c>
      <c r="I6" s="55"/>
    </row>
    <row r="7">
      <c r="B7" s="54" t="s">
        <v>368</v>
      </c>
      <c r="C7" s="55"/>
      <c r="D7" s="54" t="s">
        <v>369</v>
      </c>
      <c r="E7" s="55"/>
      <c r="F7" s="54" t="s">
        <v>370</v>
      </c>
      <c r="G7" s="55"/>
      <c r="H7" s="54" t="s">
        <v>371</v>
      </c>
      <c r="I7" s="55"/>
    </row>
    <row r="8">
      <c r="B8" s="1" t="s">
        <v>372</v>
      </c>
      <c r="D8" s="54" t="s">
        <v>373</v>
      </c>
      <c r="E8" s="55"/>
      <c r="F8" s="54" t="s">
        <v>374</v>
      </c>
      <c r="G8" s="55"/>
      <c r="H8" s="54" t="s">
        <v>375</v>
      </c>
      <c r="I8" s="55"/>
    </row>
    <row r="9">
      <c r="D9" s="54" t="s">
        <v>376</v>
      </c>
      <c r="E9" s="55"/>
      <c r="F9" s="54" t="s">
        <v>377</v>
      </c>
      <c r="G9" s="55"/>
      <c r="H9" s="54" t="s">
        <v>378</v>
      </c>
      <c r="I9" s="55"/>
    </row>
    <row r="10">
      <c r="D10" s="54" t="s">
        <v>379</v>
      </c>
      <c r="E10" s="55"/>
      <c r="F10" s="54" t="s">
        <v>380</v>
      </c>
      <c r="G10" s="55"/>
      <c r="H10" s="54" t="s">
        <v>381</v>
      </c>
      <c r="I10" s="55"/>
    </row>
    <row r="11">
      <c r="D11" s="54" t="s">
        <v>382</v>
      </c>
      <c r="E11" s="55"/>
      <c r="F11" s="54" t="s">
        <v>383</v>
      </c>
      <c r="G11" s="55"/>
      <c r="H11" s="54" t="s">
        <v>384</v>
      </c>
      <c r="I11" s="55"/>
    </row>
    <row r="12">
      <c r="B12" s="54" t="s">
        <v>385</v>
      </c>
      <c r="C12" s="55"/>
    </row>
    <row r="13">
      <c r="B13" s="54" t="s">
        <v>386</v>
      </c>
      <c r="C13" s="55"/>
    </row>
    <row r="14">
      <c r="B14" s="54" t="s">
        <v>387</v>
      </c>
      <c r="C14" s="55"/>
    </row>
    <row r="15">
      <c r="B15" s="54" t="s">
        <v>388</v>
      </c>
      <c r="C15" s="55"/>
    </row>
    <row r="16">
      <c r="B16" s="54" t="s">
        <v>389</v>
      </c>
      <c r="C16" s="55"/>
    </row>
    <row r="17">
      <c r="B17" s="54" t="s">
        <v>390</v>
      </c>
      <c r="C17" s="55"/>
    </row>
    <row r="18">
      <c r="B18" s="54" t="s">
        <v>391</v>
      </c>
      <c r="C18" s="55"/>
    </row>
    <row r="19">
      <c r="B19" s="54" t="s">
        <v>392</v>
      </c>
      <c r="C19" s="55"/>
    </row>
    <row r="20">
      <c r="B20" s="54" t="s">
        <v>393</v>
      </c>
      <c r="C20" s="55"/>
    </row>
    <row r="21">
      <c r="B21" s="54" t="s">
        <v>394</v>
      </c>
      <c r="C21" s="55"/>
    </row>
    <row r="22">
      <c r="B22" s="54" t="s">
        <v>395</v>
      </c>
      <c r="C22" s="55"/>
    </row>
    <row r="23">
      <c r="B23" s="54" t="s">
        <v>396</v>
      </c>
      <c r="C23" s="55"/>
    </row>
    <row r="24">
      <c r="B24" s="54" t="s">
        <v>397</v>
      </c>
      <c r="C24" s="55"/>
    </row>
    <row r="25">
      <c r="B25" s="54" t="s">
        <v>398</v>
      </c>
      <c r="C25" s="55"/>
    </row>
    <row r="26">
      <c r="B26" s="54" t="s">
        <v>399</v>
      </c>
      <c r="C26" s="55"/>
    </row>
    <row r="27">
      <c r="B27" s="54" t="s">
        <v>400</v>
      </c>
      <c r="C27" s="55"/>
    </row>
    <row r="28">
      <c r="B28" s="54" t="s">
        <v>401</v>
      </c>
      <c r="C28" s="55"/>
      <c r="D28" s="599" t="s">
        <v>402</v>
      </c>
      <c r="E28" s="496"/>
    </row>
    <row r="29">
      <c r="B29" s="54" t="s">
        <v>403</v>
      </c>
      <c r="C29" s="55"/>
      <c r="D29" s="54" t="s">
        <v>195</v>
      </c>
      <c r="E29" s="54" t="s">
        <v>191</v>
      </c>
    </row>
    <row r="30">
      <c r="B30" s="54" t="s">
        <v>297</v>
      </c>
      <c r="C30" s="55"/>
      <c r="D30" s="55"/>
      <c r="E30" s="55"/>
    </row>
    <row r="31">
      <c r="B31" s="54" t="s">
        <v>298</v>
      </c>
      <c r="C31" s="55"/>
      <c r="D31" s="599" t="s">
        <v>404</v>
      </c>
      <c r="E31" s="496"/>
    </row>
    <row r="32">
      <c r="B32" s="54" t="s">
        <v>405</v>
      </c>
      <c r="C32" s="55"/>
      <c r="D32" s="54" t="s">
        <v>195</v>
      </c>
      <c r="E32" s="54" t="s">
        <v>191</v>
      </c>
    </row>
    <row r="33">
      <c r="B33" s="54" t="s">
        <v>299</v>
      </c>
      <c r="C33" s="55"/>
      <c r="D33" s="55"/>
      <c r="E33" s="55"/>
    </row>
    <row r="34">
      <c r="B34" s="54" t="s">
        <v>300</v>
      </c>
      <c r="C34" s="55"/>
    </row>
    <row r="35">
      <c r="B35" s="54" t="s">
        <v>302</v>
      </c>
      <c r="C35" s="55"/>
    </row>
    <row r="36">
      <c r="B36" s="54" t="s">
        <v>303</v>
      </c>
      <c r="C36" s="55"/>
    </row>
    <row r="37">
      <c r="B37" s="54" t="s">
        <v>311</v>
      </c>
      <c r="C37" s="55"/>
    </row>
    <row r="38">
      <c r="B38" s="54" t="s">
        <v>305</v>
      </c>
      <c r="C38" s="55"/>
    </row>
    <row r="39">
      <c r="B39" s="54" t="s">
        <v>406</v>
      </c>
      <c r="C39" s="55"/>
    </row>
    <row r="40">
      <c r="B40" s="54" t="s">
        <v>407</v>
      </c>
      <c r="C40" s="55"/>
    </row>
    <row r="41">
      <c r="B41" s="54" t="s">
        <v>408</v>
      </c>
      <c r="C41" s="55"/>
    </row>
  </sheetData>
  <mergeCells count="2">
    <mergeCell ref="D28:E28"/>
    <mergeCell ref="D31:E3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600" t="s">
        <v>409</v>
      </c>
    </row>
    <row r="2">
      <c r="B2" s="601">
        <v>45792.329722222225</v>
      </c>
    </row>
    <row r="3">
      <c r="B3" s="601">
        <v>45792.329351851855</v>
      </c>
    </row>
    <row r="4">
      <c r="B4" s="601">
        <v>45792.32923611111</v>
      </c>
    </row>
    <row r="5">
      <c r="B5" s="601">
        <v>45792.329039351855</v>
      </c>
    </row>
    <row r="6">
      <c r="B6" s="601">
        <v>45792.3275</v>
      </c>
    </row>
    <row r="7">
      <c r="B7" s="601">
        <v>45792.32628472222</v>
      </c>
    </row>
    <row r="8">
      <c r="B8" s="601">
        <v>45792.30844907407</v>
      </c>
    </row>
    <row r="9">
      <c r="B9" s="601">
        <v>45792.304444444446</v>
      </c>
    </row>
    <row r="10">
      <c r="B10" s="601">
        <v>45792.30422453704</v>
      </c>
    </row>
    <row r="11">
      <c r="B11" s="601">
        <v>45792.23443287037</v>
      </c>
    </row>
    <row r="12">
      <c r="B12" s="601">
        <v>45792.20722222222</v>
      </c>
    </row>
    <row r="13">
      <c r="B13" s="601">
        <v>45792.18760416667</v>
      </c>
    </row>
    <row r="14">
      <c r="B14" s="601">
        <v>45792.16296296296</v>
      </c>
    </row>
    <row r="15">
      <c r="B15" s="601">
        <v>45792.158425925925</v>
      </c>
    </row>
    <row r="16">
      <c r="B16" s="601">
        <v>45792.1571875</v>
      </c>
    </row>
    <row r="17">
      <c r="B17" s="601">
        <v>45792.10875</v>
      </c>
    </row>
    <row r="18">
      <c r="B18" s="601">
        <v>45792.00534722222</v>
      </c>
    </row>
    <row r="19">
      <c r="B19" s="601">
        <v>45791.80490740741</v>
      </c>
    </row>
    <row r="20">
      <c r="B20" s="601">
        <v>45791.74949074074</v>
      </c>
    </row>
    <row r="21">
      <c r="B21" s="601">
        <v>45791.61172453704</v>
      </c>
    </row>
    <row r="22">
      <c r="B22" s="601">
        <v>45791.595185185186</v>
      </c>
    </row>
    <row r="23">
      <c r="B23" s="601">
        <v>45791.577210648145</v>
      </c>
    </row>
    <row r="24">
      <c r="B24" s="601">
        <v>45791.518842592595</v>
      </c>
    </row>
    <row r="25">
      <c r="B25" s="601">
        <v>45791.51545138889</v>
      </c>
    </row>
    <row r="26">
      <c r="B26" s="601">
        <v>45791.31576388889</v>
      </c>
    </row>
    <row r="27">
      <c r="B27" s="601">
        <v>45791.303935185184</v>
      </c>
    </row>
    <row r="28">
      <c r="B28" s="601">
        <v>45791.292291666665</v>
      </c>
    </row>
    <row r="29">
      <c r="B29" s="601">
        <v>45791.236921296295</v>
      </c>
    </row>
    <row r="30">
      <c r="B30" s="601">
        <v>45791.22866898148</v>
      </c>
    </row>
    <row r="31">
      <c r="B31" s="601">
        <v>45791.12096064815</v>
      </c>
    </row>
    <row r="32">
      <c r="B32" s="601">
        <v>45791.05069444444</v>
      </c>
    </row>
    <row r="33">
      <c r="B33" s="601">
        <v>45791.01422453704</v>
      </c>
    </row>
    <row r="34">
      <c r="B34" s="601">
        <v>45790.836435185185</v>
      </c>
    </row>
    <row r="35">
      <c r="B35" s="601">
        <v>45790.83392361111</v>
      </c>
    </row>
    <row r="36">
      <c r="B36" s="601">
        <v>45790.78123842592</v>
      </c>
    </row>
    <row r="37">
      <c r="B37" s="601">
        <v>45790.70890046296</v>
      </c>
    </row>
    <row r="38">
      <c r="B38" s="601">
        <v>45790.64299768519</v>
      </c>
    </row>
    <row r="39">
      <c r="B39" s="601">
        <v>45790.61035879629</v>
      </c>
    </row>
    <row r="40">
      <c r="B40" s="601">
        <v>45790.57572916667</v>
      </c>
    </row>
    <row r="41">
      <c r="B41" s="601">
        <v>45790.50513888889</v>
      </c>
    </row>
    <row r="42">
      <c r="B42" s="601">
        <v>45790.496354166666</v>
      </c>
    </row>
    <row r="43">
      <c r="B43" s="601">
        <v>45790.474131944444</v>
      </c>
    </row>
    <row r="44">
      <c r="B44" s="601">
        <v>45790.32361111111</v>
      </c>
    </row>
    <row r="45">
      <c r="B45" s="601">
        <v>45790.25579861111</v>
      </c>
    </row>
    <row r="46">
      <c r="B46" s="601">
        <v>45790.14739583333</v>
      </c>
    </row>
    <row r="47">
      <c r="B47" s="601">
        <v>45790.136921296296</v>
      </c>
    </row>
    <row r="48">
      <c r="B48" s="601">
        <v>45790.13140046296</v>
      </c>
    </row>
    <row r="49">
      <c r="B49" s="601">
        <v>45790.12060185185</v>
      </c>
    </row>
    <row r="50">
      <c r="B50" s="601">
        <v>45789.93614583334</v>
      </c>
    </row>
    <row r="51">
      <c r="B51" s="601">
        <v>45789.68208333333</v>
      </c>
    </row>
    <row r="52">
      <c r="B52" s="601">
        <v>45789.64717592593</v>
      </c>
    </row>
    <row r="53">
      <c r="B53" s="601">
        <v>45789.60863425926</v>
      </c>
    </row>
    <row r="54">
      <c r="B54" s="601">
        <v>45789.58385416667</v>
      </c>
    </row>
    <row r="55">
      <c r="B55" s="601">
        <v>45789.57005787037</v>
      </c>
    </row>
    <row r="56">
      <c r="B56" s="601">
        <v>45789.37645833333</v>
      </c>
    </row>
    <row r="57">
      <c r="B57" s="601">
        <v>45788.49953703704</v>
      </c>
    </row>
    <row r="58">
      <c r="B58" s="601">
        <v>45788.39800925926</v>
      </c>
    </row>
    <row r="59">
      <c r="B59" s="601">
        <v>45788.35543981481</v>
      </c>
    </row>
    <row r="60">
      <c r="B60" s="601">
        <v>45788.35403935185</v>
      </c>
    </row>
    <row r="61">
      <c r="B61" s="601">
        <v>45788.235555555555</v>
      </c>
    </row>
    <row r="62">
      <c r="B62" s="601">
        <v>45787.767222222225</v>
      </c>
    </row>
    <row r="63">
      <c r="B63" s="601">
        <v>45787.56841435185</v>
      </c>
    </row>
    <row r="64">
      <c r="B64" s="601">
        <v>45787.363171296296</v>
      </c>
    </row>
    <row r="65">
      <c r="B65" s="601">
        <v>45787.302083333336</v>
      </c>
    </row>
    <row r="66">
      <c r="B66" s="601">
        <v>45786.58850694444</v>
      </c>
    </row>
    <row r="67">
      <c r="B67" s="601">
        <v>45786.545798611114</v>
      </c>
    </row>
    <row r="68">
      <c r="B68" s="601">
        <v>45786.3858912037</v>
      </c>
    </row>
    <row r="69">
      <c r="B69" s="601">
        <v>45786.04954861111</v>
      </c>
    </row>
    <row r="70">
      <c r="B70" s="601">
        <v>45785.68231481482</v>
      </c>
    </row>
    <row r="71">
      <c r="B71" s="601">
        <v>45785.63092592593</v>
      </c>
    </row>
    <row r="72">
      <c r="B72" s="601">
        <v>45785.54570601852</v>
      </c>
    </row>
    <row r="73">
      <c r="B73" s="601">
        <v>45785.375613425924</v>
      </c>
    </row>
    <row r="74">
      <c r="B74" s="601">
        <v>45784.86230324074</v>
      </c>
    </row>
    <row r="75">
      <c r="B75" s="601">
        <v>45784.763449074075</v>
      </c>
    </row>
    <row r="76">
      <c r="B76" s="601">
        <v>45784.56012731481</v>
      </c>
    </row>
    <row r="77">
      <c r="B77" s="601">
        <v>45784.41819444444</v>
      </c>
    </row>
    <row r="78">
      <c r="B78" s="601">
        <v>45784.406747685185</v>
      </c>
    </row>
    <row r="79">
      <c r="B79" s="601">
        <v>45784.24074074074</v>
      </c>
    </row>
    <row r="80">
      <c r="B80" s="601">
        <v>45783.656435185185</v>
      </c>
    </row>
    <row r="81">
      <c r="B81" s="601">
        <v>45783.15399305556</v>
      </c>
    </row>
    <row r="82">
      <c r="B82" s="601">
        <v>45782.28140046296</v>
      </c>
    </row>
    <row r="83">
      <c r="B83" s="601">
        <v>45782.224583333336</v>
      </c>
    </row>
    <row r="84">
      <c r="B84" s="601">
        <v>45781.35627314815</v>
      </c>
    </row>
    <row r="85">
      <c r="B85" s="601">
        <v>45781.05388888889</v>
      </c>
    </row>
    <row r="86">
      <c r="B86" s="601">
        <v>45780.7775</v>
      </c>
    </row>
    <row r="87">
      <c r="B87" s="601">
        <v>45780.68146990741</v>
      </c>
    </row>
    <row r="88">
      <c r="B88" s="601">
        <v>45780.646944444445</v>
      </c>
    </row>
    <row r="89">
      <c r="B89" s="601">
        <v>45780.61855324074</v>
      </c>
    </row>
    <row r="90">
      <c r="B90" s="601">
        <v>45779.98006944444</v>
      </c>
    </row>
    <row r="91">
      <c r="B91" s="601">
        <v>45779.62421296296</v>
      </c>
    </row>
    <row r="92">
      <c r="B92" s="601">
        <v>45779.62070601852</v>
      </c>
    </row>
    <row r="93">
      <c r="B93" s="601">
        <v>45779.50336805556</v>
      </c>
    </row>
    <row r="94">
      <c r="B94" s="601">
        <v>45779.33628472222</v>
      </c>
    </row>
    <row r="95">
      <c r="B95" s="601">
        <v>45779.11292824074</v>
      </c>
    </row>
    <row r="96">
      <c r="B96" s="601">
        <v>45778.87956018518</v>
      </c>
    </row>
    <row r="97">
      <c r="B97" s="601">
        <v>45778.2840162037</v>
      </c>
    </row>
    <row r="98">
      <c r="B98" s="601">
        <v>45777.717777777776</v>
      </c>
    </row>
    <row r="99">
      <c r="B99" s="601">
        <v>45777.46126157408</v>
      </c>
    </row>
    <row r="100">
      <c r="B100" s="601">
        <v>45776.964641203704</v>
      </c>
    </row>
    <row r="101">
      <c r="B101" s="601">
        <v>45776.42917824074</v>
      </c>
    </row>
    <row r="102">
      <c r="B102" s="601">
        <v>45776.28361111111</v>
      </c>
    </row>
    <row r="103">
      <c r="B103" s="601">
        <v>45775.95087962963</v>
      </c>
    </row>
    <row r="104">
      <c r="B104" s="601">
        <v>45775.89581018518</v>
      </c>
    </row>
    <row r="105">
      <c r="B105" s="601">
        <v>45775.68962962963</v>
      </c>
    </row>
    <row r="106">
      <c r="B106" s="601">
        <v>45775.4134837963</v>
      </c>
    </row>
    <row r="107">
      <c r="B107" s="601">
        <v>45774.50722222222</v>
      </c>
    </row>
    <row r="108">
      <c r="B108" s="601">
        <v>45774.47336805556</v>
      </c>
    </row>
    <row r="109">
      <c r="B109" s="601">
        <v>45774.26304398148</v>
      </c>
    </row>
    <row r="110">
      <c r="B110" s="601">
        <v>45774.23978009259</v>
      </c>
    </row>
    <row r="111">
      <c r="B111" s="601">
        <v>45774.2325</v>
      </c>
    </row>
    <row r="112">
      <c r="B112" s="601">
        <v>45773.64677083334</v>
      </c>
    </row>
    <row r="113">
      <c r="B113" s="601">
        <v>45773.58115740741</v>
      </c>
    </row>
    <row r="114">
      <c r="B114" s="601">
        <v>45773.340532407405</v>
      </c>
    </row>
    <row r="115">
      <c r="B115" s="601">
        <v>45773.203888888886</v>
      </c>
    </row>
    <row r="116">
      <c r="B116" s="601">
        <v>45773.18612268518</v>
      </c>
    </row>
    <row r="117">
      <c r="B117" s="601">
        <v>45772.78488425926</v>
      </c>
    </row>
    <row r="118">
      <c r="B118" s="601">
        <v>45772.49511574074</v>
      </c>
    </row>
    <row r="119">
      <c r="B119" s="601">
        <v>45772.47758101852</v>
      </c>
    </row>
    <row r="120">
      <c r="B120" s="601">
        <v>45772.20611111111</v>
      </c>
    </row>
    <row r="121">
      <c r="B121" s="601">
        <v>45771.59453703704</v>
      </c>
    </row>
    <row r="122">
      <c r="B122" s="601">
        <v>45771.235</v>
      </c>
    </row>
    <row r="123">
      <c r="B123" s="601">
        <v>45770.47993055556</v>
      </c>
    </row>
    <row r="124">
      <c r="B124" s="601">
        <v>45770.325324074074</v>
      </c>
    </row>
    <row r="125">
      <c r="B125" s="601">
        <v>45770.28089120371</v>
      </c>
    </row>
    <row r="126">
      <c r="B126" s="601">
        <v>45769.54472222222</v>
      </c>
    </row>
    <row r="127">
      <c r="B127" s="601">
        <v>45769.48328703704</v>
      </c>
    </row>
    <row r="128">
      <c r="B128" s="601">
        <v>45769.48049768519</v>
      </c>
    </row>
    <row r="129">
      <c r="B129" s="601">
        <v>45769.47723379629</v>
      </c>
    </row>
    <row r="130">
      <c r="B130" s="601">
        <v>45769.379328703704</v>
      </c>
    </row>
    <row r="131">
      <c r="B131" s="601">
        <v>45769.315046296295</v>
      </c>
    </row>
    <row r="132">
      <c r="B132" s="601">
        <v>45769.19789351852</v>
      </c>
    </row>
    <row r="133">
      <c r="B133" s="601">
        <v>45768.42505787037</v>
      </c>
    </row>
    <row r="134">
      <c r="B134" s="601">
        <v>45768.36309027778</v>
      </c>
    </row>
    <row r="135">
      <c r="B135" s="601">
        <v>45768.335324074076</v>
      </c>
    </row>
    <row r="136">
      <c r="B136" s="601">
        <v>45768.27501157407</v>
      </c>
    </row>
    <row r="137">
      <c r="B137" s="601">
        <v>45768.21420138889</v>
      </c>
    </row>
    <row r="138">
      <c r="B138" s="601">
        <v>45767.529965277776</v>
      </c>
    </row>
    <row r="139">
      <c r="B139" s="601">
        <v>45767.335625</v>
      </c>
    </row>
    <row r="140">
      <c r="B140" s="601">
        <v>45766.69747685185</v>
      </c>
    </row>
    <row r="141">
      <c r="B141" s="601">
        <v>45766.59631944444</v>
      </c>
    </row>
    <row r="142">
      <c r="B142" s="601">
        <v>45766.40688657408</v>
      </c>
    </row>
    <row r="143">
      <c r="B143" s="601">
        <v>45766.221608796295</v>
      </c>
    </row>
    <row r="144">
      <c r="B144" s="601">
        <v>45765.67947916667</v>
      </c>
    </row>
    <row r="145">
      <c r="B145" s="601">
        <v>45765.61194444444</v>
      </c>
    </row>
    <row r="146">
      <c r="B146" s="601">
        <v>45765.543275462966</v>
      </c>
    </row>
    <row r="147">
      <c r="B147" s="601">
        <v>45765.241643518515</v>
      </c>
    </row>
    <row r="148">
      <c r="B148" s="601">
        <v>45765.14167824074</v>
      </c>
    </row>
    <row r="149">
      <c r="B149" s="601">
        <v>45764.75630787037</v>
      </c>
    </row>
    <row r="150">
      <c r="B150" s="601">
        <v>45764.62636574074</v>
      </c>
    </row>
    <row r="151">
      <c r="B151" s="601">
        <v>45764.60141203704</v>
      </c>
    </row>
    <row r="152">
      <c r="B152" s="601">
        <v>45764.59908564815</v>
      </c>
    </row>
    <row r="153">
      <c r="B153" s="601">
        <v>45764.30988425926</v>
      </c>
    </row>
    <row r="154">
      <c r="B154" s="601">
        <v>45764.16134259259</v>
      </c>
    </row>
    <row r="155">
      <c r="B155" s="601">
        <v>45763.52365740741</v>
      </c>
    </row>
    <row r="156">
      <c r="B156" s="601">
        <v>45763.50746527778</v>
      </c>
    </row>
    <row r="157">
      <c r="B157" s="601">
        <v>45763.44657407407</v>
      </c>
    </row>
    <row r="158">
      <c r="B158" s="601">
        <v>45763.3978125</v>
      </c>
    </row>
    <row r="159">
      <c r="B159" s="601">
        <v>45763.30712962963</v>
      </c>
    </row>
    <row r="160">
      <c r="B160" s="601">
        <v>45763.25439814815</v>
      </c>
    </row>
    <row r="161">
      <c r="B161" s="601">
        <v>45762.89083333333</v>
      </c>
    </row>
    <row r="162">
      <c r="B162" s="601">
        <v>45762.863854166666</v>
      </c>
    </row>
    <row r="163">
      <c r="B163" s="601">
        <v>45762.695393518516</v>
      </c>
    </row>
    <row r="164">
      <c r="B164" s="601">
        <v>45762.62662037037</v>
      </c>
    </row>
    <row r="165">
      <c r="B165" s="601">
        <v>45762.575590277775</v>
      </c>
    </row>
    <row r="166">
      <c r="B166" s="601">
        <v>45762.44517361111</v>
      </c>
    </row>
    <row r="167">
      <c r="B167" s="601">
        <v>45762.25152777778</v>
      </c>
    </row>
    <row r="168">
      <c r="B168" s="601">
        <v>45761.466215277775</v>
      </c>
    </row>
    <row r="169">
      <c r="B169" s="601">
        <v>45761.268796296295</v>
      </c>
    </row>
    <row r="170">
      <c r="B170" s="601">
        <v>45760.58299768518</v>
      </c>
    </row>
    <row r="171">
      <c r="B171" s="601">
        <v>45760.44986111111</v>
      </c>
    </row>
    <row r="172">
      <c r="B172" s="601">
        <v>45759.158530092594</v>
      </c>
    </row>
    <row r="173">
      <c r="B173" s="601">
        <v>45759.11</v>
      </c>
    </row>
    <row r="174">
      <c r="B174" s="601">
        <v>45758.926354166666</v>
      </c>
    </row>
    <row r="175">
      <c r="B175" s="601">
        <v>45758.656493055554</v>
      </c>
    </row>
    <row r="176">
      <c r="B176" s="601">
        <v>45758.53538194444</v>
      </c>
    </row>
    <row r="177">
      <c r="B177" s="601">
        <v>45758.458391203705</v>
      </c>
    </row>
    <row r="178">
      <c r="B178" s="601">
        <v>45758.33440972222</v>
      </c>
    </row>
    <row r="179">
      <c r="B179" s="601">
        <v>45758.10230324074</v>
      </c>
    </row>
    <row r="180">
      <c r="B180" s="601">
        <v>45758.05945601852</v>
      </c>
    </row>
    <row r="181">
      <c r="B181" s="601">
        <v>45758.03042824074</v>
      </c>
    </row>
    <row r="182">
      <c r="B182" s="601">
        <v>45757.56945601852</v>
      </c>
    </row>
    <row r="183">
      <c r="B183" s="601">
        <v>45757.55201388889</v>
      </c>
    </row>
    <row r="184">
      <c r="B184" s="601">
        <v>45757.42670138889</v>
      </c>
    </row>
    <row r="185">
      <c r="B185" s="601">
        <v>45757.22115740741</v>
      </c>
    </row>
    <row r="186">
      <c r="B186" s="601">
        <v>45756.76709490741</v>
      </c>
    </row>
    <row r="187">
      <c r="B187" s="601">
        <v>45756.64877314815</v>
      </c>
    </row>
    <row r="188">
      <c r="B188" s="601">
        <v>45756.58857638889</v>
      </c>
    </row>
    <row r="189">
      <c r="B189" s="601">
        <v>45756.47513888889</v>
      </c>
    </row>
    <row r="190">
      <c r="B190" s="601">
        <v>45756.45716435185</v>
      </c>
    </row>
    <row r="191">
      <c r="B191" s="601">
        <v>45754.98643518519</v>
      </c>
    </row>
    <row r="192">
      <c r="B192" s="601">
        <v>45754.8549537037</v>
      </c>
    </row>
    <row r="193">
      <c r="B193" s="601">
        <v>45752.77521990741</v>
      </c>
    </row>
    <row r="194">
      <c r="B194" s="601">
        <v>45752.52980324074</v>
      </c>
    </row>
    <row r="195">
      <c r="B195" s="601">
        <v>45751.54736111111</v>
      </c>
    </row>
    <row r="196">
      <c r="B196" s="601">
        <v>45749.58828703704</v>
      </c>
    </row>
    <row r="197">
      <c r="B197" s="602"/>
    </row>
    <row r="198">
      <c r="B198" s="602"/>
    </row>
    <row r="199">
      <c r="B199" s="602"/>
    </row>
    <row r="200">
      <c r="B200" s="602"/>
    </row>
    <row r="201">
      <c r="B201" s="602"/>
    </row>
    <row r="202">
      <c r="B202" s="602"/>
    </row>
    <row r="203">
      <c r="B203" s="602"/>
    </row>
    <row r="204">
      <c r="B204" s="602"/>
    </row>
    <row r="205">
      <c r="B205" s="602"/>
    </row>
    <row r="206">
      <c r="B206" s="602"/>
    </row>
    <row r="207">
      <c r="B207" s="602"/>
    </row>
    <row r="208">
      <c r="B208" s="602"/>
    </row>
    <row r="209">
      <c r="B209" s="602"/>
    </row>
    <row r="210">
      <c r="B210" s="602"/>
    </row>
    <row r="211">
      <c r="B211" s="602"/>
    </row>
    <row r="212">
      <c r="B212" s="602"/>
    </row>
    <row r="213">
      <c r="B213" s="602"/>
    </row>
    <row r="214">
      <c r="B214" s="602"/>
    </row>
    <row r="215">
      <c r="B215" s="602"/>
    </row>
    <row r="216">
      <c r="B216" s="602"/>
    </row>
    <row r="217">
      <c r="B217" s="602"/>
    </row>
    <row r="218">
      <c r="B218" s="602"/>
    </row>
    <row r="219">
      <c r="B219" s="602"/>
    </row>
    <row r="220">
      <c r="B220" s="602"/>
    </row>
    <row r="221">
      <c r="B221" s="602"/>
    </row>
    <row r="222">
      <c r="B222" s="602"/>
    </row>
    <row r="223">
      <c r="B223" s="602"/>
    </row>
    <row r="224">
      <c r="B224" s="602"/>
    </row>
    <row r="225">
      <c r="B225" s="602"/>
    </row>
    <row r="226">
      <c r="B226" s="602"/>
    </row>
    <row r="227">
      <c r="B227" s="602"/>
    </row>
    <row r="228">
      <c r="B228" s="602"/>
    </row>
    <row r="229">
      <c r="B229" s="602"/>
    </row>
    <row r="230">
      <c r="B230" s="602"/>
    </row>
    <row r="231">
      <c r="B231" s="602"/>
    </row>
    <row r="232">
      <c r="B232" s="602"/>
    </row>
    <row r="233">
      <c r="B233" s="602"/>
    </row>
    <row r="234">
      <c r="B234" s="602"/>
    </row>
    <row r="235">
      <c r="B235" s="602"/>
    </row>
    <row r="236">
      <c r="B236" s="602"/>
    </row>
    <row r="237">
      <c r="B237" s="602"/>
    </row>
    <row r="238">
      <c r="B238" s="602"/>
    </row>
    <row r="239">
      <c r="B239" s="602"/>
    </row>
    <row r="240">
      <c r="B240" s="602"/>
    </row>
    <row r="241">
      <c r="B241" s="602"/>
    </row>
    <row r="242">
      <c r="B242" s="602"/>
    </row>
    <row r="243">
      <c r="B243" s="602"/>
    </row>
    <row r="244">
      <c r="B244" s="602"/>
    </row>
    <row r="245">
      <c r="B245" s="602"/>
    </row>
    <row r="246">
      <c r="B246" s="602"/>
    </row>
    <row r="247">
      <c r="B247" s="602"/>
    </row>
    <row r="248">
      <c r="B248" s="602"/>
    </row>
    <row r="249">
      <c r="B249" s="602"/>
    </row>
    <row r="250">
      <c r="B250" s="602"/>
    </row>
    <row r="251">
      <c r="B251" s="602"/>
    </row>
    <row r="252">
      <c r="B252" s="602"/>
    </row>
    <row r="253">
      <c r="B253" s="602"/>
    </row>
    <row r="254">
      <c r="B254" s="602"/>
    </row>
    <row r="255">
      <c r="B255" s="602"/>
    </row>
    <row r="256">
      <c r="B256" s="602"/>
    </row>
    <row r="257">
      <c r="B257" s="602"/>
    </row>
    <row r="258">
      <c r="B258" s="602"/>
    </row>
    <row r="259">
      <c r="B259" s="602"/>
    </row>
    <row r="260">
      <c r="B260" s="602"/>
    </row>
    <row r="261">
      <c r="B261" s="602"/>
    </row>
    <row r="262">
      <c r="B262" s="602"/>
    </row>
    <row r="263">
      <c r="B263" s="602"/>
    </row>
    <row r="264">
      <c r="B264" s="602"/>
    </row>
    <row r="265">
      <c r="B265" s="602"/>
    </row>
    <row r="266">
      <c r="B266" s="602"/>
    </row>
    <row r="267">
      <c r="B267" s="602"/>
    </row>
    <row r="268">
      <c r="B268" s="602"/>
    </row>
    <row r="269">
      <c r="B269" s="602"/>
    </row>
    <row r="270">
      <c r="B270" s="602"/>
    </row>
    <row r="271">
      <c r="B271" s="602"/>
    </row>
    <row r="272">
      <c r="B272" s="602"/>
    </row>
    <row r="273">
      <c r="B273" s="602"/>
    </row>
    <row r="274">
      <c r="B274" s="602"/>
    </row>
    <row r="275">
      <c r="B275" s="602"/>
    </row>
    <row r="276">
      <c r="B276" s="602"/>
    </row>
    <row r="277">
      <c r="B277" s="602"/>
    </row>
    <row r="278">
      <c r="B278" s="602"/>
    </row>
    <row r="279">
      <c r="B279" s="602"/>
    </row>
    <row r="280">
      <c r="B280" s="602"/>
    </row>
    <row r="281">
      <c r="B281" s="602"/>
    </row>
    <row r="282">
      <c r="B282" s="602"/>
    </row>
    <row r="283">
      <c r="B283" s="602"/>
    </row>
    <row r="284">
      <c r="B284" s="602"/>
    </row>
    <row r="285">
      <c r="B285" s="602"/>
    </row>
    <row r="286">
      <c r="B286" s="602"/>
    </row>
    <row r="287">
      <c r="B287" s="602"/>
    </row>
    <row r="288">
      <c r="B288" s="602"/>
    </row>
    <row r="289">
      <c r="B289" s="602"/>
    </row>
    <row r="290">
      <c r="B290" s="602"/>
    </row>
    <row r="291">
      <c r="B291" s="602"/>
    </row>
    <row r="292">
      <c r="B292" s="601"/>
    </row>
    <row r="293">
      <c r="B293" s="601"/>
    </row>
    <row r="294">
      <c r="B294" s="601"/>
    </row>
    <row r="295">
      <c r="B295" s="601"/>
    </row>
    <row r="296">
      <c r="B296" s="601"/>
    </row>
    <row r="297">
      <c r="B297" s="601"/>
    </row>
    <row r="298">
      <c r="B298" s="601"/>
    </row>
    <row r="299">
      <c r="B299" s="601"/>
    </row>
    <row r="300">
      <c r="B300" s="601"/>
    </row>
    <row r="301">
      <c r="B301" s="601"/>
    </row>
    <row r="302">
      <c r="B302" s="601"/>
    </row>
    <row r="303">
      <c r="B303" s="601"/>
    </row>
    <row r="304">
      <c r="B304" s="601"/>
    </row>
    <row r="305">
      <c r="B305" s="601"/>
    </row>
    <row r="306">
      <c r="B306" s="601"/>
    </row>
    <row r="307">
      <c r="B307" s="601"/>
    </row>
    <row r="308">
      <c r="B308" s="601"/>
    </row>
    <row r="309">
      <c r="B309" s="601"/>
    </row>
    <row r="310">
      <c r="B310" s="601"/>
    </row>
    <row r="311">
      <c r="B311" s="601"/>
    </row>
    <row r="312">
      <c r="B312" s="601"/>
    </row>
    <row r="313">
      <c r="B313" s="601"/>
    </row>
    <row r="314">
      <c r="B314" s="601"/>
    </row>
    <row r="315">
      <c r="B315" s="601"/>
    </row>
    <row r="316">
      <c r="B316" s="601"/>
    </row>
    <row r="317">
      <c r="B317" s="601"/>
    </row>
    <row r="318">
      <c r="B318" s="601"/>
    </row>
    <row r="319">
      <c r="B319" s="601"/>
    </row>
    <row r="320">
      <c r="B320" s="601"/>
    </row>
    <row r="321">
      <c r="B321" s="601"/>
    </row>
    <row r="322">
      <c r="B322" s="601"/>
    </row>
    <row r="323">
      <c r="B323" s="601"/>
    </row>
    <row r="324">
      <c r="B324" s="601"/>
    </row>
    <row r="325">
      <c r="B325" s="601"/>
    </row>
    <row r="326">
      <c r="B326" s="601"/>
    </row>
    <row r="327">
      <c r="B327" s="601"/>
    </row>
    <row r="328">
      <c r="B328" s="601"/>
    </row>
    <row r="329">
      <c r="B329" s="601"/>
    </row>
    <row r="330">
      <c r="B330" s="601"/>
    </row>
    <row r="331">
      <c r="B331" s="601"/>
    </row>
    <row r="332">
      <c r="B332" s="601"/>
    </row>
    <row r="333">
      <c r="B333" s="601"/>
    </row>
    <row r="334">
      <c r="B334" s="601"/>
    </row>
    <row r="335">
      <c r="B335" s="601"/>
    </row>
    <row r="336">
      <c r="B336" s="601"/>
    </row>
    <row r="337">
      <c r="B337" s="601"/>
    </row>
    <row r="338">
      <c r="B338" s="601"/>
    </row>
    <row r="339">
      <c r="B339" s="601"/>
    </row>
    <row r="340">
      <c r="B340" s="601"/>
    </row>
    <row r="341">
      <c r="B341" s="601"/>
    </row>
    <row r="342">
      <c r="B342" s="601"/>
    </row>
    <row r="343">
      <c r="B343" s="601"/>
    </row>
    <row r="344">
      <c r="B344" s="601"/>
    </row>
    <row r="345">
      <c r="B345" s="601"/>
    </row>
    <row r="346">
      <c r="B346" s="601"/>
    </row>
    <row r="347">
      <c r="B347" s="601"/>
    </row>
    <row r="348">
      <c r="B348" s="601"/>
    </row>
    <row r="349">
      <c r="B349" s="601"/>
    </row>
    <row r="350">
      <c r="B350" s="601"/>
    </row>
    <row r="351">
      <c r="B351" s="601"/>
    </row>
    <row r="352">
      <c r="B352" s="601"/>
    </row>
    <row r="353">
      <c r="B353" s="601"/>
    </row>
    <row r="354">
      <c r="B354" s="601"/>
    </row>
    <row r="355">
      <c r="B355" s="601"/>
    </row>
    <row r="356">
      <c r="B356" s="601"/>
    </row>
    <row r="357">
      <c r="B357" s="601"/>
    </row>
    <row r="358">
      <c r="B358" s="601"/>
    </row>
    <row r="359">
      <c r="B359" s="601"/>
    </row>
    <row r="360">
      <c r="B360" s="601"/>
    </row>
    <row r="361">
      <c r="B361" s="601"/>
    </row>
    <row r="362">
      <c r="B362" s="601"/>
    </row>
    <row r="363">
      <c r="B363" s="601"/>
    </row>
    <row r="364">
      <c r="B364" s="601"/>
    </row>
    <row r="365">
      <c r="B365" s="601"/>
    </row>
    <row r="366">
      <c r="B366" s="601"/>
    </row>
    <row r="367">
      <c r="B367" s="601"/>
    </row>
    <row r="368">
      <c r="B368" s="601"/>
    </row>
    <row r="369">
      <c r="B369" s="601"/>
    </row>
    <row r="370">
      <c r="B370" s="601"/>
    </row>
    <row r="371">
      <c r="B371" s="601"/>
    </row>
    <row r="372">
      <c r="B372" s="601"/>
    </row>
    <row r="373">
      <c r="B373" s="601"/>
    </row>
    <row r="374">
      <c r="B374" s="601"/>
    </row>
    <row r="375">
      <c r="B375" s="601"/>
    </row>
    <row r="376">
      <c r="B376" s="601"/>
    </row>
    <row r="377">
      <c r="B377" s="601"/>
    </row>
    <row r="378">
      <c r="B378" s="601"/>
    </row>
    <row r="379">
      <c r="B379" s="601"/>
    </row>
    <row r="380">
      <c r="B380" s="601"/>
    </row>
    <row r="381">
      <c r="B381" s="601"/>
    </row>
    <row r="382">
      <c r="B382" s="601"/>
    </row>
    <row r="383">
      <c r="B383" s="601"/>
    </row>
    <row r="384">
      <c r="B384" s="601"/>
    </row>
    <row r="385">
      <c r="B385" s="601"/>
    </row>
    <row r="386">
      <c r="B386" s="601"/>
    </row>
    <row r="387">
      <c r="B387" s="601"/>
    </row>
    <row r="388">
      <c r="B388" s="601"/>
    </row>
    <row r="389">
      <c r="B389" s="601"/>
    </row>
    <row r="390">
      <c r="B390" s="601"/>
    </row>
    <row r="391">
      <c r="B391" s="601"/>
    </row>
    <row r="392">
      <c r="B392" s="601"/>
    </row>
    <row r="393">
      <c r="B393" s="601"/>
    </row>
    <row r="394">
      <c r="B394" s="601"/>
    </row>
    <row r="395">
      <c r="B395" s="601"/>
    </row>
    <row r="396">
      <c r="B396" s="601"/>
    </row>
    <row r="397">
      <c r="B397" s="601"/>
    </row>
    <row r="398">
      <c r="B398" s="601"/>
    </row>
    <row r="399">
      <c r="B399" s="601"/>
    </row>
    <row r="400">
      <c r="B400" s="601"/>
    </row>
    <row r="401">
      <c r="B401" s="601"/>
    </row>
    <row r="402">
      <c r="B402" s="601"/>
    </row>
    <row r="403">
      <c r="B403" s="601"/>
    </row>
    <row r="404">
      <c r="B404" s="601"/>
    </row>
    <row r="405">
      <c r="B405" s="601"/>
    </row>
    <row r="406">
      <c r="B406" s="601"/>
    </row>
    <row r="407">
      <c r="B407" s="601"/>
    </row>
    <row r="408">
      <c r="B408" s="601"/>
    </row>
    <row r="409">
      <c r="B409" s="601"/>
    </row>
    <row r="410">
      <c r="B410" s="601"/>
    </row>
    <row r="411">
      <c r="B411" s="601"/>
    </row>
    <row r="412">
      <c r="B412" s="601"/>
    </row>
    <row r="413">
      <c r="B413" s="601"/>
    </row>
    <row r="414">
      <c r="B414" s="601"/>
    </row>
    <row r="415">
      <c r="B415" s="601"/>
    </row>
    <row r="416">
      <c r="B416" s="601"/>
    </row>
    <row r="417">
      <c r="B417" s="601"/>
    </row>
    <row r="418">
      <c r="B418" s="601"/>
    </row>
    <row r="419">
      <c r="B419" s="601"/>
    </row>
    <row r="420">
      <c r="B420" s="601"/>
    </row>
    <row r="421">
      <c r="B421" s="601"/>
    </row>
    <row r="422">
      <c r="B422" s="601"/>
    </row>
    <row r="423">
      <c r="B423" s="601"/>
    </row>
    <row r="424">
      <c r="B424" s="601"/>
    </row>
    <row r="425">
      <c r="B425" s="601"/>
    </row>
    <row r="426">
      <c r="B426" s="601"/>
    </row>
    <row r="427">
      <c r="B427" s="601"/>
    </row>
    <row r="428">
      <c r="B428" s="601"/>
    </row>
    <row r="429">
      <c r="B429" s="601"/>
    </row>
    <row r="430">
      <c r="B430" s="601"/>
    </row>
    <row r="431">
      <c r="B431" s="601"/>
    </row>
    <row r="432">
      <c r="B432" s="601"/>
    </row>
    <row r="433">
      <c r="B433" s="601"/>
    </row>
    <row r="434">
      <c r="B434" s="601"/>
    </row>
    <row r="435">
      <c r="B435" s="601"/>
    </row>
    <row r="436">
      <c r="B436" s="601"/>
    </row>
    <row r="437">
      <c r="B437" s="601"/>
    </row>
    <row r="438">
      <c r="B438" s="601"/>
    </row>
    <row r="439">
      <c r="B439" s="601"/>
    </row>
    <row r="440">
      <c r="B440" s="601"/>
    </row>
    <row r="441">
      <c r="B441" s="601"/>
    </row>
    <row r="442">
      <c r="B442" s="601"/>
    </row>
    <row r="443">
      <c r="B443" s="601"/>
    </row>
    <row r="444">
      <c r="B444" s="601"/>
    </row>
    <row r="445">
      <c r="B445" s="601"/>
    </row>
    <row r="446">
      <c r="B446" s="601"/>
    </row>
    <row r="447">
      <c r="B447" s="601"/>
    </row>
    <row r="448">
      <c r="B448" s="601"/>
    </row>
    <row r="449">
      <c r="B449" s="601"/>
    </row>
    <row r="450">
      <c r="B450" s="601"/>
    </row>
    <row r="451">
      <c r="B451" s="601"/>
    </row>
    <row r="452">
      <c r="B452" s="601"/>
    </row>
    <row r="453">
      <c r="B453" s="601"/>
    </row>
    <row r="454">
      <c r="B454" s="601"/>
    </row>
    <row r="455">
      <c r="B455" s="601"/>
    </row>
    <row r="456">
      <c r="B456" s="601"/>
    </row>
    <row r="457">
      <c r="B457" s="601"/>
    </row>
    <row r="458">
      <c r="B458" s="601"/>
    </row>
    <row r="459">
      <c r="B459" s="601"/>
    </row>
    <row r="460">
      <c r="B460" s="601"/>
    </row>
    <row r="461">
      <c r="B461" s="601"/>
    </row>
    <row r="462">
      <c r="B462" s="601"/>
    </row>
    <row r="463">
      <c r="B463" s="601"/>
    </row>
    <row r="464">
      <c r="B464" s="601"/>
    </row>
    <row r="465">
      <c r="B465" s="601"/>
    </row>
    <row r="466">
      <c r="B466" s="601"/>
    </row>
    <row r="467">
      <c r="B467" s="601"/>
    </row>
    <row r="468">
      <c r="B468" s="601"/>
    </row>
    <row r="469">
      <c r="B469" s="601"/>
    </row>
    <row r="470">
      <c r="B470" s="601"/>
    </row>
    <row r="471">
      <c r="B471" s="601"/>
    </row>
    <row r="472">
      <c r="B472" s="601"/>
    </row>
    <row r="473">
      <c r="B473" s="601"/>
    </row>
    <row r="474">
      <c r="B474" s="601"/>
    </row>
    <row r="475">
      <c r="B475" s="601"/>
    </row>
    <row r="476">
      <c r="B476" s="601"/>
    </row>
    <row r="477">
      <c r="B477" s="601"/>
    </row>
    <row r="478">
      <c r="B478" s="601"/>
    </row>
    <row r="479">
      <c r="B479" s="601"/>
    </row>
    <row r="480">
      <c r="B480" s="601"/>
    </row>
    <row r="481">
      <c r="B481" s="601"/>
    </row>
    <row r="482">
      <c r="B482" s="601"/>
    </row>
    <row r="483">
      <c r="B483" s="601"/>
    </row>
    <row r="484">
      <c r="B484" s="601"/>
    </row>
    <row r="485">
      <c r="B485" s="601"/>
    </row>
    <row r="486">
      <c r="B486" s="601"/>
    </row>
    <row r="487">
      <c r="B487" s="601"/>
    </row>
    <row r="488">
      <c r="B488" s="601"/>
    </row>
    <row r="489">
      <c r="B489" s="601"/>
    </row>
    <row r="490">
      <c r="B490" s="601"/>
    </row>
    <row r="491">
      <c r="B491" s="601"/>
    </row>
    <row r="492">
      <c r="B492" s="601"/>
    </row>
    <row r="493">
      <c r="B493" s="601"/>
    </row>
    <row r="494">
      <c r="B494" s="601"/>
    </row>
    <row r="495">
      <c r="B495" s="601"/>
    </row>
    <row r="496">
      <c r="B496" s="601"/>
    </row>
    <row r="497">
      <c r="B497" s="601"/>
    </row>
    <row r="498">
      <c r="B498" s="601"/>
    </row>
    <row r="499">
      <c r="B499" s="601"/>
    </row>
    <row r="500">
      <c r="B500" s="601"/>
    </row>
    <row r="501">
      <c r="B501" s="601"/>
    </row>
    <row r="502">
      <c r="B502" s="601"/>
    </row>
    <row r="503">
      <c r="B503" s="601"/>
    </row>
    <row r="504">
      <c r="B504" s="601"/>
    </row>
    <row r="505">
      <c r="B505" s="601"/>
    </row>
    <row r="506">
      <c r="B506" s="601"/>
    </row>
    <row r="507">
      <c r="B507" s="601"/>
    </row>
    <row r="508">
      <c r="B508" s="601"/>
    </row>
    <row r="509">
      <c r="B509" s="601"/>
    </row>
    <row r="510">
      <c r="B510" s="601"/>
    </row>
    <row r="511">
      <c r="B511" s="601"/>
    </row>
    <row r="512">
      <c r="B512" s="601"/>
    </row>
    <row r="513">
      <c r="B513" s="601"/>
    </row>
    <row r="514">
      <c r="B514" s="601"/>
    </row>
    <row r="515">
      <c r="B515" s="601"/>
    </row>
    <row r="516">
      <c r="B516" s="601"/>
    </row>
    <row r="517">
      <c r="B517" s="601"/>
    </row>
    <row r="518">
      <c r="B518" s="601"/>
    </row>
    <row r="519">
      <c r="B519" s="601"/>
    </row>
    <row r="520">
      <c r="B520" s="601"/>
    </row>
    <row r="521">
      <c r="B521" s="601"/>
    </row>
    <row r="522">
      <c r="B522" s="601"/>
    </row>
    <row r="523">
      <c r="B523" s="601"/>
    </row>
    <row r="524">
      <c r="B524" s="601"/>
    </row>
    <row r="525">
      <c r="B525" s="601"/>
    </row>
    <row r="526">
      <c r="B526" s="601"/>
    </row>
    <row r="527">
      <c r="B527" s="601"/>
    </row>
    <row r="528">
      <c r="B528" s="601"/>
    </row>
    <row r="529">
      <c r="B529" s="601"/>
    </row>
    <row r="530">
      <c r="B530" s="601"/>
    </row>
    <row r="531">
      <c r="B531" s="601"/>
    </row>
    <row r="532">
      <c r="B532" s="601"/>
    </row>
    <row r="533">
      <c r="B533" s="601"/>
    </row>
    <row r="534">
      <c r="B534" s="601"/>
    </row>
    <row r="535">
      <c r="B535" s="601"/>
    </row>
    <row r="536">
      <c r="B536" s="601"/>
    </row>
    <row r="537">
      <c r="B537" s="601"/>
    </row>
    <row r="538">
      <c r="B538" s="601"/>
    </row>
    <row r="539">
      <c r="B539" s="601"/>
    </row>
    <row r="540">
      <c r="B540" s="601"/>
    </row>
    <row r="541">
      <c r="B541" s="601"/>
    </row>
    <row r="542">
      <c r="B542" s="601"/>
    </row>
    <row r="543">
      <c r="B543" s="601"/>
    </row>
    <row r="544">
      <c r="B544" s="601"/>
    </row>
    <row r="545">
      <c r="B545" s="601"/>
    </row>
    <row r="546">
      <c r="B546" s="601"/>
    </row>
    <row r="547">
      <c r="B547" s="601"/>
    </row>
    <row r="548">
      <c r="B548" s="601"/>
    </row>
    <row r="549">
      <c r="B549" s="601"/>
    </row>
    <row r="550">
      <c r="B550" s="601"/>
    </row>
    <row r="551">
      <c r="B551" s="601"/>
    </row>
    <row r="552">
      <c r="B552" s="601"/>
    </row>
    <row r="553">
      <c r="B553" s="601"/>
    </row>
    <row r="554">
      <c r="B554" s="601"/>
    </row>
    <row r="555">
      <c r="B555" s="601"/>
    </row>
    <row r="556">
      <c r="B556" s="601"/>
    </row>
    <row r="557">
      <c r="B557" s="601"/>
    </row>
    <row r="558">
      <c r="B558" s="601"/>
    </row>
    <row r="559">
      <c r="B559" s="601"/>
    </row>
    <row r="560">
      <c r="B560" s="601"/>
    </row>
    <row r="561">
      <c r="B561" s="601"/>
    </row>
    <row r="562">
      <c r="B562" s="601"/>
    </row>
    <row r="563">
      <c r="B563" s="601"/>
    </row>
    <row r="564">
      <c r="B564" s="601"/>
    </row>
    <row r="565">
      <c r="B565" s="601"/>
    </row>
    <row r="566">
      <c r="B566" s="601"/>
    </row>
    <row r="567">
      <c r="B567" s="601"/>
    </row>
    <row r="568">
      <c r="B568" s="601"/>
    </row>
    <row r="569">
      <c r="B569" s="601"/>
    </row>
    <row r="570">
      <c r="B570" s="601"/>
    </row>
    <row r="571">
      <c r="B571" s="601"/>
    </row>
    <row r="572">
      <c r="B572" s="601"/>
    </row>
    <row r="573">
      <c r="B573" s="601"/>
    </row>
    <row r="574">
      <c r="B574" s="601"/>
    </row>
    <row r="575">
      <c r="B575" s="601"/>
    </row>
    <row r="576">
      <c r="B576" s="601"/>
    </row>
    <row r="577">
      <c r="B577" s="601"/>
    </row>
    <row r="578">
      <c r="B578" s="601"/>
    </row>
    <row r="579">
      <c r="B579" s="601"/>
    </row>
    <row r="580">
      <c r="B580" s="601"/>
    </row>
    <row r="581">
      <c r="B581" s="601"/>
    </row>
    <row r="582">
      <c r="B582" s="601"/>
    </row>
    <row r="583">
      <c r="B583" s="601"/>
    </row>
    <row r="584">
      <c r="B584" s="601"/>
    </row>
    <row r="585">
      <c r="B585" s="601"/>
    </row>
    <row r="586">
      <c r="B586" s="601"/>
    </row>
    <row r="587">
      <c r="B587" s="601"/>
    </row>
    <row r="588">
      <c r="B588" s="601"/>
    </row>
    <row r="589">
      <c r="B589" s="601"/>
    </row>
    <row r="590">
      <c r="B590" s="601"/>
    </row>
    <row r="591">
      <c r="B591" s="601"/>
    </row>
    <row r="592">
      <c r="B592" s="601"/>
    </row>
    <row r="593">
      <c r="B593" s="601"/>
    </row>
    <row r="594">
      <c r="B594" s="601"/>
    </row>
    <row r="595">
      <c r="B595" s="601"/>
    </row>
    <row r="596">
      <c r="B596" s="601"/>
    </row>
    <row r="597">
      <c r="B597" s="601"/>
    </row>
    <row r="598">
      <c r="B598" s="601"/>
    </row>
    <row r="599">
      <c r="B599" s="601"/>
    </row>
    <row r="600">
      <c r="B600" s="601"/>
    </row>
    <row r="601">
      <c r="B601" s="601"/>
    </row>
    <row r="602">
      <c r="B602" s="601"/>
    </row>
    <row r="603">
      <c r="B603" s="601"/>
    </row>
    <row r="604">
      <c r="B604" s="601"/>
    </row>
    <row r="605">
      <c r="B605" s="601"/>
    </row>
    <row r="606">
      <c r="B606" s="601"/>
    </row>
    <row r="607">
      <c r="B607" s="601"/>
    </row>
    <row r="608">
      <c r="B608" s="601"/>
    </row>
    <row r="609">
      <c r="B609" s="601"/>
    </row>
    <row r="610">
      <c r="B610" s="601"/>
    </row>
    <row r="611">
      <c r="B611" s="601"/>
    </row>
    <row r="612">
      <c r="B612" s="601"/>
    </row>
    <row r="613">
      <c r="B613" s="601"/>
    </row>
    <row r="614">
      <c r="B614" s="601"/>
    </row>
    <row r="615">
      <c r="B615" s="601"/>
    </row>
    <row r="616">
      <c r="B616" s="601"/>
    </row>
    <row r="617">
      <c r="B617" s="601"/>
    </row>
    <row r="618">
      <c r="B618" s="601"/>
    </row>
    <row r="619">
      <c r="B619" s="601"/>
    </row>
    <row r="620">
      <c r="B620" s="601"/>
    </row>
    <row r="621">
      <c r="B621" s="601"/>
    </row>
    <row r="622">
      <c r="B622" s="601"/>
    </row>
    <row r="623">
      <c r="B623" s="601"/>
    </row>
    <row r="624">
      <c r="B624" s="601"/>
    </row>
    <row r="625">
      <c r="B625" s="601"/>
    </row>
    <row r="626">
      <c r="B626" s="601"/>
    </row>
    <row r="627">
      <c r="B627" s="601"/>
    </row>
    <row r="628">
      <c r="B628" s="601"/>
    </row>
    <row r="629">
      <c r="B629" s="601"/>
    </row>
    <row r="630">
      <c r="B630" s="601"/>
    </row>
    <row r="631">
      <c r="B631" s="601"/>
    </row>
    <row r="632">
      <c r="B632" s="601"/>
    </row>
    <row r="633">
      <c r="B633" s="601"/>
    </row>
    <row r="634">
      <c r="B634" s="601"/>
    </row>
    <row r="635">
      <c r="B635" s="601"/>
    </row>
    <row r="636">
      <c r="B636" s="601"/>
    </row>
    <row r="637">
      <c r="B637" s="601"/>
    </row>
    <row r="638">
      <c r="B638" s="601"/>
    </row>
    <row r="639">
      <c r="B639" s="601"/>
    </row>
    <row r="640">
      <c r="B640" s="601"/>
    </row>
    <row r="641">
      <c r="B641" s="601"/>
    </row>
    <row r="642">
      <c r="B642" s="601"/>
    </row>
    <row r="643">
      <c r="B643" s="601"/>
    </row>
    <row r="644">
      <c r="B644" s="601"/>
    </row>
    <row r="645">
      <c r="B645" s="601"/>
    </row>
    <row r="646">
      <c r="B646" s="601"/>
    </row>
    <row r="647">
      <c r="B647" s="601"/>
    </row>
    <row r="648">
      <c r="B648" s="601"/>
    </row>
    <row r="649">
      <c r="B649" s="601"/>
    </row>
    <row r="650">
      <c r="B650" s="601"/>
    </row>
    <row r="651">
      <c r="B651" s="601"/>
    </row>
    <row r="652">
      <c r="B652" s="601"/>
    </row>
    <row r="653">
      <c r="B653" s="601"/>
    </row>
    <row r="654">
      <c r="B654" s="601"/>
    </row>
    <row r="655">
      <c r="B655" s="601"/>
    </row>
    <row r="656">
      <c r="B656" s="601"/>
    </row>
    <row r="657">
      <c r="B657" s="601"/>
    </row>
    <row r="658">
      <c r="B658" s="601"/>
    </row>
    <row r="659">
      <c r="B659" s="601"/>
    </row>
    <row r="660">
      <c r="B660" s="601"/>
    </row>
    <row r="661">
      <c r="B661" s="601"/>
    </row>
    <row r="662">
      <c r="B662" s="601"/>
    </row>
    <row r="663">
      <c r="B663" s="601"/>
    </row>
    <row r="664">
      <c r="B664" s="601"/>
    </row>
    <row r="665">
      <c r="B665" s="601"/>
    </row>
    <row r="666">
      <c r="B666" s="601"/>
    </row>
    <row r="667">
      <c r="B667" s="601"/>
    </row>
    <row r="668">
      <c r="B668" s="601"/>
    </row>
    <row r="669">
      <c r="B669" s="601"/>
    </row>
    <row r="670">
      <c r="B670" s="601"/>
    </row>
    <row r="671">
      <c r="B671" s="601"/>
    </row>
    <row r="672">
      <c r="B672" s="601"/>
    </row>
    <row r="673">
      <c r="B673" s="601"/>
    </row>
    <row r="674">
      <c r="B674" s="601"/>
    </row>
    <row r="675">
      <c r="B675" s="601"/>
    </row>
    <row r="676">
      <c r="B676" s="601"/>
    </row>
    <row r="677">
      <c r="B677" s="601"/>
    </row>
    <row r="678">
      <c r="B678" s="601"/>
    </row>
    <row r="679">
      <c r="B679" s="601"/>
    </row>
    <row r="680">
      <c r="B680" s="601"/>
    </row>
    <row r="681">
      <c r="B681" s="601"/>
    </row>
    <row r="682">
      <c r="B682" s="601"/>
    </row>
    <row r="683">
      <c r="B683" s="601"/>
    </row>
    <row r="684">
      <c r="B684" s="601"/>
    </row>
    <row r="685">
      <c r="B685" s="601"/>
    </row>
    <row r="686">
      <c r="B686" s="601"/>
    </row>
    <row r="687">
      <c r="B687" s="601"/>
    </row>
    <row r="688">
      <c r="B688" s="601"/>
    </row>
    <row r="689">
      <c r="B689" s="601"/>
    </row>
    <row r="690">
      <c r="B690" s="601"/>
    </row>
    <row r="691">
      <c r="B691" s="601"/>
    </row>
    <row r="692">
      <c r="B692" s="601"/>
    </row>
    <row r="693">
      <c r="B693" s="601"/>
    </row>
    <row r="694">
      <c r="B694" s="601"/>
    </row>
    <row r="695">
      <c r="B695" s="601"/>
    </row>
    <row r="696">
      <c r="B696" s="601"/>
    </row>
    <row r="697">
      <c r="B697" s="601"/>
    </row>
    <row r="698">
      <c r="B698" s="601"/>
    </row>
    <row r="699">
      <c r="B699" s="601"/>
    </row>
    <row r="700">
      <c r="B700" s="601"/>
    </row>
    <row r="701">
      <c r="B701" s="601"/>
    </row>
    <row r="702">
      <c r="B702" s="601"/>
    </row>
    <row r="703">
      <c r="B703" s="601"/>
    </row>
    <row r="704">
      <c r="B704" s="601"/>
    </row>
    <row r="705">
      <c r="B705" s="601"/>
    </row>
    <row r="706">
      <c r="B706" s="601"/>
    </row>
    <row r="707">
      <c r="B707" s="601"/>
    </row>
    <row r="708">
      <c r="B708" s="601"/>
    </row>
    <row r="709">
      <c r="B709" s="601"/>
    </row>
    <row r="710">
      <c r="B710" s="601"/>
    </row>
    <row r="711">
      <c r="B711" s="601"/>
    </row>
    <row r="712">
      <c r="B712" s="601"/>
    </row>
    <row r="713">
      <c r="B713" s="601"/>
    </row>
    <row r="714">
      <c r="B714" s="601"/>
    </row>
    <row r="715">
      <c r="B715" s="601"/>
    </row>
    <row r="716">
      <c r="B716" s="601"/>
    </row>
    <row r="717">
      <c r="B717" s="601"/>
    </row>
    <row r="718">
      <c r="B718" s="601"/>
    </row>
    <row r="719">
      <c r="B719" s="601"/>
    </row>
    <row r="720">
      <c r="B720" s="601"/>
    </row>
    <row r="721">
      <c r="B721" s="601"/>
    </row>
    <row r="722">
      <c r="B722" s="601"/>
    </row>
    <row r="723">
      <c r="B723" s="601"/>
    </row>
    <row r="724">
      <c r="B724" s="601"/>
    </row>
    <row r="725">
      <c r="B725" s="601"/>
    </row>
    <row r="726">
      <c r="B726" s="601"/>
    </row>
    <row r="727">
      <c r="B727" s="601"/>
    </row>
    <row r="728">
      <c r="B728" s="601"/>
    </row>
    <row r="729">
      <c r="B729" s="601"/>
    </row>
    <row r="730">
      <c r="B730" s="601"/>
    </row>
    <row r="731">
      <c r="B731" s="601"/>
    </row>
    <row r="732">
      <c r="B732" s="601"/>
    </row>
    <row r="733">
      <c r="B733" s="601"/>
    </row>
    <row r="734">
      <c r="B734" s="601"/>
    </row>
    <row r="735">
      <c r="B735" s="601"/>
    </row>
    <row r="736">
      <c r="B736" s="601"/>
    </row>
    <row r="737">
      <c r="B737" s="601"/>
    </row>
    <row r="738">
      <c r="B738" s="601"/>
    </row>
    <row r="739">
      <c r="B739" s="601"/>
    </row>
    <row r="740">
      <c r="B740" s="601"/>
    </row>
    <row r="741">
      <c r="B741" s="601"/>
    </row>
    <row r="742">
      <c r="B742" s="601"/>
    </row>
    <row r="743">
      <c r="B743" s="601"/>
    </row>
    <row r="744">
      <c r="B744" s="601"/>
    </row>
    <row r="745">
      <c r="B745" s="601"/>
    </row>
    <row r="746">
      <c r="B746" s="601"/>
    </row>
    <row r="747">
      <c r="B747" s="601"/>
    </row>
    <row r="748">
      <c r="B748" s="601"/>
    </row>
    <row r="749">
      <c r="B749" s="601"/>
    </row>
    <row r="750">
      <c r="B750" s="601"/>
    </row>
    <row r="751">
      <c r="B751" s="601"/>
    </row>
    <row r="752">
      <c r="B752" s="601"/>
    </row>
    <row r="753">
      <c r="B753" s="601"/>
    </row>
    <row r="754">
      <c r="B754" s="601"/>
    </row>
    <row r="755">
      <c r="B755" s="601"/>
    </row>
    <row r="756">
      <c r="B756" s="601"/>
    </row>
    <row r="757">
      <c r="B757" s="601"/>
    </row>
    <row r="758">
      <c r="B758" s="601"/>
    </row>
    <row r="759">
      <c r="B759" s="601"/>
    </row>
    <row r="760">
      <c r="B760" s="601"/>
    </row>
    <row r="761">
      <c r="B761" s="601"/>
    </row>
    <row r="762">
      <c r="B762" s="601"/>
    </row>
    <row r="763">
      <c r="B763" s="601"/>
    </row>
    <row r="764">
      <c r="B764" s="601"/>
    </row>
    <row r="765">
      <c r="B765" s="601"/>
    </row>
    <row r="766">
      <c r="B766" s="601"/>
    </row>
    <row r="767">
      <c r="B767" s="601"/>
    </row>
    <row r="768">
      <c r="B768" s="601"/>
    </row>
    <row r="769">
      <c r="B769" s="601"/>
    </row>
    <row r="770">
      <c r="B770" s="601"/>
    </row>
    <row r="771">
      <c r="B771" s="601"/>
    </row>
    <row r="772">
      <c r="B772" s="601"/>
    </row>
    <row r="773">
      <c r="B773" s="601"/>
    </row>
    <row r="774">
      <c r="B774" s="601"/>
    </row>
    <row r="775">
      <c r="B775" s="601"/>
    </row>
    <row r="776">
      <c r="B776" s="601"/>
    </row>
    <row r="777">
      <c r="B777" s="601"/>
    </row>
    <row r="778">
      <c r="B778" s="601"/>
    </row>
    <row r="779">
      <c r="B779" s="601"/>
    </row>
    <row r="780">
      <c r="B780" s="601"/>
    </row>
    <row r="781">
      <c r="B781" s="601"/>
    </row>
    <row r="782">
      <c r="B782" s="601"/>
    </row>
    <row r="783">
      <c r="B783" s="601"/>
    </row>
    <row r="784">
      <c r="B784" s="601"/>
    </row>
    <row r="785">
      <c r="B785" s="601"/>
    </row>
    <row r="786">
      <c r="B786" s="601"/>
    </row>
    <row r="787">
      <c r="B787" s="601"/>
    </row>
    <row r="788">
      <c r="B788" s="601"/>
    </row>
    <row r="789">
      <c r="B789" s="601"/>
    </row>
    <row r="790">
      <c r="B790" s="601"/>
    </row>
    <row r="791">
      <c r="B791" s="601"/>
    </row>
    <row r="792">
      <c r="B792" s="601"/>
    </row>
    <row r="793">
      <c r="B793" s="601"/>
    </row>
    <row r="794">
      <c r="B794" s="601"/>
    </row>
    <row r="795">
      <c r="B795" s="601"/>
    </row>
    <row r="796">
      <c r="B796" s="601"/>
    </row>
    <row r="797">
      <c r="B797" s="601"/>
    </row>
    <row r="798">
      <c r="B798" s="601"/>
    </row>
    <row r="799">
      <c r="B799" s="601"/>
    </row>
    <row r="800">
      <c r="B800" s="601"/>
    </row>
    <row r="801">
      <c r="B801" s="601"/>
    </row>
    <row r="802">
      <c r="B802" s="601"/>
    </row>
    <row r="803">
      <c r="B803" s="601"/>
    </row>
    <row r="804">
      <c r="B804" s="601"/>
    </row>
    <row r="805">
      <c r="B805" s="601"/>
    </row>
    <row r="806">
      <c r="B806" s="601"/>
    </row>
    <row r="807">
      <c r="B807" s="601"/>
    </row>
    <row r="808">
      <c r="B808" s="601"/>
    </row>
    <row r="809">
      <c r="B809" s="601"/>
    </row>
    <row r="810">
      <c r="B810" s="601"/>
    </row>
    <row r="811">
      <c r="B811" s="601"/>
    </row>
    <row r="812">
      <c r="B812" s="601"/>
    </row>
    <row r="813">
      <c r="B813" s="601"/>
    </row>
    <row r="814">
      <c r="B814" s="601"/>
    </row>
    <row r="815">
      <c r="B815" s="601"/>
    </row>
    <row r="816">
      <c r="B816" s="601"/>
    </row>
    <row r="817">
      <c r="B817" s="601"/>
    </row>
    <row r="818">
      <c r="B818" s="601"/>
    </row>
    <row r="819">
      <c r="B819" s="601"/>
    </row>
    <row r="820">
      <c r="B820" s="601"/>
    </row>
    <row r="821">
      <c r="B821" s="601"/>
    </row>
    <row r="822">
      <c r="B822" s="601"/>
    </row>
    <row r="823">
      <c r="B823" s="601"/>
    </row>
    <row r="824">
      <c r="B824" s="601"/>
    </row>
    <row r="825">
      <c r="B825" s="601"/>
    </row>
    <row r="826">
      <c r="B826" s="601"/>
    </row>
    <row r="827">
      <c r="B827" s="601"/>
    </row>
    <row r="828">
      <c r="B828" s="601"/>
    </row>
    <row r="829">
      <c r="B829" s="601"/>
    </row>
    <row r="830">
      <c r="B830" s="601"/>
    </row>
    <row r="831">
      <c r="B831" s="601"/>
    </row>
    <row r="832">
      <c r="B832" s="601"/>
    </row>
    <row r="833">
      <c r="B833" s="601"/>
    </row>
    <row r="834">
      <c r="B834" s="601"/>
    </row>
    <row r="835">
      <c r="B835" s="601"/>
    </row>
    <row r="836">
      <c r="B836" s="601"/>
    </row>
    <row r="837">
      <c r="B837" s="601"/>
    </row>
    <row r="838">
      <c r="B838" s="601"/>
    </row>
    <row r="839">
      <c r="B839" s="601"/>
    </row>
    <row r="840">
      <c r="B840" s="601"/>
    </row>
    <row r="841">
      <c r="B841" s="601"/>
    </row>
    <row r="842">
      <c r="B842" s="601"/>
    </row>
    <row r="843">
      <c r="B843" s="601"/>
    </row>
    <row r="844">
      <c r="B844" s="601"/>
    </row>
    <row r="845">
      <c r="B845" s="601"/>
    </row>
    <row r="846">
      <c r="B846" s="601"/>
    </row>
    <row r="847">
      <c r="B847" s="601"/>
    </row>
    <row r="848">
      <c r="B848" s="601"/>
    </row>
    <row r="849">
      <c r="B849" s="601"/>
    </row>
    <row r="850">
      <c r="B850" s="601"/>
    </row>
    <row r="851">
      <c r="B851" s="601"/>
    </row>
    <row r="852">
      <c r="B852" s="601"/>
    </row>
    <row r="853">
      <c r="B853" s="601"/>
    </row>
    <row r="854">
      <c r="B854" s="601"/>
    </row>
    <row r="855">
      <c r="B855" s="601"/>
    </row>
    <row r="856">
      <c r="B856" s="601"/>
    </row>
    <row r="857">
      <c r="B857" s="601"/>
    </row>
    <row r="858">
      <c r="B858" s="601"/>
    </row>
    <row r="859">
      <c r="B859" s="601"/>
    </row>
    <row r="860">
      <c r="B860" s="601"/>
    </row>
    <row r="861">
      <c r="B861" s="601"/>
    </row>
    <row r="862">
      <c r="B862" s="601"/>
    </row>
    <row r="863">
      <c r="B863" s="601"/>
    </row>
    <row r="864">
      <c r="B864" s="601"/>
    </row>
    <row r="865">
      <c r="B865" s="601"/>
    </row>
    <row r="866">
      <c r="B866" s="601"/>
    </row>
    <row r="867">
      <c r="B867" s="601"/>
    </row>
    <row r="868">
      <c r="B868" s="601"/>
    </row>
    <row r="869">
      <c r="B869" s="601"/>
    </row>
    <row r="870">
      <c r="B870" s="601"/>
    </row>
    <row r="871">
      <c r="B871" s="601"/>
    </row>
    <row r="872">
      <c r="B872" s="601"/>
    </row>
    <row r="873">
      <c r="B873" s="601"/>
    </row>
    <row r="874">
      <c r="B874" s="601"/>
    </row>
    <row r="875">
      <c r="B875" s="601"/>
    </row>
    <row r="876">
      <c r="B876" s="601"/>
    </row>
    <row r="877">
      <c r="B877" s="601"/>
    </row>
    <row r="878">
      <c r="B878" s="601"/>
    </row>
    <row r="879">
      <c r="B879" s="601"/>
    </row>
    <row r="880">
      <c r="B880" s="601"/>
    </row>
    <row r="881">
      <c r="B881" s="601"/>
    </row>
    <row r="882">
      <c r="B882" s="601"/>
    </row>
    <row r="883">
      <c r="B883" s="601"/>
    </row>
    <row r="884">
      <c r="B884" s="601"/>
    </row>
    <row r="885">
      <c r="B885" s="601"/>
    </row>
    <row r="886">
      <c r="B886" s="601"/>
    </row>
    <row r="887">
      <c r="B887" s="601"/>
    </row>
    <row r="888">
      <c r="B888" s="601"/>
    </row>
    <row r="889">
      <c r="B889" s="601"/>
    </row>
    <row r="890">
      <c r="B890" s="601"/>
    </row>
    <row r="891">
      <c r="B891" s="601"/>
    </row>
    <row r="892">
      <c r="B892" s="601"/>
    </row>
    <row r="893">
      <c r="B893" s="601"/>
    </row>
    <row r="894">
      <c r="B894" s="601"/>
    </row>
    <row r="895">
      <c r="B895" s="601"/>
    </row>
    <row r="896">
      <c r="B896" s="601"/>
    </row>
    <row r="897">
      <c r="B897" s="601"/>
    </row>
    <row r="898">
      <c r="B898" s="601"/>
    </row>
    <row r="899">
      <c r="B899" s="601"/>
    </row>
    <row r="900">
      <c r="B900" s="601"/>
    </row>
    <row r="901">
      <c r="B901" s="601"/>
    </row>
    <row r="902">
      <c r="B902" s="601"/>
    </row>
    <row r="903">
      <c r="B903" s="601"/>
    </row>
    <row r="904">
      <c r="B904" s="601"/>
    </row>
    <row r="905">
      <c r="B905" s="601"/>
    </row>
    <row r="906">
      <c r="B906" s="601"/>
    </row>
    <row r="907">
      <c r="B907" s="601"/>
    </row>
    <row r="908">
      <c r="B908" s="601"/>
    </row>
    <row r="909">
      <c r="B909" s="601"/>
    </row>
    <row r="910">
      <c r="B910" s="601"/>
    </row>
    <row r="911">
      <c r="B911" s="601"/>
    </row>
    <row r="912">
      <c r="B912" s="601"/>
    </row>
    <row r="913">
      <c r="B913" s="601"/>
    </row>
    <row r="914">
      <c r="B914" s="601"/>
    </row>
    <row r="915">
      <c r="B915" s="601"/>
    </row>
    <row r="916">
      <c r="B916" s="601"/>
    </row>
    <row r="917">
      <c r="B917" s="601"/>
    </row>
    <row r="918">
      <c r="B918" s="601"/>
    </row>
    <row r="919">
      <c r="B919" s="601"/>
    </row>
    <row r="920">
      <c r="B920" s="601"/>
    </row>
    <row r="921">
      <c r="B921" s="601"/>
    </row>
    <row r="922">
      <c r="B922" s="601"/>
    </row>
    <row r="923">
      <c r="B923" s="601"/>
    </row>
    <row r="924">
      <c r="B924" s="601"/>
    </row>
    <row r="925">
      <c r="B925" s="601"/>
    </row>
    <row r="926">
      <c r="B926" s="601"/>
    </row>
    <row r="927">
      <c r="B927" s="601"/>
    </row>
    <row r="928">
      <c r="B928" s="601"/>
    </row>
    <row r="929">
      <c r="B929" s="601"/>
    </row>
    <row r="930">
      <c r="B930" s="601"/>
    </row>
    <row r="931">
      <c r="B931" s="601"/>
    </row>
    <row r="932">
      <c r="B932" s="601"/>
    </row>
    <row r="933">
      <c r="B933" s="601"/>
    </row>
    <row r="934">
      <c r="B934" s="601"/>
    </row>
    <row r="935">
      <c r="B935" s="601"/>
    </row>
    <row r="936">
      <c r="B936" s="601"/>
    </row>
    <row r="937">
      <c r="B937" s="601"/>
    </row>
    <row r="938">
      <c r="B938" s="601"/>
    </row>
    <row r="939">
      <c r="B939" s="601"/>
    </row>
    <row r="940">
      <c r="B940" s="601"/>
    </row>
    <row r="941">
      <c r="B941" s="601"/>
    </row>
    <row r="942">
      <c r="B942" s="601"/>
    </row>
    <row r="943">
      <c r="B943" s="601"/>
    </row>
    <row r="944">
      <c r="B944" s="601"/>
    </row>
    <row r="945">
      <c r="B945" s="601"/>
    </row>
    <row r="946">
      <c r="B946" s="601"/>
    </row>
    <row r="947">
      <c r="B947" s="601"/>
    </row>
    <row r="948">
      <c r="B948" s="601"/>
    </row>
    <row r="949">
      <c r="B949" s="601"/>
    </row>
    <row r="950">
      <c r="B950" s="601"/>
    </row>
    <row r="951">
      <c r="B951" s="601"/>
    </row>
    <row r="952">
      <c r="B952" s="601"/>
    </row>
    <row r="953">
      <c r="B953" s="601"/>
    </row>
    <row r="954">
      <c r="B954" s="601"/>
    </row>
    <row r="955">
      <c r="B955" s="601"/>
    </row>
    <row r="956">
      <c r="B956" s="601"/>
    </row>
    <row r="957">
      <c r="B957" s="601"/>
    </row>
    <row r="958">
      <c r="B958" s="601"/>
    </row>
    <row r="959">
      <c r="B959" s="601"/>
    </row>
    <row r="960">
      <c r="B960" s="601"/>
    </row>
    <row r="961">
      <c r="B961" s="601"/>
    </row>
    <row r="962">
      <c r="B962" s="601"/>
    </row>
    <row r="963">
      <c r="B963" s="601"/>
    </row>
    <row r="964">
      <c r="B964" s="601"/>
    </row>
    <row r="965">
      <c r="B965" s="601"/>
    </row>
    <row r="966">
      <c r="B966" s="601"/>
    </row>
    <row r="967">
      <c r="B967" s="601"/>
    </row>
    <row r="968">
      <c r="B968" s="601"/>
    </row>
    <row r="969">
      <c r="B969" s="601"/>
    </row>
    <row r="970">
      <c r="B970" s="601"/>
    </row>
    <row r="971">
      <c r="B971" s="601"/>
    </row>
    <row r="972">
      <c r="B972" s="601"/>
    </row>
    <row r="973">
      <c r="B973" s="601"/>
    </row>
    <row r="974">
      <c r="B974" s="601"/>
    </row>
    <row r="975">
      <c r="B975" s="601"/>
    </row>
    <row r="976">
      <c r="B976" s="601"/>
    </row>
    <row r="977">
      <c r="B977" s="601"/>
    </row>
    <row r="978">
      <c r="B978" s="601"/>
    </row>
    <row r="979">
      <c r="B979" s="601"/>
    </row>
    <row r="980">
      <c r="B980" s="601"/>
    </row>
    <row r="981">
      <c r="B981" s="601"/>
    </row>
    <row r="982">
      <c r="B982" s="601"/>
    </row>
    <row r="983">
      <c r="B983" s="601"/>
    </row>
    <row r="984">
      <c r="B984" s="601"/>
    </row>
    <row r="985">
      <c r="B985" s="601"/>
    </row>
    <row r="986">
      <c r="B986" s="601"/>
    </row>
    <row r="987">
      <c r="B987" s="601"/>
    </row>
    <row r="988">
      <c r="B988" s="601"/>
    </row>
    <row r="989">
      <c r="B989" s="601"/>
    </row>
    <row r="990">
      <c r="B990" s="601"/>
    </row>
    <row r="991">
      <c r="B991" s="601"/>
    </row>
    <row r="992">
      <c r="B992" s="601"/>
    </row>
    <row r="993">
      <c r="B993" s="601"/>
    </row>
    <row r="994">
      <c r="B994" s="601"/>
    </row>
    <row r="995">
      <c r="B995" s="601"/>
    </row>
    <row r="996">
      <c r="B996" s="601"/>
    </row>
    <row r="997">
      <c r="B997" s="601"/>
    </row>
    <row r="998">
      <c r="B998" s="601"/>
    </row>
    <row r="999">
      <c r="B999" s="601"/>
    </row>
    <row r="1000">
      <c r="B1000" s="601"/>
    </row>
    <row r="1001">
      <c r="B1001" s="601"/>
    </row>
    <row r="1002">
      <c r="B1002" s="601"/>
    </row>
    <row r="1003">
      <c r="B1003" s="601"/>
    </row>
    <row r="1004">
      <c r="B1004" s="601"/>
    </row>
    <row r="1005">
      <c r="B1005" s="601"/>
    </row>
    <row r="1006">
      <c r="B1006" s="601"/>
    </row>
    <row r="1007">
      <c r="B1007" s="601"/>
    </row>
    <row r="1008">
      <c r="B1008" s="601"/>
    </row>
    <row r="1009">
      <c r="B1009" s="601"/>
    </row>
    <row r="1010">
      <c r="B1010" s="601"/>
    </row>
    <row r="1011">
      <c r="B1011" s="601"/>
    </row>
    <row r="1012">
      <c r="B1012" s="601"/>
    </row>
    <row r="1013">
      <c r="B1013" s="601"/>
    </row>
    <row r="1014">
      <c r="B1014" s="601"/>
    </row>
    <row r="1015">
      <c r="B1015" s="601"/>
    </row>
    <row r="1016">
      <c r="B1016" s="601"/>
    </row>
    <row r="1017">
      <c r="B1017" s="601"/>
    </row>
    <row r="1018">
      <c r="B1018" s="601"/>
    </row>
    <row r="1019">
      <c r="B1019" s="601"/>
    </row>
    <row r="1020">
      <c r="B1020" s="601"/>
    </row>
    <row r="1021">
      <c r="B1021" s="601"/>
    </row>
    <row r="1022">
      <c r="B1022" s="601"/>
    </row>
    <row r="1023">
      <c r="B1023" s="601"/>
    </row>
    <row r="1024">
      <c r="B1024" s="601"/>
    </row>
    <row r="1025">
      <c r="B1025" s="601"/>
    </row>
    <row r="1026">
      <c r="B1026" s="601"/>
    </row>
    <row r="1027">
      <c r="B1027" s="601"/>
    </row>
    <row r="1028">
      <c r="B1028" s="601"/>
    </row>
    <row r="1029">
      <c r="B1029" s="601"/>
    </row>
    <row r="1030">
      <c r="B1030" s="601"/>
    </row>
    <row r="1031">
      <c r="B1031" s="601"/>
    </row>
    <row r="1032">
      <c r="B1032" s="601"/>
    </row>
    <row r="1033">
      <c r="B1033" s="601"/>
    </row>
    <row r="1034">
      <c r="B1034" s="601"/>
    </row>
    <row r="1035">
      <c r="B1035" s="601"/>
    </row>
    <row r="1036">
      <c r="B1036" s="601"/>
    </row>
    <row r="1037">
      <c r="B1037" s="601"/>
    </row>
    <row r="1038">
      <c r="B1038" s="601"/>
    </row>
    <row r="1039">
      <c r="B1039" s="601"/>
    </row>
    <row r="1040">
      <c r="B1040" s="601"/>
    </row>
    <row r="1041">
      <c r="B1041" s="601"/>
    </row>
    <row r="1042">
      <c r="B1042" s="601"/>
    </row>
    <row r="1043">
      <c r="B1043" s="601"/>
    </row>
    <row r="1044">
      <c r="B1044" s="601"/>
    </row>
    <row r="1045">
      <c r="B1045" s="601"/>
    </row>
    <row r="1046">
      <c r="B1046" s="601"/>
    </row>
    <row r="1047">
      <c r="B1047" s="601"/>
    </row>
    <row r="1048">
      <c r="B1048" s="601"/>
    </row>
    <row r="1049">
      <c r="B1049" s="601"/>
    </row>
    <row r="1050">
      <c r="B1050" s="601"/>
    </row>
    <row r="1051">
      <c r="B1051" s="601"/>
    </row>
    <row r="1052">
      <c r="B1052" s="601"/>
    </row>
    <row r="1053">
      <c r="B1053" s="601"/>
    </row>
    <row r="1054">
      <c r="B1054" s="601"/>
    </row>
    <row r="1055">
      <c r="B1055" s="601"/>
    </row>
    <row r="1056">
      <c r="B1056" s="601"/>
    </row>
    <row r="1057">
      <c r="B1057" s="601"/>
    </row>
    <row r="1058">
      <c r="B1058" s="601"/>
    </row>
    <row r="1059">
      <c r="B1059" s="601"/>
    </row>
    <row r="1060">
      <c r="B1060" s="601"/>
    </row>
    <row r="1061">
      <c r="B1061" s="601"/>
    </row>
    <row r="1062">
      <c r="B1062" s="601"/>
    </row>
    <row r="1063">
      <c r="B1063" s="601"/>
    </row>
    <row r="1064">
      <c r="B1064" s="601"/>
    </row>
    <row r="1065">
      <c r="B1065" s="601"/>
    </row>
    <row r="1066">
      <c r="B1066" s="601"/>
    </row>
    <row r="1067">
      <c r="B1067" s="601"/>
    </row>
    <row r="1068">
      <c r="B1068" s="601"/>
    </row>
    <row r="1069">
      <c r="B1069" s="601"/>
    </row>
    <row r="1070">
      <c r="B1070" s="601"/>
    </row>
    <row r="1071">
      <c r="B1071" s="601"/>
    </row>
    <row r="1072">
      <c r="B1072" s="601"/>
    </row>
    <row r="1073">
      <c r="B1073" s="601"/>
    </row>
    <row r="1074">
      <c r="B1074" s="601"/>
    </row>
    <row r="1075">
      <c r="B1075" s="601"/>
    </row>
    <row r="1076">
      <c r="B1076" s="601"/>
    </row>
    <row r="1077">
      <c r="B1077" s="601"/>
    </row>
    <row r="1078">
      <c r="B1078" s="601"/>
    </row>
    <row r="1079">
      <c r="B1079" s="601"/>
    </row>
    <row r="1080">
      <c r="B1080" s="601"/>
    </row>
    <row r="1081">
      <c r="B1081" s="601"/>
    </row>
    <row r="1082">
      <c r="B1082" s="601"/>
    </row>
    <row r="1083">
      <c r="B1083" s="601"/>
    </row>
    <row r="1084">
      <c r="B1084" s="601"/>
    </row>
    <row r="1085">
      <c r="B1085" s="601"/>
    </row>
    <row r="1086">
      <c r="B1086" s="601"/>
    </row>
    <row r="1087">
      <c r="B1087" s="601"/>
    </row>
    <row r="1088">
      <c r="B1088" s="601"/>
    </row>
    <row r="1089">
      <c r="B1089" s="601"/>
    </row>
    <row r="1090">
      <c r="B1090" s="601"/>
    </row>
    <row r="1091">
      <c r="B1091" s="601"/>
    </row>
    <row r="1092">
      <c r="B1092" s="601"/>
    </row>
    <row r="1093">
      <c r="B1093" s="601"/>
    </row>
    <row r="1094">
      <c r="B1094" s="601"/>
    </row>
    <row r="1095">
      <c r="B1095" s="601"/>
    </row>
    <row r="1096">
      <c r="B1096" s="601"/>
    </row>
    <row r="1097">
      <c r="B1097" s="601"/>
    </row>
    <row r="1098">
      <c r="B1098" s="601"/>
    </row>
    <row r="1099">
      <c r="B1099" s="601"/>
    </row>
    <row r="1100">
      <c r="B1100" s="601"/>
    </row>
    <row r="1101">
      <c r="B1101" s="601"/>
    </row>
    <row r="1102">
      <c r="B1102" s="601"/>
    </row>
    <row r="1103">
      <c r="B1103" s="601"/>
    </row>
    <row r="1104">
      <c r="B1104" s="601"/>
    </row>
    <row r="1105">
      <c r="B1105" s="601"/>
    </row>
    <row r="1106">
      <c r="B1106" s="601"/>
    </row>
    <row r="1107">
      <c r="B1107" s="601"/>
    </row>
    <row r="1108">
      <c r="B1108" s="601"/>
    </row>
    <row r="1109">
      <c r="B1109" s="601"/>
    </row>
    <row r="1110">
      <c r="B1110" s="601"/>
    </row>
    <row r="1111">
      <c r="B1111" s="601"/>
    </row>
    <row r="1112">
      <c r="B1112" s="601"/>
    </row>
    <row r="1113">
      <c r="B1113" s="601"/>
    </row>
    <row r="1114">
      <c r="B1114" s="601"/>
    </row>
    <row r="1115">
      <c r="B1115" s="601"/>
    </row>
    <row r="1116">
      <c r="B1116" s="601"/>
    </row>
    <row r="1117">
      <c r="B1117" s="601"/>
    </row>
    <row r="1118">
      <c r="B1118" s="601"/>
    </row>
    <row r="1119">
      <c r="B1119" s="601"/>
    </row>
    <row r="1120">
      <c r="B1120" s="601"/>
    </row>
    <row r="1121">
      <c r="B1121" s="601"/>
    </row>
    <row r="1122">
      <c r="B1122" s="601"/>
    </row>
    <row r="1123">
      <c r="B1123" s="601"/>
    </row>
    <row r="1124">
      <c r="B1124" s="601"/>
    </row>
    <row r="1125">
      <c r="B1125" s="601"/>
    </row>
    <row r="1126">
      <c r="B1126" s="601"/>
    </row>
    <row r="1127">
      <c r="B1127" s="601"/>
    </row>
    <row r="1128">
      <c r="B1128" s="601"/>
    </row>
    <row r="1129">
      <c r="B1129" s="601"/>
    </row>
    <row r="1130">
      <c r="B1130" s="601"/>
    </row>
    <row r="1131">
      <c r="B1131" s="601"/>
    </row>
    <row r="1132">
      <c r="B1132" s="601"/>
    </row>
    <row r="1133">
      <c r="B1133" s="601"/>
    </row>
    <row r="1134">
      <c r="B1134" s="601"/>
    </row>
    <row r="1135">
      <c r="B1135" s="601"/>
    </row>
    <row r="1136">
      <c r="B1136" s="601"/>
    </row>
    <row r="1137">
      <c r="B1137" s="601"/>
    </row>
    <row r="1138">
      <c r="B1138" s="601"/>
    </row>
    <row r="1139">
      <c r="B1139" s="601"/>
    </row>
    <row r="1140">
      <c r="B1140" s="601"/>
    </row>
    <row r="1141">
      <c r="B1141" s="601"/>
    </row>
    <row r="1142">
      <c r="B1142" s="601"/>
    </row>
    <row r="1143">
      <c r="B1143" s="601"/>
    </row>
    <row r="1144">
      <c r="B1144" s="601"/>
    </row>
    <row r="1145">
      <c r="B1145" s="601"/>
    </row>
    <row r="1146">
      <c r="B1146" s="601"/>
    </row>
    <row r="1147">
      <c r="B1147" s="601"/>
    </row>
    <row r="1148">
      <c r="B1148" s="601"/>
    </row>
    <row r="1149">
      <c r="B1149" s="601"/>
    </row>
    <row r="1150">
      <c r="B1150" s="601"/>
    </row>
    <row r="1151">
      <c r="B1151" s="601"/>
    </row>
    <row r="1152">
      <c r="B1152" s="601"/>
    </row>
    <row r="1153">
      <c r="B1153" s="601"/>
    </row>
    <row r="1154">
      <c r="B1154" s="601"/>
    </row>
    <row r="1155">
      <c r="B1155" s="601"/>
    </row>
    <row r="1156">
      <c r="B1156" s="601"/>
    </row>
    <row r="1157">
      <c r="B1157" s="601"/>
    </row>
    <row r="1158">
      <c r="B1158" s="601"/>
    </row>
    <row r="1159">
      <c r="B1159" s="601"/>
    </row>
    <row r="1160">
      <c r="B1160" s="601"/>
    </row>
    <row r="1161">
      <c r="B1161" s="601"/>
    </row>
    <row r="1162">
      <c r="B1162" s="601"/>
    </row>
    <row r="1163">
      <c r="B1163" s="601"/>
    </row>
    <row r="1164">
      <c r="B1164" s="601"/>
    </row>
    <row r="1165">
      <c r="B1165" s="601"/>
    </row>
    <row r="1166">
      <c r="B1166" s="601"/>
    </row>
    <row r="1167">
      <c r="B1167" s="601"/>
    </row>
    <row r="1168">
      <c r="B1168" s="601"/>
    </row>
    <row r="1169">
      <c r="B1169" s="601"/>
    </row>
    <row r="1170">
      <c r="B1170" s="601"/>
    </row>
    <row r="1171">
      <c r="B1171" s="601"/>
    </row>
    <row r="1172">
      <c r="B1172" s="601"/>
    </row>
    <row r="1173">
      <c r="B1173" s="601"/>
    </row>
    <row r="1174">
      <c r="B1174" s="601"/>
    </row>
    <row r="1175">
      <c r="B1175" s="601"/>
    </row>
    <row r="1176">
      <c r="B1176" s="601"/>
    </row>
    <row r="1177">
      <c r="B1177" s="601"/>
    </row>
    <row r="1178">
      <c r="B1178" s="601"/>
    </row>
    <row r="1179">
      <c r="B1179" s="601"/>
    </row>
    <row r="1180">
      <c r="B1180" s="601"/>
    </row>
    <row r="1181">
      <c r="B1181" s="601"/>
    </row>
    <row r="1182">
      <c r="B1182" s="601"/>
    </row>
    <row r="1183">
      <c r="B1183" s="601"/>
    </row>
    <row r="1184">
      <c r="B1184" s="601"/>
    </row>
    <row r="1185">
      <c r="B1185" s="601"/>
    </row>
    <row r="1186">
      <c r="B1186" s="601"/>
    </row>
    <row r="1187">
      <c r="B1187" s="601"/>
    </row>
    <row r="1188">
      <c r="B1188" s="601"/>
    </row>
    <row r="1189">
      <c r="B1189" s="601"/>
    </row>
    <row r="1190">
      <c r="B1190" s="601"/>
    </row>
    <row r="1191">
      <c r="B1191" s="601"/>
    </row>
    <row r="1192">
      <c r="B1192" s="601"/>
    </row>
    <row r="1193">
      <c r="B1193" s="601"/>
    </row>
    <row r="1194">
      <c r="B1194" s="601"/>
    </row>
    <row r="1195">
      <c r="B1195" s="601"/>
    </row>
    <row r="1196">
      <c r="B1196" s="601"/>
    </row>
    <row r="1197">
      <c r="B1197" s="601"/>
    </row>
    <row r="1198">
      <c r="B1198" s="601"/>
    </row>
    <row r="1199">
      <c r="B1199" s="601"/>
    </row>
    <row r="1200">
      <c r="B1200" s="601"/>
    </row>
    <row r="1201">
      <c r="B1201" s="601"/>
    </row>
    <row r="1202">
      <c r="B1202" s="601"/>
    </row>
    <row r="1203">
      <c r="B1203" s="601"/>
    </row>
    <row r="1204">
      <c r="B1204" s="601"/>
    </row>
    <row r="1205">
      <c r="B1205" s="601"/>
    </row>
    <row r="1206">
      <c r="B1206" s="601"/>
    </row>
    <row r="1207">
      <c r="B1207" s="601"/>
    </row>
    <row r="1208">
      <c r="B1208" s="601"/>
    </row>
    <row r="1209">
      <c r="B1209" s="601"/>
    </row>
    <row r="1210">
      <c r="B1210" s="601"/>
    </row>
    <row r="1211">
      <c r="B1211" s="601"/>
    </row>
    <row r="1212">
      <c r="B1212" s="601"/>
    </row>
    <row r="1213">
      <c r="B1213" s="601"/>
    </row>
    <row r="1214">
      <c r="B1214" s="601"/>
    </row>
    <row r="1215">
      <c r="B1215" s="601"/>
    </row>
    <row r="1216">
      <c r="B1216" s="601"/>
    </row>
    <row r="1217">
      <c r="B1217" s="601"/>
    </row>
    <row r="1218">
      <c r="B1218" s="601"/>
    </row>
    <row r="1219">
      <c r="B1219" s="601"/>
    </row>
    <row r="1220">
      <c r="B1220" s="601"/>
    </row>
    <row r="1221">
      <c r="B1221" s="601"/>
    </row>
    <row r="1222">
      <c r="B1222" s="601"/>
    </row>
    <row r="1223">
      <c r="B1223" s="601"/>
    </row>
    <row r="1224">
      <c r="B1224" s="601"/>
    </row>
    <row r="1225">
      <c r="B1225" s="601"/>
    </row>
    <row r="1226">
      <c r="B1226" s="601"/>
    </row>
    <row r="1227">
      <c r="B1227" s="601"/>
    </row>
    <row r="1228">
      <c r="B1228" s="601"/>
    </row>
    <row r="1229">
      <c r="B1229" s="601"/>
    </row>
    <row r="1230">
      <c r="B1230" s="601"/>
    </row>
    <row r="1231">
      <c r="B1231" s="601"/>
    </row>
    <row r="1232">
      <c r="B1232" s="601"/>
    </row>
    <row r="1233">
      <c r="B1233" s="601"/>
    </row>
    <row r="1234">
      <c r="B1234" s="601"/>
    </row>
    <row r="1235">
      <c r="B1235" s="601"/>
    </row>
    <row r="1236">
      <c r="B1236" s="601"/>
    </row>
    <row r="1237">
      <c r="B1237" s="601"/>
    </row>
    <row r="1238">
      <c r="B1238" s="601"/>
    </row>
    <row r="1239">
      <c r="B1239" s="601"/>
    </row>
    <row r="1240">
      <c r="B1240" s="601"/>
    </row>
    <row r="1241">
      <c r="B1241" s="601"/>
    </row>
    <row r="1242">
      <c r="B1242" s="601"/>
    </row>
    <row r="1243">
      <c r="B1243" s="601"/>
    </row>
    <row r="1244">
      <c r="B1244" s="601"/>
    </row>
    <row r="1245">
      <c r="B1245" s="601"/>
    </row>
    <row r="1246">
      <c r="B1246" s="601"/>
    </row>
    <row r="1247">
      <c r="B1247" s="601"/>
    </row>
    <row r="1248">
      <c r="B1248" s="601"/>
    </row>
    <row r="1249">
      <c r="B1249" s="601"/>
    </row>
    <row r="1250">
      <c r="B1250" s="601"/>
    </row>
    <row r="1251">
      <c r="B1251" s="601"/>
    </row>
    <row r="1252">
      <c r="B1252" s="601"/>
    </row>
    <row r="1253">
      <c r="B1253" s="601"/>
    </row>
    <row r="1254">
      <c r="B1254" s="601"/>
    </row>
    <row r="1255">
      <c r="B1255" s="601"/>
    </row>
    <row r="1256">
      <c r="B1256" s="601"/>
    </row>
    <row r="1257">
      <c r="B1257" s="601"/>
    </row>
    <row r="1258">
      <c r="B1258" s="601"/>
    </row>
    <row r="1259">
      <c r="B1259" s="601"/>
    </row>
    <row r="1260">
      <c r="B1260" s="601"/>
    </row>
    <row r="1261">
      <c r="B1261" s="601"/>
    </row>
    <row r="1262">
      <c r="B1262" s="601"/>
    </row>
    <row r="1263">
      <c r="B1263" s="601"/>
    </row>
    <row r="1264">
      <c r="B1264" s="601"/>
    </row>
    <row r="1265">
      <c r="B1265" s="601"/>
    </row>
    <row r="1266">
      <c r="B1266" s="601"/>
    </row>
    <row r="1267">
      <c r="B1267" s="601"/>
    </row>
    <row r="1268">
      <c r="B1268" s="601"/>
    </row>
    <row r="1269">
      <c r="B1269" s="601"/>
    </row>
    <row r="1270">
      <c r="B1270" s="601"/>
    </row>
    <row r="1271">
      <c r="B1271" s="601"/>
    </row>
    <row r="1272">
      <c r="B1272" s="601"/>
    </row>
    <row r="1273">
      <c r="B1273" s="601"/>
    </row>
    <row r="1274">
      <c r="B1274" s="601"/>
    </row>
    <row r="1275">
      <c r="B1275" s="601"/>
    </row>
    <row r="1276">
      <c r="B1276" s="601"/>
    </row>
    <row r="1277">
      <c r="B1277" s="601"/>
    </row>
    <row r="1278">
      <c r="B1278" s="601"/>
    </row>
    <row r="1279">
      <c r="B1279" s="601"/>
    </row>
    <row r="1280">
      <c r="B1280" s="601"/>
    </row>
    <row r="1281">
      <c r="B1281" s="601"/>
    </row>
    <row r="1282">
      <c r="B1282" s="601"/>
    </row>
    <row r="1283">
      <c r="B1283" s="601"/>
    </row>
    <row r="1284">
      <c r="B1284" s="601"/>
    </row>
    <row r="1285">
      <c r="B1285" s="601"/>
    </row>
    <row r="1286">
      <c r="B1286" s="601"/>
    </row>
    <row r="1287">
      <c r="B1287" s="601"/>
    </row>
    <row r="1288">
      <c r="B1288" s="601"/>
    </row>
    <row r="1289">
      <c r="B1289" s="601"/>
    </row>
    <row r="1290">
      <c r="B1290" s="601"/>
    </row>
    <row r="1291">
      <c r="B1291" s="601"/>
    </row>
    <row r="1292">
      <c r="B1292" s="601"/>
    </row>
    <row r="1293">
      <c r="B1293" s="601"/>
    </row>
    <row r="1294">
      <c r="B1294" s="601"/>
    </row>
    <row r="1295">
      <c r="B1295" s="601"/>
    </row>
    <row r="1296">
      <c r="B1296" s="601"/>
    </row>
    <row r="1297">
      <c r="B1297" s="601"/>
    </row>
    <row r="1298">
      <c r="B1298" s="601"/>
    </row>
    <row r="1299">
      <c r="B1299" s="601"/>
    </row>
    <row r="1300">
      <c r="B1300" s="601"/>
    </row>
    <row r="1301">
      <c r="B1301" s="601"/>
    </row>
    <row r="1302">
      <c r="B1302" s="601"/>
    </row>
    <row r="1303">
      <c r="B1303" s="601"/>
    </row>
    <row r="1304">
      <c r="B1304" s="601"/>
    </row>
    <row r="1305">
      <c r="B1305" s="601"/>
    </row>
    <row r="1306">
      <c r="B1306" s="601"/>
    </row>
    <row r="1307">
      <c r="B1307" s="601"/>
    </row>
    <row r="1308">
      <c r="B1308" s="601"/>
    </row>
    <row r="1309">
      <c r="B1309" s="601"/>
    </row>
    <row r="1310">
      <c r="B1310" s="601"/>
    </row>
    <row r="1311">
      <c r="B1311" s="601"/>
    </row>
    <row r="1312">
      <c r="B1312" s="601"/>
    </row>
    <row r="1313">
      <c r="B1313" s="601"/>
    </row>
    <row r="1314">
      <c r="B1314" s="601"/>
    </row>
    <row r="1315">
      <c r="B1315" s="601"/>
    </row>
    <row r="1316">
      <c r="B1316" s="601"/>
    </row>
    <row r="1317">
      <c r="B1317" s="601"/>
    </row>
    <row r="1318">
      <c r="B1318" s="601"/>
    </row>
    <row r="1319">
      <c r="B1319" s="601"/>
    </row>
    <row r="1320">
      <c r="B1320" s="601"/>
    </row>
    <row r="1321">
      <c r="B1321" s="601"/>
    </row>
    <row r="1322">
      <c r="B1322" s="601"/>
    </row>
    <row r="1323">
      <c r="B1323" s="601"/>
    </row>
    <row r="1324">
      <c r="B1324" s="601"/>
    </row>
    <row r="1325">
      <c r="B1325" s="601"/>
    </row>
    <row r="1326">
      <c r="B1326" s="601"/>
    </row>
    <row r="1327">
      <c r="B1327" s="601"/>
    </row>
    <row r="1328">
      <c r="B1328" s="601"/>
    </row>
    <row r="1329">
      <c r="B1329" s="601"/>
    </row>
    <row r="1330">
      <c r="B1330" s="601"/>
    </row>
    <row r="1331">
      <c r="B1331" s="601"/>
    </row>
    <row r="1332">
      <c r="B1332" s="601"/>
    </row>
    <row r="1333">
      <c r="B1333" s="601"/>
    </row>
    <row r="1334">
      <c r="B1334" s="601"/>
    </row>
    <row r="1335">
      <c r="B1335" s="601"/>
    </row>
    <row r="1336">
      <c r="B1336" s="601"/>
    </row>
    <row r="1337">
      <c r="B1337" s="601"/>
    </row>
    <row r="1338">
      <c r="B1338" s="601"/>
    </row>
    <row r="1339">
      <c r="B1339" s="601"/>
    </row>
    <row r="1340">
      <c r="B1340" s="601"/>
    </row>
    <row r="1341">
      <c r="B1341" s="601"/>
    </row>
    <row r="1342">
      <c r="B1342" s="601"/>
    </row>
    <row r="1343">
      <c r="B1343" s="601"/>
    </row>
    <row r="1344">
      <c r="B1344" s="601"/>
    </row>
    <row r="1345">
      <c r="B1345" s="601"/>
    </row>
    <row r="1346">
      <c r="B1346" s="601"/>
    </row>
    <row r="1347">
      <c r="B1347" s="601"/>
    </row>
    <row r="1348">
      <c r="B1348" s="601"/>
    </row>
    <row r="1349">
      <c r="B1349" s="601"/>
    </row>
    <row r="1350">
      <c r="B1350" s="601"/>
    </row>
    <row r="1351">
      <c r="B1351" s="601"/>
    </row>
    <row r="1352">
      <c r="B1352" s="602"/>
    </row>
    <row r="1353">
      <c r="B1353" s="602"/>
    </row>
    <row r="1354">
      <c r="B1354" s="602"/>
    </row>
    <row r="1355">
      <c r="B1355" s="602"/>
    </row>
    <row r="1356">
      <c r="B1356" s="602"/>
    </row>
    <row r="1357">
      <c r="B1357" s="602"/>
    </row>
    <row r="1358">
      <c r="B1358" s="602"/>
    </row>
    <row r="1359">
      <c r="B1359" s="602"/>
    </row>
    <row r="1360">
      <c r="B1360" s="602"/>
    </row>
    <row r="1361">
      <c r="B1361" s="602"/>
    </row>
    <row r="1362">
      <c r="B1362" s="602"/>
    </row>
    <row r="1363">
      <c r="B1363" s="602"/>
    </row>
    <row r="1364">
      <c r="B1364" s="602"/>
    </row>
    <row r="1365">
      <c r="B1365" s="602"/>
    </row>
    <row r="1366">
      <c r="B1366" s="602"/>
    </row>
    <row r="1367">
      <c r="B1367" s="602"/>
    </row>
    <row r="1368">
      <c r="B1368" s="602"/>
    </row>
    <row r="1369">
      <c r="B1369" s="602"/>
    </row>
    <row r="1370">
      <c r="B1370" s="602"/>
    </row>
    <row r="1371">
      <c r="B1371" s="602"/>
    </row>
    <row r="1372">
      <c r="B1372" s="602"/>
    </row>
    <row r="1373">
      <c r="B1373" s="602"/>
    </row>
    <row r="1374">
      <c r="B1374" s="602"/>
    </row>
    <row r="1375">
      <c r="B1375" s="602"/>
    </row>
    <row r="1376">
      <c r="B1376" s="602"/>
    </row>
    <row r="1377">
      <c r="B1377" s="602"/>
    </row>
    <row r="1378">
      <c r="B1378" s="602"/>
    </row>
    <row r="1379">
      <c r="B1379" s="602"/>
    </row>
    <row r="1380">
      <c r="B1380" s="602"/>
    </row>
    <row r="1381">
      <c r="B1381" s="602"/>
    </row>
    <row r="1382">
      <c r="B1382" s="602"/>
    </row>
    <row r="1383">
      <c r="B1383" s="602"/>
    </row>
    <row r="1384">
      <c r="B1384" s="602"/>
    </row>
    <row r="1385">
      <c r="B1385" s="602"/>
    </row>
    <row r="1386">
      <c r="B1386" s="602"/>
    </row>
    <row r="1387">
      <c r="B1387" s="602"/>
    </row>
    <row r="1388">
      <c r="B1388" s="602"/>
    </row>
    <row r="1389">
      <c r="B1389" s="602"/>
    </row>
    <row r="1390">
      <c r="B1390" s="602"/>
    </row>
    <row r="1391">
      <c r="B1391" s="602"/>
    </row>
    <row r="1392">
      <c r="B1392" s="602"/>
    </row>
    <row r="1393">
      <c r="B1393" s="602"/>
    </row>
    <row r="1394">
      <c r="B1394" s="602"/>
    </row>
    <row r="1395">
      <c r="B1395" s="602"/>
    </row>
    <row r="1396">
      <c r="B1396" s="602"/>
    </row>
    <row r="1397">
      <c r="B1397" s="602"/>
    </row>
    <row r="1398">
      <c r="B1398" s="602"/>
    </row>
    <row r="1399">
      <c r="B1399" s="602"/>
    </row>
    <row r="1400">
      <c r="B1400" s="602"/>
    </row>
    <row r="1401">
      <c r="B1401" s="602"/>
    </row>
    <row r="1402">
      <c r="B1402" s="602"/>
    </row>
    <row r="1403">
      <c r="B1403" s="602"/>
    </row>
    <row r="1404">
      <c r="B1404" s="602"/>
    </row>
    <row r="1405">
      <c r="B1405" s="602"/>
    </row>
    <row r="1406">
      <c r="B1406" s="602"/>
    </row>
    <row r="1407">
      <c r="B1407" s="602"/>
    </row>
    <row r="1408">
      <c r="B1408" s="602"/>
    </row>
    <row r="1409">
      <c r="B1409" s="602"/>
    </row>
    <row r="1410">
      <c r="B1410" s="602"/>
    </row>
    <row r="1411">
      <c r="B1411" s="602"/>
    </row>
    <row r="1412">
      <c r="B1412" s="602"/>
    </row>
    <row r="1413">
      <c r="B1413" s="603"/>
    </row>
    <row r="1414">
      <c r="B1414" s="603"/>
    </row>
    <row r="1415">
      <c r="B1415" s="603"/>
    </row>
    <row r="1416">
      <c r="B1416" s="603"/>
    </row>
    <row r="1417">
      <c r="B1417" s="603"/>
    </row>
    <row r="1418">
      <c r="B1418" s="603"/>
    </row>
    <row r="1419">
      <c r="B1419" s="603"/>
    </row>
    <row r="1420">
      <c r="B1420" s="603"/>
    </row>
    <row r="1421">
      <c r="B1421" s="603"/>
    </row>
    <row r="1422">
      <c r="B1422" s="603"/>
    </row>
    <row r="1423">
      <c r="B1423" s="603"/>
    </row>
    <row r="1424">
      <c r="B1424" s="603"/>
    </row>
    <row r="1425">
      <c r="B1425" s="603"/>
    </row>
    <row r="1426">
      <c r="B1426" s="603"/>
    </row>
    <row r="1427">
      <c r="B1427" s="603"/>
    </row>
    <row r="1428">
      <c r="B1428" s="603"/>
    </row>
    <row r="1429">
      <c r="B1429" s="603"/>
    </row>
    <row r="1430">
      <c r="B1430" s="603"/>
    </row>
    <row r="1431">
      <c r="B1431" s="603"/>
    </row>
    <row r="1432">
      <c r="B1432" s="603"/>
    </row>
    <row r="1433">
      <c r="B1433" s="603"/>
    </row>
    <row r="1434">
      <c r="B1434" s="603"/>
    </row>
    <row r="1435">
      <c r="B1435" s="603"/>
    </row>
    <row r="1436">
      <c r="B1436" s="603"/>
    </row>
    <row r="1437">
      <c r="B1437" s="603"/>
    </row>
    <row r="1438">
      <c r="B1438" s="603"/>
    </row>
    <row r="1439">
      <c r="B1439" s="603"/>
    </row>
    <row r="1440">
      <c r="B1440" s="603"/>
    </row>
    <row r="1441">
      <c r="B1441" s="603"/>
    </row>
    <row r="1442">
      <c r="B1442" s="603"/>
    </row>
    <row r="1443">
      <c r="B1443" s="603"/>
    </row>
    <row r="1444">
      <c r="B1444" s="603"/>
    </row>
    <row r="1445">
      <c r="B1445" s="603"/>
    </row>
    <row r="1446">
      <c r="B1446" s="603"/>
    </row>
    <row r="1447">
      <c r="B1447" s="603"/>
    </row>
    <row r="1448">
      <c r="B1448" s="603"/>
    </row>
    <row r="1449">
      <c r="B1449" s="603"/>
    </row>
    <row r="1450">
      <c r="B1450" s="603"/>
    </row>
    <row r="1451">
      <c r="B1451" s="603"/>
    </row>
    <row r="1452">
      <c r="B1452" s="603"/>
    </row>
    <row r="1453">
      <c r="B1453" s="603"/>
    </row>
    <row r="1454">
      <c r="B1454" s="603"/>
    </row>
    <row r="1455">
      <c r="B1455" s="603"/>
    </row>
    <row r="1456">
      <c r="B1456" s="603"/>
    </row>
    <row r="1457">
      <c r="B1457" s="603"/>
    </row>
    <row r="1458">
      <c r="B1458" s="603"/>
    </row>
    <row r="1459">
      <c r="B1459" s="603"/>
    </row>
    <row r="1460">
      <c r="B1460" s="603"/>
    </row>
    <row r="1461">
      <c r="B1461" s="603"/>
    </row>
    <row r="1462">
      <c r="B1462" s="603"/>
    </row>
    <row r="1463">
      <c r="B1463" s="603"/>
    </row>
    <row r="1464">
      <c r="B1464" s="603"/>
    </row>
    <row r="1465">
      <c r="B1465" s="603"/>
    </row>
    <row r="1466">
      <c r="B1466" s="603"/>
    </row>
    <row r="1467">
      <c r="B1467" s="603"/>
    </row>
    <row r="1468">
      <c r="B1468" s="603"/>
    </row>
    <row r="1469">
      <c r="B1469" s="603"/>
    </row>
    <row r="1470">
      <c r="B1470" s="603"/>
    </row>
    <row r="1471">
      <c r="B1471" s="603"/>
    </row>
    <row r="1472">
      <c r="B1472" s="603"/>
    </row>
    <row r="1473">
      <c r="B1473" s="603"/>
    </row>
    <row r="1474">
      <c r="B1474" s="603"/>
    </row>
    <row r="1475">
      <c r="B1475" s="603"/>
    </row>
    <row r="1476">
      <c r="B1476" s="603"/>
    </row>
    <row r="1477">
      <c r="B1477" s="603"/>
    </row>
    <row r="1478">
      <c r="B1478" s="603"/>
    </row>
    <row r="1479">
      <c r="B1479" s="603"/>
    </row>
    <row r="1480">
      <c r="B1480" s="603"/>
    </row>
    <row r="1481">
      <c r="B1481" s="603"/>
    </row>
    <row r="1482">
      <c r="B1482" s="603"/>
    </row>
    <row r="1483">
      <c r="B1483" s="603"/>
    </row>
    <row r="1484">
      <c r="B1484" s="603"/>
    </row>
    <row r="1485">
      <c r="B1485" s="603"/>
    </row>
    <row r="1486">
      <c r="B1486" s="603"/>
    </row>
    <row r="1487">
      <c r="B1487" s="603"/>
    </row>
    <row r="1488">
      <c r="B1488" s="603"/>
    </row>
    <row r="1489">
      <c r="B1489" s="603"/>
    </row>
    <row r="1490">
      <c r="B1490" s="603"/>
    </row>
    <row r="1491">
      <c r="B1491" s="603"/>
    </row>
    <row r="1492">
      <c r="B1492" s="603"/>
    </row>
    <row r="1493">
      <c r="B1493" s="603"/>
    </row>
    <row r="1494">
      <c r="B1494" s="603"/>
    </row>
    <row r="1495">
      <c r="B1495" s="603"/>
    </row>
    <row r="1496">
      <c r="B1496" s="603"/>
    </row>
    <row r="1497">
      <c r="B1497" s="603"/>
    </row>
    <row r="1498">
      <c r="B1498" s="603"/>
    </row>
    <row r="1499">
      <c r="B1499" s="603"/>
    </row>
    <row r="1500">
      <c r="B1500" s="603"/>
    </row>
    <row r="1501">
      <c r="B1501" s="603"/>
    </row>
    <row r="1502">
      <c r="B1502" s="603"/>
    </row>
    <row r="1503">
      <c r="B1503" s="603"/>
    </row>
    <row r="1504">
      <c r="B1504" s="603"/>
    </row>
    <row r="1505">
      <c r="B1505" s="603"/>
    </row>
    <row r="1506">
      <c r="B1506" s="603"/>
    </row>
    <row r="1507">
      <c r="B1507" s="603"/>
    </row>
    <row r="1508">
      <c r="B1508" s="603"/>
    </row>
    <row r="1509">
      <c r="B1509" s="603"/>
    </row>
    <row r="1510">
      <c r="B1510" s="603"/>
    </row>
    <row r="1511">
      <c r="B1511" s="603"/>
    </row>
    <row r="1512">
      <c r="B1512" s="603"/>
    </row>
    <row r="1513">
      <c r="B1513" s="603"/>
    </row>
    <row r="1514">
      <c r="B1514" s="603"/>
    </row>
    <row r="1515">
      <c r="B1515" s="603"/>
    </row>
    <row r="1516">
      <c r="B1516" s="603"/>
    </row>
    <row r="1517">
      <c r="B1517" s="603"/>
    </row>
    <row r="1518">
      <c r="B1518" s="603"/>
    </row>
    <row r="1519">
      <c r="B1519" s="603"/>
    </row>
    <row r="1520">
      <c r="B1520" s="603"/>
    </row>
    <row r="1521">
      <c r="B1521" s="603"/>
    </row>
    <row r="1522">
      <c r="B1522" s="603"/>
    </row>
    <row r="1523">
      <c r="B1523" s="603"/>
    </row>
    <row r="1524">
      <c r="B1524" s="603"/>
    </row>
    <row r="1525">
      <c r="B1525" s="603"/>
    </row>
    <row r="1526">
      <c r="B1526" s="603"/>
    </row>
    <row r="1527">
      <c r="B1527" s="603"/>
    </row>
    <row r="1528">
      <c r="B1528" s="603"/>
    </row>
    <row r="1529">
      <c r="B1529" s="603"/>
    </row>
    <row r="1530">
      <c r="B1530" s="603"/>
    </row>
    <row r="1531">
      <c r="B1531" s="603"/>
    </row>
    <row r="1532">
      <c r="B1532" s="603"/>
    </row>
    <row r="1533">
      <c r="B1533" s="603"/>
    </row>
    <row r="1534">
      <c r="B1534" s="603"/>
    </row>
    <row r="1535">
      <c r="B1535" s="603"/>
    </row>
    <row r="1536">
      <c r="B1536" s="603"/>
    </row>
    <row r="1537">
      <c r="B1537" s="603"/>
    </row>
    <row r="1538">
      <c r="B1538" s="603"/>
    </row>
    <row r="1539">
      <c r="B1539" s="603"/>
    </row>
    <row r="1540">
      <c r="B1540" s="603"/>
    </row>
    <row r="1541">
      <c r="B1541" s="603"/>
    </row>
    <row r="1542">
      <c r="B1542" s="603"/>
    </row>
    <row r="1543">
      <c r="B1543" s="603"/>
    </row>
    <row r="1544">
      <c r="B1544" s="603"/>
    </row>
    <row r="1545">
      <c r="B1545" s="603"/>
    </row>
    <row r="1546">
      <c r="B1546" s="603"/>
    </row>
    <row r="1547">
      <c r="B1547" s="603"/>
    </row>
    <row r="1548">
      <c r="B1548" s="603"/>
    </row>
    <row r="1549">
      <c r="B1549" s="603"/>
    </row>
    <row r="1550">
      <c r="B1550" s="603"/>
    </row>
    <row r="1551">
      <c r="B1551" s="603"/>
    </row>
    <row r="1552">
      <c r="B1552" s="603"/>
    </row>
    <row r="1553">
      <c r="B1553" s="603"/>
    </row>
    <row r="1554">
      <c r="B1554" s="603"/>
    </row>
    <row r="1555">
      <c r="B1555" s="603"/>
    </row>
    <row r="1556">
      <c r="B1556" s="603"/>
    </row>
    <row r="1557">
      <c r="B1557" s="603"/>
    </row>
    <row r="1558">
      <c r="B1558" s="603"/>
    </row>
    <row r="1559">
      <c r="B1559" s="603"/>
    </row>
    <row r="1560">
      <c r="B1560" s="603"/>
    </row>
    <row r="1561">
      <c r="B1561" s="603"/>
    </row>
    <row r="1562">
      <c r="B1562" s="603"/>
    </row>
    <row r="1563">
      <c r="B1563" s="603"/>
    </row>
    <row r="1564">
      <c r="B1564" s="603"/>
    </row>
    <row r="1565">
      <c r="B1565" s="603"/>
    </row>
    <row r="1566">
      <c r="B1566" s="603"/>
    </row>
    <row r="1567">
      <c r="B1567" s="603"/>
    </row>
    <row r="1568">
      <c r="B1568" s="603"/>
    </row>
    <row r="1569">
      <c r="B1569" s="603"/>
    </row>
    <row r="1570">
      <c r="B1570" s="603"/>
    </row>
    <row r="1571">
      <c r="B1571" s="603"/>
    </row>
    <row r="1572">
      <c r="B1572" s="603"/>
    </row>
    <row r="1573">
      <c r="B1573" s="603"/>
    </row>
    <row r="1574">
      <c r="B1574" s="603"/>
    </row>
    <row r="1575">
      <c r="B1575" s="603"/>
    </row>
    <row r="1576">
      <c r="B1576" s="603"/>
    </row>
    <row r="1577">
      <c r="B1577" s="603"/>
    </row>
    <row r="1578">
      <c r="B1578" s="603"/>
    </row>
    <row r="1579">
      <c r="B1579" s="603"/>
    </row>
    <row r="1580">
      <c r="B1580" s="603"/>
    </row>
    <row r="1581">
      <c r="B1581" s="603"/>
    </row>
    <row r="1582">
      <c r="B1582" s="603"/>
    </row>
    <row r="1583">
      <c r="B1583" s="603"/>
    </row>
    <row r="1584">
      <c r="B1584" s="603"/>
    </row>
    <row r="1585">
      <c r="B1585" s="603"/>
    </row>
    <row r="1586">
      <c r="B1586" s="603"/>
    </row>
    <row r="1587">
      <c r="B1587" s="603"/>
    </row>
    <row r="1588">
      <c r="B1588" s="603"/>
    </row>
    <row r="1589">
      <c r="B1589" s="603"/>
    </row>
    <row r="1590">
      <c r="B1590" s="603"/>
    </row>
    <row r="1591">
      <c r="B1591" s="603"/>
    </row>
    <row r="1592">
      <c r="B1592" s="603"/>
    </row>
    <row r="1593">
      <c r="B1593" s="603"/>
    </row>
    <row r="1594">
      <c r="B1594" s="603"/>
    </row>
    <row r="1595">
      <c r="B1595" s="603"/>
    </row>
    <row r="1596">
      <c r="B1596" s="603"/>
    </row>
    <row r="1597">
      <c r="B1597" s="603"/>
    </row>
    <row r="1598">
      <c r="B1598" s="603"/>
    </row>
    <row r="1599">
      <c r="B1599" s="603"/>
    </row>
    <row r="1600">
      <c r="B1600" s="603"/>
    </row>
    <row r="1601">
      <c r="B1601" s="603"/>
    </row>
    <row r="1602">
      <c r="B1602" s="603"/>
    </row>
    <row r="1603">
      <c r="B1603" s="603"/>
    </row>
    <row r="1604">
      <c r="B1604" s="603"/>
    </row>
    <row r="1605">
      <c r="B1605" s="603"/>
    </row>
    <row r="1606">
      <c r="B1606" s="603"/>
    </row>
    <row r="1607">
      <c r="B1607" s="603"/>
    </row>
    <row r="1608">
      <c r="B1608" s="603"/>
    </row>
    <row r="1609">
      <c r="B1609" s="603"/>
    </row>
    <row r="1610">
      <c r="B1610" s="603"/>
    </row>
    <row r="1611">
      <c r="B1611" s="603"/>
    </row>
    <row r="1612">
      <c r="B1612" s="603"/>
    </row>
    <row r="1613">
      <c r="B1613" s="603"/>
    </row>
    <row r="1614">
      <c r="B1614" s="603"/>
    </row>
    <row r="1615">
      <c r="B1615" s="603"/>
    </row>
    <row r="1616">
      <c r="B1616" s="603"/>
    </row>
    <row r="1617">
      <c r="B1617" s="603"/>
    </row>
    <row r="1618">
      <c r="B1618" s="603"/>
    </row>
    <row r="1619">
      <c r="B1619" s="603"/>
    </row>
    <row r="1620">
      <c r="B1620" s="603"/>
    </row>
    <row r="1621">
      <c r="B1621" s="603"/>
    </row>
    <row r="1622">
      <c r="B1622" s="603"/>
    </row>
    <row r="1623">
      <c r="B1623" s="603"/>
    </row>
    <row r="1624">
      <c r="B1624" s="603"/>
    </row>
    <row r="1625">
      <c r="B1625" s="603"/>
    </row>
    <row r="1626">
      <c r="B1626" s="603"/>
    </row>
    <row r="1627">
      <c r="B1627" s="603"/>
    </row>
    <row r="1628">
      <c r="B1628" s="603"/>
    </row>
    <row r="1629">
      <c r="B1629" s="603"/>
    </row>
    <row r="1630">
      <c r="B1630" s="603"/>
    </row>
    <row r="1631">
      <c r="B1631" s="603"/>
    </row>
    <row r="1632">
      <c r="B1632" s="603"/>
    </row>
    <row r="1633">
      <c r="B1633" s="603"/>
    </row>
    <row r="1634">
      <c r="B1634" s="603"/>
    </row>
    <row r="1635">
      <c r="B1635" s="603"/>
    </row>
    <row r="1636">
      <c r="B1636" s="603"/>
    </row>
    <row r="1637">
      <c r="B1637" s="603"/>
    </row>
    <row r="1638">
      <c r="B1638" s="603"/>
    </row>
    <row r="1639">
      <c r="B1639" s="603"/>
    </row>
    <row r="1640">
      <c r="B1640" s="603"/>
    </row>
    <row r="1641">
      <c r="B1641" s="603"/>
    </row>
    <row r="1642">
      <c r="B1642" s="603"/>
    </row>
    <row r="1643">
      <c r="B1643" s="603"/>
    </row>
    <row r="1644">
      <c r="B1644" s="603"/>
    </row>
    <row r="1645">
      <c r="B1645" s="603"/>
    </row>
    <row r="1646">
      <c r="B1646" s="603"/>
    </row>
    <row r="1647">
      <c r="B1647" s="603"/>
    </row>
    <row r="1648">
      <c r="B1648" s="603"/>
    </row>
    <row r="1649">
      <c r="B1649" s="603"/>
    </row>
    <row r="1650">
      <c r="B1650" s="603"/>
    </row>
    <row r="1651">
      <c r="B1651" s="603"/>
    </row>
    <row r="1652">
      <c r="B1652" s="603"/>
    </row>
    <row r="1653">
      <c r="B1653" s="603"/>
    </row>
    <row r="1654">
      <c r="B1654" s="603"/>
    </row>
    <row r="1655">
      <c r="B1655" s="603"/>
    </row>
    <row r="1656">
      <c r="B1656" s="603"/>
    </row>
    <row r="1657">
      <c r="B1657" s="603"/>
    </row>
    <row r="1658">
      <c r="B1658" s="603"/>
    </row>
    <row r="1659">
      <c r="B1659" s="603"/>
    </row>
    <row r="1660">
      <c r="B1660" s="603"/>
    </row>
    <row r="1661">
      <c r="B1661" s="603"/>
    </row>
    <row r="1662">
      <c r="B1662" s="603"/>
    </row>
    <row r="1663">
      <c r="B1663" s="603"/>
    </row>
    <row r="1664">
      <c r="B1664" s="603"/>
    </row>
    <row r="1665">
      <c r="B1665" s="603"/>
    </row>
    <row r="1666">
      <c r="B1666" s="603"/>
    </row>
    <row r="1667">
      <c r="B1667" s="603"/>
    </row>
    <row r="1668">
      <c r="B1668" s="603"/>
    </row>
    <row r="1669">
      <c r="B1669" s="603"/>
    </row>
    <row r="1670">
      <c r="B1670" s="603"/>
    </row>
    <row r="1671">
      <c r="B1671" s="603"/>
    </row>
    <row r="1672">
      <c r="B1672" s="603"/>
    </row>
    <row r="1673">
      <c r="B1673" s="603"/>
    </row>
    <row r="1674">
      <c r="B1674" s="603"/>
    </row>
    <row r="1675">
      <c r="B1675" s="603"/>
    </row>
    <row r="1676">
      <c r="B1676" s="603"/>
    </row>
    <row r="1677">
      <c r="B1677" s="603"/>
    </row>
    <row r="1678">
      <c r="B1678" s="603"/>
    </row>
    <row r="1679">
      <c r="B1679" s="603"/>
    </row>
    <row r="1680">
      <c r="B1680" s="603"/>
    </row>
    <row r="1681">
      <c r="B1681" s="603"/>
    </row>
    <row r="1682">
      <c r="B1682" s="603"/>
    </row>
    <row r="1683">
      <c r="B1683" s="603"/>
    </row>
    <row r="1684">
      <c r="B1684" s="603"/>
    </row>
    <row r="1685">
      <c r="B1685" s="603"/>
    </row>
    <row r="1686">
      <c r="B1686" s="603"/>
    </row>
    <row r="1687">
      <c r="B1687" s="603"/>
    </row>
    <row r="1688">
      <c r="B1688" s="603"/>
    </row>
    <row r="1689">
      <c r="B1689" s="603"/>
    </row>
    <row r="1690">
      <c r="B1690" s="603"/>
    </row>
    <row r="1691">
      <c r="B1691" s="603"/>
    </row>
    <row r="1692">
      <c r="B1692" s="603"/>
    </row>
    <row r="1693">
      <c r="B1693" s="603"/>
    </row>
    <row r="1694">
      <c r="B1694" s="603"/>
    </row>
    <row r="1695">
      <c r="B1695" s="603"/>
    </row>
    <row r="1696">
      <c r="B1696" s="603"/>
    </row>
    <row r="1697">
      <c r="B1697" s="603"/>
    </row>
    <row r="1698">
      <c r="B1698" s="603"/>
    </row>
    <row r="1699">
      <c r="B1699" s="603"/>
    </row>
    <row r="1700">
      <c r="B1700" s="603"/>
    </row>
    <row r="1701">
      <c r="B1701" s="603"/>
    </row>
    <row r="1702">
      <c r="B1702" s="603"/>
    </row>
    <row r="1703">
      <c r="B1703" s="603"/>
    </row>
    <row r="1704">
      <c r="B1704" s="603"/>
    </row>
    <row r="1705">
      <c r="B1705" s="603"/>
    </row>
    <row r="1706">
      <c r="B1706" s="603"/>
    </row>
    <row r="1707">
      <c r="B1707" s="603"/>
    </row>
    <row r="1708">
      <c r="B1708" s="603"/>
    </row>
    <row r="1709">
      <c r="B1709" s="603"/>
    </row>
    <row r="1710">
      <c r="B1710" s="603"/>
    </row>
    <row r="1711">
      <c r="B1711" s="603"/>
    </row>
    <row r="1712">
      <c r="B1712" s="603"/>
    </row>
    <row r="1713">
      <c r="B1713" s="603"/>
    </row>
    <row r="1714">
      <c r="B1714" s="603"/>
    </row>
    <row r="1715">
      <c r="B1715" s="603"/>
    </row>
    <row r="1716">
      <c r="B1716" s="603"/>
    </row>
    <row r="1717">
      <c r="B1717" s="603"/>
    </row>
    <row r="1718">
      <c r="B1718" s="603"/>
    </row>
    <row r="1719">
      <c r="B1719" s="603"/>
    </row>
    <row r="1720">
      <c r="B1720" s="603"/>
    </row>
    <row r="1721">
      <c r="B1721" s="603"/>
    </row>
    <row r="1722">
      <c r="B1722" s="603"/>
    </row>
    <row r="1723">
      <c r="B1723" s="603"/>
    </row>
    <row r="1724">
      <c r="B1724" s="603"/>
    </row>
    <row r="1725">
      <c r="B1725" s="603"/>
    </row>
    <row r="1726">
      <c r="B1726" s="603"/>
    </row>
    <row r="1727">
      <c r="B1727" s="603"/>
    </row>
    <row r="1728">
      <c r="B1728" s="603"/>
    </row>
    <row r="1729">
      <c r="B1729" s="603"/>
    </row>
    <row r="1730">
      <c r="B1730" s="603"/>
    </row>
    <row r="1731">
      <c r="B1731" s="603"/>
    </row>
    <row r="1732">
      <c r="B1732" s="603"/>
    </row>
    <row r="1733">
      <c r="B1733" s="603"/>
    </row>
    <row r="1734">
      <c r="B1734" s="603"/>
    </row>
    <row r="1735">
      <c r="B1735" s="603"/>
    </row>
    <row r="1736">
      <c r="B1736" s="603"/>
    </row>
    <row r="1737">
      <c r="B1737" s="603"/>
    </row>
    <row r="1738">
      <c r="B1738" s="603"/>
    </row>
    <row r="1739">
      <c r="B1739" s="603"/>
    </row>
    <row r="1740">
      <c r="B1740" s="603"/>
    </row>
    <row r="1741">
      <c r="B1741" s="603"/>
    </row>
    <row r="1742">
      <c r="B1742" s="603"/>
    </row>
    <row r="1743">
      <c r="B1743" s="603"/>
    </row>
    <row r="1744">
      <c r="B1744" s="603"/>
    </row>
    <row r="1745">
      <c r="B1745" s="603"/>
    </row>
    <row r="1746">
      <c r="B1746" s="603"/>
    </row>
    <row r="1747">
      <c r="B1747" s="603"/>
    </row>
    <row r="1748">
      <c r="B1748" s="603"/>
    </row>
    <row r="1749">
      <c r="B1749" s="603"/>
    </row>
    <row r="1750">
      <c r="B1750" s="603"/>
    </row>
    <row r="1751">
      <c r="B1751" s="603"/>
    </row>
    <row r="1752">
      <c r="B1752" s="603"/>
    </row>
    <row r="1753">
      <c r="B1753" s="603"/>
    </row>
    <row r="1754">
      <c r="B1754" s="603"/>
    </row>
    <row r="1755">
      <c r="B1755" s="603"/>
    </row>
    <row r="1756">
      <c r="B1756" s="603"/>
    </row>
    <row r="1757">
      <c r="B1757" s="603"/>
    </row>
    <row r="1758">
      <c r="B1758" s="603"/>
    </row>
    <row r="1759">
      <c r="B1759" s="603"/>
    </row>
    <row r="1760">
      <c r="B1760" s="603"/>
    </row>
    <row r="1761">
      <c r="B1761" s="603"/>
    </row>
    <row r="1762">
      <c r="B1762" s="603"/>
    </row>
    <row r="1763">
      <c r="B1763" s="603"/>
    </row>
    <row r="1764">
      <c r="B1764" s="603"/>
    </row>
    <row r="1765">
      <c r="B1765" s="603"/>
    </row>
    <row r="1766">
      <c r="B1766" s="603"/>
    </row>
    <row r="1767">
      <c r="B1767" s="603"/>
    </row>
    <row r="1768">
      <c r="B1768" s="603"/>
    </row>
    <row r="1769">
      <c r="B1769" s="603"/>
    </row>
    <row r="1770">
      <c r="B1770" s="603"/>
    </row>
    <row r="1771">
      <c r="B1771" s="603"/>
    </row>
    <row r="1772">
      <c r="B1772" s="603"/>
    </row>
    <row r="1773">
      <c r="B1773" s="603"/>
    </row>
    <row r="1774">
      <c r="B1774" s="603"/>
    </row>
    <row r="1775">
      <c r="B1775" s="603"/>
    </row>
    <row r="1776">
      <c r="B1776" s="603"/>
    </row>
    <row r="1777">
      <c r="B1777" s="603"/>
    </row>
    <row r="1778">
      <c r="B1778" s="603"/>
    </row>
    <row r="1779">
      <c r="B1779" s="603"/>
    </row>
    <row r="1780">
      <c r="B1780" s="603"/>
    </row>
    <row r="1781">
      <c r="B1781" s="603"/>
    </row>
    <row r="1782">
      <c r="B1782" s="603"/>
    </row>
    <row r="1783">
      <c r="B1783" s="603"/>
    </row>
    <row r="1784">
      <c r="B1784" s="603"/>
    </row>
    <row r="1785">
      <c r="B1785" s="603"/>
    </row>
    <row r="1786">
      <c r="B1786" s="603"/>
    </row>
    <row r="1787">
      <c r="B1787" s="603"/>
    </row>
    <row r="1788">
      <c r="B1788" s="603"/>
    </row>
    <row r="1789">
      <c r="B1789" s="603"/>
    </row>
    <row r="1790">
      <c r="B1790" s="603"/>
    </row>
    <row r="1791">
      <c r="B1791" s="603"/>
    </row>
    <row r="1792">
      <c r="B1792" s="603"/>
    </row>
    <row r="1793">
      <c r="B1793" s="603"/>
    </row>
    <row r="1794">
      <c r="B1794" s="603"/>
    </row>
    <row r="1795">
      <c r="B1795" s="603"/>
    </row>
    <row r="1796">
      <c r="B1796" s="603"/>
    </row>
    <row r="1797">
      <c r="B1797" s="603"/>
    </row>
    <row r="1798">
      <c r="B1798" s="603"/>
    </row>
    <row r="1799">
      <c r="B1799" s="603"/>
    </row>
    <row r="1800">
      <c r="B1800" s="603"/>
    </row>
    <row r="1801">
      <c r="B1801" s="603"/>
    </row>
    <row r="1802">
      <c r="B1802" s="603"/>
    </row>
    <row r="1803">
      <c r="B1803" s="603"/>
    </row>
    <row r="1804">
      <c r="B1804" s="603"/>
    </row>
    <row r="1805">
      <c r="B1805" s="603"/>
    </row>
    <row r="1806">
      <c r="B1806" s="603"/>
    </row>
    <row r="1807">
      <c r="B1807" s="603"/>
    </row>
    <row r="1808">
      <c r="B1808" s="603"/>
    </row>
    <row r="1809">
      <c r="B1809" s="603"/>
    </row>
    <row r="1810">
      <c r="B1810" s="603"/>
    </row>
    <row r="1811">
      <c r="B1811" s="603"/>
    </row>
    <row r="1812">
      <c r="B1812" s="603"/>
    </row>
    <row r="1813">
      <c r="B1813" s="603"/>
    </row>
    <row r="1814">
      <c r="B1814" s="603"/>
    </row>
    <row r="1815">
      <c r="B1815" s="603"/>
    </row>
    <row r="1816">
      <c r="B1816" s="603"/>
    </row>
    <row r="1817">
      <c r="B1817" s="603"/>
    </row>
    <row r="1818">
      <c r="B1818" s="603"/>
    </row>
    <row r="1819">
      <c r="B1819" s="603"/>
    </row>
    <row r="1820">
      <c r="B1820" s="603"/>
    </row>
    <row r="1821">
      <c r="B1821" s="603"/>
    </row>
    <row r="1822">
      <c r="B1822" s="603"/>
    </row>
    <row r="1823">
      <c r="B1823" s="603"/>
    </row>
    <row r="1824">
      <c r="B1824" s="603"/>
    </row>
    <row r="1825">
      <c r="B1825" s="603"/>
    </row>
    <row r="1826">
      <c r="B1826" s="603"/>
    </row>
    <row r="1827">
      <c r="B1827" s="603"/>
    </row>
    <row r="1828">
      <c r="B1828" s="603"/>
    </row>
    <row r="1829">
      <c r="B1829" s="603"/>
    </row>
    <row r="1830">
      <c r="B1830" s="603"/>
    </row>
    <row r="1831">
      <c r="B1831" s="603"/>
    </row>
    <row r="1832">
      <c r="B1832" s="603"/>
    </row>
    <row r="1833">
      <c r="B1833" s="603"/>
    </row>
    <row r="1834">
      <c r="B1834" s="603"/>
    </row>
    <row r="1835">
      <c r="B1835" s="603"/>
    </row>
    <row r="1836">
      <c r="B1836" s="603"/>
    </row>
    <row r="1837">
      <c r="B1837" s="603"/>
    </row>
    <row r="1838">
      <c r="B1838" s="603"/>
    </row>
    <row r="1839">
      <c r="B1839" s="603"/>
    </row>
    <row r="1840">
      <c r="B1840" s="603"/>
    </row>
    <row r="1841">
      <c r="B1841" s="603"/>
    </row>
    <row r="1842">
      <c r="B1842" s="603"/>
    </row>
    <row r="1843">
      <c r="B1843" s="603"/>
    </row>
    <row r="1844">
      <c r="B1844" s="603"/>
    </row>
    <row r="1845">
      <c r="B1845" s="603"/>
    </row>
    <row r="1846">
      <c r="B1846" s="603"/>
    </row>
    <row r="1847">
      <c r="B1847" s="603"/>
    </row>
    <row r="1848">
      <c r="B1848" s="603"/>
    </row>
    <row r="1849">
      <c r="B1849" s="603"/>
    </row>
    <row r="1850">
      <c r="B1850" s="603"/>
    </row>
    <row r="1851">
      <c r="B1851" s="603"/>
    </row>
    <row r="1852">
      <c r="B1852" s="603"/>
    </row>
    <row r="1853">
      <c r="B1853" s="603"/>
    </row>
    <row r="1854">
      <c r="B1854" s="603"/>
    </row>
    <row r="1855">
      <c r="B1855" s="603"/>
    </row>
    <row r="1856">
      <c r="B1856" s="603"/>
    </row>
    <row r="1857">
      <c r="B1857" s="603"/>
    </row>
    <row r="1858">
      <c r="B1858" s="603"/>
    </row>
    <row r="1859">
      <c r="B1859" s="603"/>
    </row>
    <row r="1860">
      <c r="B1860" s="603"/>
    </row>
    <row r="1861">
      <c r="B1861" s="603"/>
    </row>
    <row r="1862">
      <c r="B1862" s="603"/>
    </row>
    <row r="1863">
      <c r="B1863" s="603"/>
    </row>
    <row r="1864">
      <c r="B1864" s="603"/>
    </row>
    <row r="1865">
      <c r="B1865" s="603"/>
    </row>
    <row r="1866">
      <c r="B1866" s="603"/>
    </row>
    <row r="1867">
      <c r="B1867" s="603"/>
    </row>
    <row r="1868">
      <c r="B1868" s="603"/>
    </row>
    <row r="1869">
      <c r="B1869" s="603"/>
    </row>
    <row r="1870">
      <c r="B1870" s="603"/>
    </row>
    <row r="1871">
      <c r="B1871" s="603"/>
    </row>
    <row r="1872">
      <c r="B1872" s="603"/>
    </row>
    <row r="1873">
      <c r="B1873" s="603"/>
    </row>
    <row r="1874">
      <c r="B1874" s="603"/>
    </row>
    <row r="1875">
      <c r="B1875" s="603"/>
    </row>
    <row r="1876">
      <c r="B1876" s="603"/>
    </row>
    <row r="1877">
      <c r="B1877" s="603"/>
    </row>
    <row r="1878">
      <c r="B1878" s="603"/>
    </row>
    <row r="1879">
      <c r="B1879" s="603"/>
    </row>
    <row r="1880">
      <c r="B1880" s="603"/>
    </row>
    <row r="1881">
      <c r="B1881" s="603"/>
    </row>
    <row r="1882">
      <c r="B1882" s="603"/>
    </row>
    <row r="1883">
      <c r="B1883" s="603"/>
    </row>
    <row r="1884">
      <c r="B1884" s="603"/>
    </row>
    <row r="1885">
      <c r="B1885" s="603"/>
    </row>
    <row r="1886">
      <c r="B1886" s="603"/>
    </row>
    <row r="1887">
      <c r="B1887" s="603"/>
    </row>
    <row r="1888">
      <c r="B1888" s="603"/>
    </row>
    <row r="1889">
      <c r="B1889" s="603"/>
    </row>
    <row r="1890">
      <c r="B1890" s="603"/>
    </row>
    <row r="1891">
      <c r="B1891" s="603"/>
    </row>
    <row r="1892">
      <c r="B1892" s="603"/>
    </row>
    <row r="1893">
      <c r="B1893" s="603"/>
    </row>
    <row r="1894">
      <c r="B1894" s="603"/>
    </row>
    <row r="1895">
      <c r="B1895" s="603"/>
    </row>
    <row r="1896">
      <c r="B1896" s="603"/>
    </row>
    <row r="1897">
      <c r="B1897" s="603"/>
    </row>
    <row r="1898">
      <c r="B1898" s="603"/>
    </row>
    <row r="1899">
      <c r="B1899" s="603"/>
    </row>
    <row r="1900">
      <c r="B1900" s="603"/>
    </row>
    <row r="1901">
      <c r="B1901" s="603"/>
    </row>
    <row r="1902">
      <c r="B1902" s="603"/>
    </row>
    <row r="1903">
      <c r="B1903" s="603"/>
    </row>
    <row r="1904">
      <c r="B1904" s="603"/>
    </row>
    <row r="1905">
      <c r="B1905" s="603"/>
    </row>
    <row r="1906">
      <c r="B1906" s="603"/>
    </row>
    <row r="1907">
      <c r="B1907" s="603"/>
    </row>
    <row r="1908">
      <c r="B1908" s="603"/>
    </row>
    <row r="1909">
      <c r="B1909" s="603"/>
    </row>
    <row r="1910">
      <c r="B1910" s="603"/>
    </row>
    <row r="1911">
      <c r="B1911" s="603"/>
    </row>
    <row r="1912">
      <c r="B1912" s="603"/>
    </row>
    <row r="1913">
      <c r="B1913" s="603"/>
    </row>
    <row r="1914">
      <c r="B1914" s="603"/>
    </row>
    <row r="1915">
      <c r="B1915" s="603"/>
    </row>
    <row r="1916">
      <c r="B1916" s="603"/>
    </row>
    <row r="1917">
      <c r="B1917" s="603"/>
    </row>
    <row r="1918">
      <c r="B1918" s="603"/>
    </row>
    <row r="1919">
      <c r="B1919" s="603"/>
    </row>
    <row r="1920">
      <c r="B1920" s="603"/>
    </row>
    <row r="1921">
      <c r="B1921" s="603"/>
    </row>
    <row r="1922">
      <c r="B1922" s="603"/>
    </row>
    <row r="1923">
      <c r="B1923" s="603"/>
    </row>
    <row r="1924">
      <c r="B1924" s="603"/>
    </row>
    <row r="1925">
      <c r="B1925" s="603"/>
    </row>
    <row r="1926">
      <c r="B1926" s="603"/>
    </row>
    <row r="1927">
      <c r="B1927" s="603"/>
    </row>
    <row r="1928">
      <c r="B1928" s="603"/>
    </row>
    <row r="1929">
      <c r="B1929" s="603"/>
    </row>
    <row r="1930">
      <c r="B1930" s="603"/>
    </row>
    <row r="1931">
      <c r="B1931" s="603"/>
    </row>
    <row r="1932">
      <c r="B1932" s="603"/>
    </row>
    <row r="1933">
      <c r="B1933" s="603"/>
    </row>
    <row r="1934">
      <c r="B1934" s="603"/>
    </row>
    <row r="1935">
      <c r="B1935" s="603"/>
    </row>
    <row r="1936">
      <c r="B1936" s="603"/>
    </row>
    <row r="1937">
      <c r="B1937" s="603"/>
    </row>
    <row r="1938">
      <c r="B1938" s="603"/>
    </row>
    <row r="1939">
      <c r="B1939" s="603"/>
    </row>
    <row r="1940">
      <c r="B1940" s="603"/>
    </row>
    <row r="1941">
      <c r="B1941" s="603"/>
    </row>
    <row r="1942">
      <c r="B1942" s="603"/>
    </row>
    <row r="1943">
      <c r="B1943" s="603"/>
    </row>
    <row r="1944">
      <c r="B1944" s="603"/>
    </row>
    <row r="1945">
      <c r="B1945" s="603"/>
    </row>
    <row r="1946">
      <c r="B1946" s="603"/>
    </row>
    <row r="1947">
      <c r="B1947" s="603"/>
    </row>
    <row r="1948">
      <c r="B1948" s="603"/>
    </row>
    <row r="1949">
      <c r="B1949" s="603"/>
    </row>
    <row r="1950">
      <c r="B1950" s="603"/>
    </row>
    <row r="1951">
      <c r="B1951" s="603"/>
    </row>
    <row r="1952">
      <c r="B1952" s="603"/>
    </row>
    <row r="1953">
      <c r="B1953" s="603"/>
    </row>
    <row r="1954">
      <c r="B1954" s="603"/>
    </row>
    <row r="1955">
      <c r="B1955" s="603"/>
    </row>
    <row r="1956">
      <c r="B1956" s="603"/>
    </row>
    <row r="1957">
      <c r="B1957" s="603"/>
    </row>
    <row r="1958">
      <c r="B1958" s="603"/>
    </row>
    <row r="1959">
      <c r="B1959" s="603"/>
    </row>
    <row r="1960">
      <c r="B1960" s="603"/>
    </row>
    <row r="1961">
      <c r="B1961" s="603"/>
    </row>
    <row r="1962">
      <c r="B1962" s="603"/>
    </row>
    <row r="1963">
      <c r="B1963" s="603"/>
    </row>
    <row r="1964">
      <c r="B1964" s="603"/>
    </row>
    <row r="1965">
      <c r="B1965" s="603"/>
    </row>
    <row r="1966">
      <c r="B1966" s="603"/>
    </row>
    <row r="1967">
      <c r="B1967" s="603"/>
    </row>
    <row r="1968">
      <c r="B1968" s="603"/>
    </row>
    <row r="1969">
      <c r="B1969" s="603"/>
    </row>
    <row r="1970">
      <c r="B1970" s="603"/>
    </row>
    <row r="1971">
      <c r="B1971" s="603"/>
    </row>
    <row r="1972">
      <c r="B1972" s="603"/>
    </row>
    <row r="1973">
      <c r="B1973" s="603"/>
    </row>
    <row r="1974">
      <c r="B1974" s="603"/>
    </row>
    <row r="1975">
      <c r="B1975" s="603"/>
    </row>
    <row r="1976">
      <c r="B1976" s="603"/>
    </row>
    <row r="1977">
      <c r="B1977" s="603"/>
    </row>
    <row r="1978">
      <c r="B1978" s="603"/>
    </row>
    <row r="1979">
      <c r="B1979" s="603"/>
    </row>
    <row r="1980">
      <c r="B1980" s="603"/>
    </row>
    <row r="1981">
      <c r="B1981" s="603"/>
    </row>
    <row r="1982">
      <c r="B1982" s="603"/>
    </row>
    <row r="1983">
      <c r="B1983" s="603"/>
    </row>
    <row r="1984">
      <c r="B1984" s="603"/>
    </row>
    <row r="1985">
      <c r="B1985" s="603"/>
    </row>
    <row r="1986">
      <c r="B1986" s="603"/>
    </row>
    <row r="1987">
      <c r="B1987" s="603"/>
    </row>
    <row r="1988">
      <c r="B1988" s="603"/>
    </row>
    <row r="1989">
      <c r="B1989" s="603"/>
    </row>
    <row r="1990">
      <c r="B1990" s="603"/>
    </row>
    <row r="1991">
      <c r="B1991" s="603"/>
    </row>
    <row r="1992">
      <c r="B1992" s="603"/>
    </row>
    <row r="1993">
      <c r="B1993" s="603"/>
    </row>
    <row r="1994">
      <c r="B1994" s="603"/>
    </row>
    <row r="1995">
      <c r="B1995" s="603"/>
    </row>
    <row r="1996">
      <c r="B1996" s="603"/>
    </row>
    <row r="1997">
      <c r="B1997" s="603"/>
    </row>
    <row r="1998">
      <c r="B1998" s="603"/>
    </row>
    <row r="1999">
      <c r="B1999" s="603"/>
    </row>
    <row r="2000">
      <c r="B2000" s="603"/>
    </row>
    <row r="2001">
      <c r="B2001" s="603"/>
    </row>
    <row r="2002">
      <c r="B2002" s="603"/>
    </row>
    <row r="2003">
      <c r="B2003" s="603"/>
    </row>
    <row r="2004">
      <c r="B2004" s="603"/>
    </row>
    <row r="2005">
      <c r="B2005" s="603"/>
    </row>
    <row r="2006">
      <c r="B2006" s="603"/>
    </row>
    <row r="2007">
      <c r="B2007" s="603"/>
    </row>
    <row r="2008">
      <c r="B2008" s="603"/>
    </row>
    <row r="2009">
      <c r="B2009" s="603"/>
    </row>
    <row r="2010">
      <c r="B2010" s="603"/>
    </row>
    <row r="2011">
      <c r="B2011" s="603"/>
    </row>
    <row r="2012">
      <c r="B2012" s="603"/>
    </row>
    <row r="2013">
      <c r="B2013" s="603"/>
    </row>
  </sheetData>
  <drawing r:id="rId1"/>
</worksheet>
</file>