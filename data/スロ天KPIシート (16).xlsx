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期間集計_TOTAL" sheetId="1" r:id="rId5"/>
    <sheet state="visible" name="ダッシュボード" sheetId="2" r:id="rId6"/>
    <sheet state="visible" name="202511" sheetId="3" r:id="rId7"/>
    <sheet state="visible" name="202512" sheetId="4" r:id="rId8"/>
    <sheet state="visible" name="202601" sheetId="5" r:id="rId9"/>
    <sheet state="visible" name="202602" sheetId="6" r:id="rId10"/>
    <sheet state="hidden" name="Whitelist" sheetId="7" r:id="rId11"/>
    <sheet state="hidden" name="KPI_PDF_SENT_LOG_DAILY_SLOTEN" sheetId="8" r:id="rId12"/>
    <sheet state="hidden" name="KPI_PDF_SENT_LOG_MONTHLY_SLOTEN" sheetId="9" r:id="rId13"/>
  </sheets>
  <definedNames/>
  <calcPr/>
</workbook>
</file>

<file path=xl/sharedStrings.xml><?xml version="1.0" encoding="utf-8"?>
<sst xmlns="http://schemas.openxmlformats.org/spreadsheetml/2006/main" count="1697" uniqueCount="375">
  <si>
    <t>項目名</t>
  </si>
  <si>
    <t>全期間合計</t>
  </si>
  <si>
    <t>登録人数</t>
  </si>
  <si>
    <t>ログインユーザー数</t>
  </si>
  <si>
    <t>SMS認証</t>
  </si>
  <si>
    <t>登録に対してSMS認証割合</t>
  </si>
  <si>
    <t>入金不要ボーナス使用済ユーザー数</t>
  </si>
  <si>
    <t>登録に対してNDB使用割合</t>
  </si>
  <si>
    <t>FTDのみ入金者数</t>
  </si>
  <si>
    <t>登録に対してFTDのみの割合</t>
  </si>
  <si>
    <t>2nd入金のみユーザー数</t>
  </si>
  <si>
    <t>登録に対して2nd使用割合</t>
  </si>
  <si>
    <t>3nd入金のみユーザー数</t>
  </si>
  <si>
    <t>登録に対して3nd使用割合</t>
  </si>
  <si>
    <t>4nd入金以降ユーザー数</t>
  </si>
  <si>
    <t>登録に対して4nd使用割合</t>
  </si>
  <si>
    <t>今月登録のFTD以降ユーザー数</t>
  </si>
  <si>
    <t>今月登録FTD以降ユーザー割合</t>
  </si>
  <si>
    <t>今月登録のアクティブユーザー数</t>
  </si>
  <si>
    <t>前月登録のアクティブユーザー数</t>
  </si>
  <si>
    <t>前々月登録のアクティブユーザー数</t>
  </si>
  <si>
    <t>3か月以上アクティブプレイヤー数</t>
  </si>
  <si>
    <t>総入金回数</t>
  </si>
  <si>
    <t>入金者数(デイリーユニーク)</t>
  </si>
  <si>
    <t>アクティブプレイ人数（ユニーク）</t>
  </si>
  <si>
    <t>総入金額 / Total DP amt</t>
  </si>
  <si>
    <t>平均入金額(一回の入金額) / Ave amt per DP</t>
  </si>
  <si>
    <t>平均入金額(ユニークユーザー) / Ave DP amt (Unique user)</t>
  </si>
  <si>
    <t>総出金回数</t>
  </si>
  <si>
    <t>総出金人数</t>
  </si>
  <si>
    <t>総出金額 / Total WD amt</t>
  </si>
  <si>
    <t>入金額に対して出金割合</t>
  </si>
  <si>
    <t>T/O(リアルのみ) / Total real bet</t>
  </si>
  <si>
    <t>T/O率(リアルのみ) / Total real bet ratio</t>
  </si>
  <si>
    <t>T/O(ボーナス+リアルマネーの合計) / Total bet (Real+Bonus)</t>
  </si>
  <si>
    <t>勝利金(リアルのみ) / Winning amt (Real)</t>
  </si>
  <si>
    <t>勝利金(ボーナスのみ) / Winning amt (Bonus)</t>
  </si>
  <si>
    <t>勝利金(ボーナス+リアルマネーの合計) / Winning (Bonus+Real)</t>
  </si>
  <si>
    <t>リアルマネー残高 / Real Money Balance</t>
  </si>
  <si>
    <t>ボーナス・マネー残高 / Bonus Money Balance</t>
  </si>
  <si>
    <t>RTP</t>
  </si>
  <si>
    <t>T/O(ボーナスのみ) / Total bet (Bonus)</t>
  </si>
  <si>
    <t>T/O率(ボーナスのみ) / Total bet ratio (Bonus)</t>
  </si>
  <si>
    <t>GGR</t>
  </si>
  <si>
    <t>GGR(入金に対して割合)</t>
  </si>
  <si>
    <t>GGRLTV</t>
  </si>
  <si>
    <t>入出金差分</t>
  </si>
  <si>
    <t>差分(入金に対して割合)</t>
  </si>
  <si>
    <t>差分LTV</t>
  </si>
  <si>
    <t>ヘブンズショットコスト/Heavensshot Cost</t>
  </si>
  <si>
    <t>トーナメントコスト/Tournament Cost</t>
  </si>
  <si>
    <t>新規用期間イベントコスト/new user event Cost</t>
  </si>
  <si>
    <t>休眠用期間イベントコスト/old user event Cost</t>
  </si>
  <si>
    <t>既存用期間イベントコスト/Active user event Cost</t>
  </si>
  <si>
    <t>ドリームポットコスト/Jackpot Cost</t>
  </si>
  <si>
    <t>入金不要コスト/ Cost</t>
  </si>
  <si>
    <t>AFFイベント コスト / AFF EventCost</t>
  </si>
  <si>
    <t>ペイメントコスト / Payment cost</t>
  </si>
  <si>
    <t>プロバイダーフィー / Provider fee</t>
  </si>
  <si>
    <t>AFFコスト / Aff cost</t>
  </si>
  <si>
    <t>otherコスト / Other cost</t>
  </si>
  <si>
    <t>総コスト(ボーナスは付与額ベース) / Total cost (Granted bonus included)</t>
  </si>
  <si>
    <t>NGR</t>
  </si>
  <si>
    <t>差分利益</t>
  </si>
  <si>
    <t>プロモーション開催期間 / Promotion duration</t>
  </si>
  <si>
    <t>目的</t>
  </si>
  <si>
    <t>【分析指標】</t>
  </si>
  <si>
    <t>ARPU(全登録ユーザー)</t>
  </si>
  <si>
    <t>ARPPU(課金ユーザー)</t>
  </si>
  <si>
    <t>FTDコンバージョン率</t>
  </si>
  <si>
    <t>2nd継続率</t>
  </si>
  <si>
    <t>アクティブ率</t>
  </si>
  <si>
    <t>GGRマージン率</t>
  </si>
  <si>
    <t>NGRマージン率</t>
  </si>
  <si>
    <t>平均入金回数/ユーザー</t>
  </si>
  <si>
    <t>目的 / Purpose</t>
  </si>
  <si>
    <t>Affiliate</t>
  </si>
  <si>
    <t>AFF経由登録者数 / Registration under AFF</t>
  </si>
  <si>
    <t>AFF経由FTD数 / FTD under AFF</t>
  </si>
  <si>
    <t>AFF数</t>
  </si>
  <si>
    <t>AFF経由入金額 / DP amt under AFF</t>
  </si>
  <si>
    <t>AFF経由出金額 / WD amt under AFF</t>
  </si>
  <si>
    <t>Ｔ／Ｏ</t>
  </si>
  <si>
    <t>勝利金</t>
  </si>
  <si>
    <t>AFF経由RTP / RTP under AFF</t>
  </si>
  <si>
    <t>AFF経由GGR / GGR under AFF</t>
  </si>
  <si>
    <t>差分GGR</t>
  </si>
  <si>
    <t>AFF経由ボーナス額 / Bonus Granted Amt under AFF</t>
  </si>
  <si>
    <t>AFFデモコスト(プロバイダーフィー)</t>
  </si>
  <si>
    <t>AFF経由otherコスト(掲載費等) / Other cost under AFF</t>
  </si>
  <si>
    <t>AFFレベニュー報酬合計</t>
  </si>
  <si>
    <t>AFF支払い報酬額 / Aff commission amt</t>
  </si>
  <si>
    <t>AFF全コスト / Total cost under AFF</t>
  </si>
  <si>
    <t>AFF経由NGR / NGR under AFF</t>
  </si>
  <si>
    <t>AFF経由FTD率</t>
  </si>
  <si>
    <t>AFF経由ARPU</t>
  </si>
  <si>
    <t>パチンコ</t>
  </si>
  <si>
    <t>リアルマネーTO / Turnover(Real)</t>
  </si>
  <si>
    <t>勝利金(リアル) / Payout(Real)</t>
  </si>
  <si>
    <t>リアルマネーユニークユーザー数 / Unique user (Real)</t>
  </si>
  <si>
    <t>リアルマネーユニークベット数 / Bet number (Real)</t>
  </si>
  <si>
    <t>ボーナスマネーT/O / Turnover(Bonus)</t>
  </si>
  <si>
    <t>勝利金(ボーナス) / Payout(Bonus)</t>
  </si>
  <si>
    <t>ボーナスマネーユニークユーザー数 / Unique user (Bonus)</t>
  </si>
  <si>
    <t>ボーナスマネーユニークベット数 / Bet number (Bonus)</t>
  </si>
  <si>
    <t>合計ユニークユーザー数 / Total unique user</t>
  </si>
  <si>
    <t>合計T/O / Total turnover</t>
  </si>
  <si>
    <t>合計勝利金 / Total payout</t>
  </si>
  <si>
    <t>パチンコボーナスコスト</t>
  </si>
  <si>
    <t xml:space="preserve">パチスロ </t>
  </si>
  <si>
    <t>パチスロボーナスコスト</t>
  </si>
  <si>
    <t>スロット / Slot</t>
  </si>
  <si>
    <t>スロットボーナスコスト</t>
  </si>
  <si>
    <t>ライブ / Live</t>
  </si>
  <si>
    <t>ライブボーナスコスト</t>
  </si>
  <si>
    <t>入金</t>
  </si>
  <si>
    <t>TOTAL</t>
  </si>
  <si>
    <t>銀行（自動）</t>
  </si>
  <si>
    <t>仮想通貨</t>
  </si>
  <si>
    <t>銀行（手動）</t>
  </si>
  <si>
    <t>EC(コンビニ)</t>
  </si>
  <si>
    <t>PayPay</t>
  </si>
  <si>
    <t>出金</t>
  </si>
  <si>
    <t>リスト経由</t>
  </si>
  <si>
    <t>入金ユーザー数</t>
  </si>
  <si>
    <t>入金額</t>
  </si>
  <si>
    <t>出金額</t>
  </si>
  <si>
    <t>T/O</t>
  </si>
  <si>
    <t>仮想通貨割合</t>
  </si>
  <si>
    <t>入金件数</t>
  </si>
  <si>
    <t>平均入金額</t>
  </si>
  <si>
    <t>割合</t>
  </si>
  <si>
    <t>出金件数</t>
  </si>
  <si>
    <t>平均出金額</t>
  </si>
  <si>
    <t>XRP</t>
  </si>
  <si>
    <t>USDT-TRX</t>
  </si>
  <si>
    <t>TRX</t>
  </si>
  <si>
    <t>USDT-ETH</t>
  </si>
  <si>
    <t>USDT-BSC</t>
  </si>
  <si>
    <t>ETH</t>
  </si>
  <si>
    <t>BTC</t>
  </si>
  <si>
    <t>プロバイダー</t>
  </si>
  <si>
    <t>アクティブユーザー数</t>
  </si>
  <si>
    <t>有効賭け金額</t>
  </si>
  <si>
    <t>配当金額 (Payout)</t>
  </si>
  <si>
    <t>ハウス利益 (GGR)</t>
  </si>
  <si>
    <t>Evolution</t>
  </si>
  <si>
    <t>Pragmatic Play</t>
  </si>
  <si>
    <t>Gekipachi</t>
  </si>
  <si>
    <t>Play'n GO</t>
  </si>
  <si>
    <t>Nolimit City</t>
  </si>
  <si>
    <t>Hacksaw</t>
  </si>
  <si>
    <t>Relax Gaming</t>
  </si>
  <si>
    <t>AvatarUX</t>
  </si>
  <si>
    <t>Booongo</t>
  </si>
  <si>
    <t>DCACE</t>
  </si>
  <si>
    <t>MicroGaming</t>
  </si>
  <si>
    <t>PG Soft</t>
  </si>
  <si>
    <t>Yggdrasil</t>
  </si>
  <si>
    <t>Revolution Poker</t>
  </si>
  <si>
    <t>Jili</t>
  </si>
  <si>
    <t>Win Fast</t>
  </si>
  <si>
    <t>KA Gaming</t>
  </si>
  <si>
    <t>QuickSpin</t>
  </si>
  <si>
    <t>Red Tiger</t>
  </si>
  <si>
    <t>BGaming</t>
  </si>
  <si>
    <t>NetEnt</t>
  </si>
  <si>
    <t>Blueprint Gaming</t>
  </si>
  <si>
    <t>OctoPlay</t>
  </si>
  <si>
    <t>Playtech</t>
  </si>
  <si>
    <t>Thunderkick</t>
  </si>
  <si>
    <t>Habanero</t>
  </si>
  <si>
    <t>JDB</t>
  </si>
  <si>
    <t>Wazdan</t>
  </si>
  <si>
    <t>CQ9</t>
  </si>
  <si>
    <t>Fa Chai</t>
  </si>
  <si>
    <t>Dragon Gaming</t>
  </si>
  <si>
    <t>OneTouch</t>
  </si>
  <si>
    <t>スロット天国 KPI ダッシュボード</t>
  </si>
  <si>
    <t>【全体サマリー（全期間合計）】</t>
  </si>
  <si>
    <t>総登録人数</t>
  </si>
  <si>
    <t>総FTD数</t>
  </si>
  <si>
    <t>総入金額</t>
  </si>
  <si>
    <t>総出金額</t>
  </si>
  <si>
    <t>総GGR</t>
  </si>
  <si>
    <t>総NGR</t>
  </si>
  <si>
    <t>平均RTP</t>
  </si>
  <si>
    <t>【月次KPI比較】</t>
  </si>
  <si>
    <t>指標</t>
  </si>
  <si>
    <t>2025/11</t>
  </si>
  <si>
    <t>2025/12</t>
  </si>
  <si>
    <t>2026/01</t>
  </si>
  <si>
    <t>合計/平均</t>
  </si>
  <si>
    <t>FTD数</t>
  </si>
  <si>
    <t>入金者数(ユニーク)</t>
  </si>
  <si>
    <t>アクティブプレイ人数</t>
  </si>
  <si>
    <t>T/O(合計)</t>
  </si>
  <si>
    <t>勝利金(合計)</t>
  </si>
  <si>
    <t>【ゲーム別GGR（2025/12）】</t>
  </si>
  <si>
    <t>ゲーム種別</t>
  </si>
  <si>
    <t>パチスロ</t>
  </si>
  <si>
    <t>スロット</t>
  </si>
  <si>
    <t>ライブ</t>
  </si>
  <si>
    <t>合計</t>
  </si>
  <si>
    <t>100%</t>
  </si>
  <si>
    <t>【入出金手段別内訳（2025/12）】</t>
  </si>
  <si>
    <t>入金手段</t>
  </si>
  <si>
    <t>金額</t>
  </si>
  <si>
    <t>件数</t>
  </si>
  <si>
    <t>入金合計</t>
  </si>
  <si>
    <t>【全期間 入出金手段別内訳】</t>
  </si>
  <si>
    <t>出金手段</t>
  </si>
  <si>
    <t>出金合計</t>
  </si>
  <si>
    <t>リスト経由入金ユーザー</t>
  </si>
  <si>
    <t>月次合計</t>
  </si>
  <si>
    <t>日次平均</t>
  </si>
  <si>
    <t>11/27</t>
  </si>
  <si>
    <t>11/28</t>
  </si>
  <si>
    <t>11/29</t>
  </si>
  <si>
    <t>11/30</t>
  </si>
  <si>
    <t>木</t>
  </si>
  <si>
    <t>金</t>
  </si>
  <si>
    <t>土</t>
  </si>
  <si>
    <t>日</t>
  </si>
  <si>
    <t>全体KPI</t>
  </si>
  <si>
    <t>登録に対して1st使用割合</t>
  </si>
  <si>
    <t>2nd入金以降ユーザー数</t>
  </si>
  <si>
    <t>3nd入金以降ユーザー数</t>
  </si>
  <si>
    <t>¥0</t>
  </si>
  <si>
    <t>¥1</t>
  </si>
  <si>
    <t>0.00%</t>
  </si>
  <si>
    <t>差分NGR</t>
  </si>
  <si>
    <t>FTD以上転移率</t>
  </si>
  <si>
    <t>合計金額</t>
  </si>
  <si>
    <t>合計件数</t>
  </si>
  <si>
    <t>平均金額</t>
  </si>
  <si>
    <t>中央値金額</t>
  </si>
  <si>
    <t>金額割合</t>
  </si>
  <si>
    <t>合計人数</t>
  </si>
  <si>
    <t>人</t>
  </si>
  <si>
    <t>12/1</t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</si>
  <si>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</si>
  <si>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</si>
  <si>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</si>
  <si>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</si>
  <si>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</si>
  <si>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</si>
  <si>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</si>
  <si>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</si>
  <si>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</si>
  <si>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</si>
  <si>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</si>
  <si>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</si>
  <si>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</si>
  <si>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</si>
  <si>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</si>
  <si>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</si>
  <si>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</si>
  <si>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</si>
  <si>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</si>
  <si>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</si>
  <si>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</si>
  <si>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</si>
  <si>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</si>
  <si>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</si>
  <si>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</si>
  <si>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</si>
  <si>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</si>
  <si>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</si>
  <si>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</si>
  <si>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</si>
  <si>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月</t>
  </si>
  <si>
    <t>火</t>
  </si>
  <si>
    <t>水</t>
  </si>
  <si>
    <t>-</t>
  </si>
  <si>
    <t>ヘブンズショット</t>
  </si>
  <si>
    <t>アクティブ</t>
  </si>
  <si>
    <t>入金不要</t>
  </si>
  <si>
    <t>登録</t>
  </si>
  <si>
    <t>1/2 100% キャッシュバック スロ天おめでとう</t>
  </si>
  <si>
    <t>FTD</t>
  </si>
  <si>
    <t>ステップヘブンズショット</t>
  </si>
  <si>
    <t>FTD/2nd/3rd</t>
  </si>
  <si>
    <t>テスト資金</t>
  </si>
  <si>
    <t>出金体験-グランドオープン</t>
  </si>
  <si>
    <t>年末ジャンボ</t>
  </si>
  <si>
    <t>ヘブンズ無料</t>
  </si>
  <si>
    <t>プレイ</t>
  </si>
  <si>
    <t>平均金額(件数)</t>
  </si>
  <si>
    <t>平均金額(人)</t>
  </si>
  <si>
    <t>人数割合</t>
  </si>
  <si>
    <t>プロバイダー別割合</t>
  </si>
  <si>
    <t>アクティブ数</t>
  </si>
  <si>
    <t>2ndのみ入金者数</t>
  </si>
  <si>
    <t>GGR(入金に対して)</t>
  </si>
  <si>
    <t>差分(入金に対して)</t>
  </si>
  <si>
    <t>だっちゃんヘブンズショット</t>
  </si>
  <si>
    <t>FTD・アクティブ</t>
  </si>
  <si>
    <t>カスタムヘブンズショット</t>
  </si>
  <si>
    <t>AFFデモコスト(10％換算)</t>
  </si>
  <si>
    <t>LTC</t>
  </si>
  <si>
    <t>Yggdrasil Direct</t>
  </si>
  <si>
    <t>Win-Fast</t>
  </si>
  <si>
    <t>Blueprint-Gaming</t>
  </si>
  <si>
    <t>Thunderkick-Games</t>
  </si>
  <si>
    <t>Microgaming-VideoPoker</t>
  </si>
  <si>
    <t>鬼は外福は内</t>
  </si>
  <si>
    <t>バレンタイン</t>
  </si>
  <si>
    <t>アクション</t>
  </si>
  <si>
    <t>Whitelist TG ID</t>
  </si>
  <si>
    <t>Tom</t>
  </si>
  <si>
    <t>Sloten group chat</t>
  </si>
  <si>
    <t>Timestamp</t>
  </si>
  <si>
    <t>Sheet</t>
  </si>
  <si>
    <t>D-2</t>
  </si>
  <si>
    <t>D-1</t>
  </si>
  <si>
    <t>File ID</t>
  </si>
  <si>
    <t>File Name</t>
  </si>
  <si>
    <t>Recipients (valid)</t>
  </si>
  <si>
    <t>Status</t>
  </si>
  <si>
    <t>Invalid IDs skipped</t>
  </si>
  <si>
    <t>Fail details</t>
  </si>
  <si>
    <t>DebugTrace</t>
  </si>
  <si>
    <t>1R4lCeHlxj4UeBFGJD21NtTPqswxU56Ke</t>
  </si>
  <si>
    <t>2026-01-31 Daily KPI Report.pdf</t>
  </si>
  <si>
    <t>OK</t>
  </si>
  <si>
    <t>1XCrsxtmQu5jddBr9OF8ngeJG0vkgaK4J</t>
  </si>
  <si>
    <t>2026-01-19 Daily KPI Report.pdf</t>
  </si>
  <si>
    <t>1IpRiRZ56nupYl7OEEsxzPsR2bvZnrJTt</t>
  </si>
  <si>
    <t>2026-01-18 Daily KPI Report.pdf</t>
  </si>
  <si>
    <t>1gUpG7TH2DPdMZlqq1rIDyORZMdn1s1gf</t>
  </si>
  <si>
    <t>142X_XeMD7P1tXFRVELlXTvGh-5oTAmhE</t>
  </si>
  <si>
    <t>1wPOmcg35j-k9IugWWD6O6QchU5z68TaY</t>
  </si>
  <si>
    <t>1EhzSvHG5Aqvt6RfgY_JTpVrtw0W8mtAH</t>
  </si>
  <si>
    <t>1-vNTt1qtA5z4KUXh3BU1lH-gfiBLuqro</t>
  </si>
  <si>
    <t>Registered users: row=4 via=key-exact hit="登録人数" || Registered FTD+ users: row=18 via=key-exact hit="今月登録のftd以降ユーザー数" || Registered FTD+ ratio: row=19 via=key-exact hit="今月登録ftd以降ユーザー割合" || Registered active users: row=20 via=key-exact hit="今月登録のアクティブユーザー数" || Previous-month registered active users: row=21 via=key-exact hit="前月登録のアクティブユーザー数" || Total deposit amount: row=27 via=key-exact hit="総入金額 / total dp amt" || Active players (Unique): row=26 via=key-exact hit="アクティブプレイ人数（ユニーク）" || Average deposit amount (Unique user): row=29 via=key-exact hit="平均入金額(ユニークユーザー) / ave dp amt (unique user)" || Total withdrawal amount: row=32 via=key-exact hit="総出金額 / total wd amt" || Turnover (Real + Bonus): row=36 via=key-exact hit="t/o(ボーナス+リアルマネーの合計) / total bet (real+bonus)" || RTP: row=42 via=key-exact hit="rtp" || GGR: row=45 via=key-exact hit="ggr" || Deposit–Withdrawal difference: row=48 via=key-exact hit="入出金差分"</t>
  </si>
  <si>
    <t>1Pje_amYyg5hMKcetASAP8A849nON9m0t</t>
  </si>
  <si>
    <t>1N4eDELY4S24tbxz5vbiPwG3-OobIi8vR</t>
  </si>
  <si>
    <t>1lIGNW0GUB_xxI0N0fEm50mmZLRshO2F9</t>
  </si>
  <si>
    <t>1u10zaSTQG43ADjjzBJ7Af53G74B0aW0G</t>
  </si>
  <si>
    <t>1hVrVYMFb0ozeXgj5zNgROyoJDe1i6ODM</t>
  </si>
  <si>
    <t>2026-01-20 Daily KPI Report.pdf</t>
  </si>
  <si>
    <t>1x4zyqgRegE2v6UQvAbGsST-xF9YqTEvu</t>
  </si>
  <si>
    <t>2026-01-21 Daily KPI Report.pdf</t>
  </si>
  <si>
    <t>1c1T3SCE53nyVtZ8xQc9xVtgfNFX-35IX</t>
  </si>
  <si>
    <t>2026-01-22 Daily KPI Report.pdf</t>
  </si>
  <si>
    <t>1goxBeR12v1I5iZYZg78s_wY0DnmJ5cyV</t>
  </si>
  <si>
    <t>2026-01-23 Daily KPI Report.pdf</t>
  </si>
  <si>
    <t>1DzpejcOery9ssV4rfuKFWg8__a_1oJHD</t>
  </si>
  <si>
    <t>2026-01-24 Daily KPI Report.pdf</t>
  </si>
  <si>
    <t>1kabosH9lUonf5gNibVrXBbw__Xa6hTN6</t>
  </si>
  <si>
    <t>2026-01-25 Daily KPI Report.pdf</t>
  </si>
  <si>
    <t>18TOIidWQX1_xW-bUgB7hPKhzzEpAzH8P</t>
  </si>
  <si>
    <t>2026-01-26 Daily KPI Report.pdf</t>
  </si>
  <si>
    <t>17VGhFXOBCBL0qZ5MtC6W_p_UrZE3rXoC</t>
  </si>
  <si>
    <t>2026-01-27 Daily KPI Report.pdf</t>
  </si>
  <si>
    <t>1K_HlUmHYna2NPQXUoj3JL4Hy46gn0Jza</t>
  </si>
  <si>
    <t>2026-01-28 Daily KPI Report.pdf</t>
  </si>
  <si>
    <t>TOTAL Label</t>
  </si>
  <si>
    <t>M-1</t>
  </si>
  <si>
    <t>M</t>
  </si>
  <si>
    <t>全期間集計_TOTAL</t>
  </si>
  <si>
    <t>1Xg3wpPtq0Hrj5iyt5jEdnsDVZBXN2G22</t>
  </si>
  <si>
    <t>202601 Monthly KPI Report.pdf</t>
  </si>
  <si>
    <t>1LVa-xXA4tqJ4WNRSCbGVjMxvm5yZG7P-</t>
  </si>
  <si>
    <t>1DE7nOtlqgm-ZjPm7YA4WAfbSvdSbFqRI</t>
  </si>
  <si>
    <t>1Ucu_Ko_-faFpqv0ArVBi3p6zsgq1C6xr</t>
  </si>
  <si>
    <t>18UShrZgUAETVcnt02GXBrgj1l9c5Nndg</t>
  </si>
  <si>
    <t>1OS4iNFfkc0iBzyxoYN8dU6ewcQQUMFdX</t>
  </si>
  <si>
    <t>Registered users: row=4 via=key-exact hit="登録人数" || Registered FTD+ users: row=18 via=key-exact hit="今月登録のftd以降ユーザー数" || Registered FTD+ ratio: row=19 via=key-exact hit="今月登録ftd以降ユーザー割合" || Registered active users: row=20 via=key-exact hit="今月登録のアクティブユーザー数" || Previous-month registered active users: row=21 via=key-exact hit="前月登録のアクティブユーザー数" || Total deposit amount: row=27 via=key-exact hit="総入金額 / total dp amt" || Active players (Unique): row=26 via=alias-exact hit="アクティブプレイ人数" || Average deposit amount (Unique user): row=29 via=key-exact hit="平均入金額(ユニークユーザー) / ave dp amt (unique user)" || Total withdrawal amount: row=30 via=key-exact hit="総出金額 / total wd amt" || Turnover (Real + Bonus): row=34 via=key-exact hit="t/o(ボーナス+リアルマネーの合計) / total bet (real+bonus)" || RTP: row=40 via=key-exact hit="rtp" || GGR: row=43 via=key-exact hit="ggr" || Deposit–Withdrawal difference: row=186 via=partial hit="出金"</t>
  </si>
  <si>
    <t>1lfMXI16QYKspaLvAamyQf58fh20er33l</t>
  </si>
  <si>
    <t>DP(row=27) via=exact hit="総入金額 / total dp amt" || WD(row=30) via=exact hit="総出金額 / total wd amt" || Registered users: row=4 via=key-exact hit="登録人数" || Registered FTD+ users: row=18 via=key-exact hit="今月登録のftd以降ユーザー数" || Registered FTD+ ratio: row=19 via=key-exact hit="今月登録ftd以降ユーザー割合" || Registered active users: row=20 via=key-exact hit="今月登録のアクティブユーザー数" || Previous-month registered active users: row=21 via=key-exact hit="前月登録のアクティブユーザー数" || Total deposit amount: row=27 via=key-exact hit="総入金額 / total dp amt" || Active players (Unique): row=26 via=alias-exact hit="アクティブプレイ人数" || Average deposit amount (Unique user): row=29 via=key-exact hit="平均入金額(ユニークユーザー) / ave dp amt (unique user)" || Total withdrawal amount: row=30 via=key-exact hit="総出金額 / total wd amt" || Turnover (Real + Bonus): row=34 via=key-exact hit="t/o(ボーナス+リアルマネーの合計) / total bet (real+bonus)" || RTP: row=40 via=key-exact hit="rtp" || GGR: row=43 via=key-exact hit="ggr" || CALC DP-WD: total=34115246, m1=18292078, m=15765485</t>
  </si>
  <si>
    <t>1QOsbl-h_B-xkTfozcai7OKewh3IOvIa7</t>
  </si>
  <si>
    <t>1Hi4wQlQOGUI1in2FIwGqQ8kz6daepKrn</t>
  </si>
  <si>
    <t>1A9NgtE7Xnsa-xcZcL-dCkNSMEGdIMMMG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</si>
</sst>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¥-411]#,##0"/>
    <numFmt numFmtId="165" formatCode="&quot;¥&quot;#,##0"/>
    <numFmt numFmtId="166" formatCode="0.0%"/>
    <numFmt numFmtId="167" formatCode="¥#,##0"/>
    <numFmt numFmtId="168" formatCode="0.0"/>
    <numFmt numFmtId="169" formatCode="m/d"/>
    <numFmt numFmtId="170" formatCode="yyyy-mm-dd h:mm"/>
    <numFmt numFmtId="171" formatCode="yyyy-mm-dd"/>
  </numFmts>
  <fonts count="2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/>
    <font>
      <sz val="13.0"/>
      <color theme="1"/>
      <name val="Calibri"/>
    </font>
    <font>
      <color theme="1"/>
      <name val="Calibri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sz val="18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4.0"/>
      <color rgb="FFFFFFFF"/>
      <name val="Calibri"/>
    </font>
    <font>
      <sz val="11.0"/>
      <color rgb="FFFFFFFF"/>
      <name val="Calibri"/>
      <scheme val="minor"/>
    </font>
    <font>
      <b/>
      <sz val="10.0"/>
      <color rgb="FFFFFFFF"/>
      <name val="Calibri"/>
      <scheme val="minor"/>
    </font>
    <font>
      <sz val="10.0"/>
      <color rgb="FFFFFFFF"/>
      <name val="Calibri"/>
      <scheme val="minor"/>
    </font>
    <font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2.0"/>
      <color rgb="FF0000FF"/>
    </font>
    <font>
      <color theme="1"/>
      <name val="&quot;Google Sans Text&quot;"/>
    </font>
    <font>
      <u/>
      <color rgb="FF0000FF"/>
    </font>
    <font>
      <u/>
      <color rgb="FF0000FF"/>
    </font>
    <font>
      <u/>
      <color rgb="FF0000FF"/>
    </font>
    <font>
      <b/>
      <color theme="1"/>
      <name val="&quot;Google Sans Text&quot;"/>
    </font>
    <font>
      <b/>
      <u/>
      <sz val="11.0"/>
      <color rgb="FF0000FF"/>
      <name val="Calibri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left" readingOrder="0" vertical="center"/>
    </xf>
    <xf borderId="1" fillId="3" fontId="2" numFmtId="0" xfId="0" applyAlignment="1" applyBorder="1" applyFont="1">
      <alignment horizontal="left" vertical="center"/>
    </xf>
    <xf borderId="1" fillId="3" fontId="2" numFmtId="10" xfId="0" applyAlignment="1" applyBorder="1" applyFont="1" applyNumberFormat="1">
      <alignment horizontal="left" vertical="center"/>
    </xf>
    <xf borderId="1" fillId="3" fontId="2" numFmtId="3" xfId="0" applyAlignment="1" applyBorder="1" applyFont="1" applyNumberFormat="1">
      <alignment horizontal="left" vertical="center"/>
    </xf>
    <xf borderId="1" fillId="3" fontId="2" numFmtId="164" xfId="0" applyAlignment="1" applyBorder="1" applyFont="1" applyNumberFormat="1">
      <alignment horizontal="left" vertical="center"/>
    </xf>
    <xf borderId="1" fillId="3" fontId="2" numFmtId="1" xfId="0" applyAlignment="1" applyBorder="1" applyFont="1" applyNumberFormat="1">
      <alignment horizontal="left" vertical="center"/>
    </xf>
    <xf borderId="2" fillId="4" fontId="2" numFmtId="0" xfId="0" applyAlignment="1" applyBorder="1" applyFill="1" applyFont="1">
      <alignment horizontal="left" readingOrder="0" vertical="center"/>
    </xf>
    <xf borderId="3" fillId="0" fontId="3" numFmtId="0" xfId="0" applyBorder="1" applyFont="1"/>
    <xf borderId="1" fillId="3" fontId="2" numFmtId="164" xfId="0" applyBorder="1" applyFont="1" applyNumberFormat="1"/>
    <xf borderId="1" fillId="3" fontId="2" numFmtId="10" xfId="0" applyBorder="1" applyFont="1" applyNumberFormat="1"/>
    <xf borderId="1" fillId="3" fontId="2" numFmtId="2" xfId="0" applyAlignment="1" applyBorder="1" applyFont="1" applyNumberFormat="1">
      <alignment horizontal="right"/>
    </xf>
    <xf borderId="2" fillId="4" fontId="4" numFmtId="0" xfId="0" applyAlignment="1" applyBorder="1" applyFont="1">
      <alignment horizontal="left" readingOrder="0" vertical="center"/>
    </xf>
    <xf borderId="1" fillId="3" fontId="2" numFmtId="165" xfId="0" applyAlignment="1" applyBorder="1" applyFont="1" applyNumberFormat="1">
      <alignment horizontal="left" vertical="center"/>
    </xf>
    <xf borderId="0" fillId="3" fontId="2" numFmtId="0" xfId="0" applyAlignment="1" applyFont="1">
      <alignment horizontal="left" vertical="center"/>
    </xf>
    <xf borderId="1" fillId="4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4" fillId="3" fontId="2" numFmtId="164" xfId="0" applyAlignment="1" applyBorder="1" applyFont="1" applyNumberFormat="1">
      <alignment horizontal="left" vertical="center"/>
    </xf>
    <xf borderId="4" fillId="3" fontId="2" numFmtId="10" xfId="0" applyAlignment="1" applyBorder="1" applyFont="1" applyNumberFormat="1">
      <alignment horizontal="left" vertical="center"/>
    </xf>
    <xf borderId="4" fillId="3" fontId="2" numFmtId="0" xfId="0" applyAlignment="1" applyBorder="1" applyFont="1">
      <alignment horizontal="left" vertical="center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6" numFmtId="3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6" numFmtId="10" xfId="0" applyAlignment="1" applyBorder="1" applyFont="1" applyNumberFormat="1">
      <alignment readingOrder="0"/>
    </xf>
    <xf borderId="0" fillId="0" fontId="8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0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1" fillId="5" fontId="11" numFmtId="0" xfId="0" applyAlignment="1" applyBorder="1" applyFill="1" applyFont="1">
      <alignment horizontal="center" vertical="bottom"/>
    </xf>
    <xf borderId="1" fillId="5" fontId="11" numFmtId="0" xfId="0" applyAlignment="1" applyBorder="1" applyFont="1">
      <alignment horizontal="center" vertical="bottom"/>
    </xf>
    <xf borderId="1" fillId="6" fontId="10" numFmtId="0" xfId="0" applyAlignment="1" applyBorder="1" applyFill="1" applyFont="1">
      <alignment vertical="bottom"/>
    </xf>
    <xf borderId="1" fillId="0" fontId="2" numFmtId="3" xfId="0" applyAlignment="1" applyBorder="1" applyFont="1" applyNumberFormat="1">
      <alignment vertical="bottom"/>
    </xf>
    <xf borderId="1" fillId="6" fontId="10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horizontal="right" vertical="bottom"/>
    </xf>
    <xf borderId="1" fillId="0" fontId="10" numFmtId="164" xfId="0" applyAlignment="1" applyBorder="1" applyFont="1" applyNumberFormat="1">
      <alignment horizontal="right" vertical="bottom"/>
    </xf>
    <xf borderId="1" fillId="0" fontId="10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readingOrder="0" vertical="bottom"/>
    </xf>
    <xf borderId="1" fillId="7" fontId="1" numFmtId="0" xfId="0" applyAlignment="1" applyBorder="1" applyFill="1" applyFont="1">
      <alignment horizontal="center" vertical="center"/>
    </xf>
    <xf borderId="1" fillId="7" fontId="12" numFmtId="0" xfId="0" applyAlignment="1" applyBorder="1" applyFont="1">
      <alignment horizontal="center" vertical="center"/>
    </xf>
    <xf borderId="0" fillId="7" fontId="1" numFmtId="0" xfId="0" applyAlignment="1" applyFont="1">
      <alignment horizontal="center" vertical="center"/>
    </xf>
    <xf borderId="1" fillId="5" fontId="13" numFmtId="0" xfId="0" applyBorder="1" applyFont="1"/>
    <xf borderId="1" fillId="5" fontId="14" numFmtId="0" xfId="0" applyBorder="1" applyFont="1"/>
    <xf borderId="1" fillId="5" fontId="13" numFmtId="0" xfId="0" applyAlignment="1" applyBorder="1" applyFont="1">
      <alignment horizontal="right"/>
    </xf>
    <xf borderId="0" fillId="5" fontId="13" numFmtId="0" xfId="0" applyFont="1"/>
    <xf borderId="1" fillId="3" fontId="2" numFmtId="0" xfId="0" applyBorder="1" applyFont="1"/>
    <xf borderId="1" fillId="8" fontId="2" numFmtId="3" xfId="0" applyBorder="1" applyFill="1" applyFont="1" applyNumberFormat="1"/>
    <xf borderId="1" fillId="3" fontId="2" numFmtId="3" xfId="0" applyAlignment="1" applyBorder="1" applyFont="1" applyNumberFormat="1">
      <alignment horizontal="right" readingOrder="0" vertical="bottom"/>
    </xf>
    <xf borderId="1" fillId="3" fontId="2" numFmtId="3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 readingOrder="0"/>
    </xf>
    <xf borderId="1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1" fillId="3" fontId="2" numFmtId="3" xfId="0" applyAlignment="1" applyBorder="1" applyFont="1" applyNumberFormat="1">
      <alignment readingOrder="0" vertical="bottom"/>
    </xf>
    <xf borderId="1" fillId="8" fontId="2" numFmtId="10" xfId="0" applyBorder="1" applyFont="1" applyNumberFormat="1"/>
    <xf borderId="1" fillId="8" fontId="2" numFmtId="10" xfId="0" applyAlignment="1" applyBorder="1" applyFont="1" applyNumberFormat="1">
      <alignment horizontal="right" vertical="bottom"/>
    </xf>
    <xf borderId="0" fillId="8" fontId="2" numFmtId="10" xfId="0" applyAlignment="1" applyFont="1" applyNumberFormat="1">
      <alignment horizontal="right" vertical="bottom"/>
    </xf>
    <xf borderId="0" fillId="3" fontId="2" numFmtId="3" xfId="0" applyAlignment="1" applyFont="1" applyNumberFormat="1">
      <alignment horizontal="right" vertical="bottom"/>
    </xf>
    <xf borderId="1" fillId="9" fontId="2" numFmtId="0" xfId="0" applyBorder="1" applyFill="1" applyFont="1"/>
    <xf borderId="1" fillId="9" fontId="2" numFmtId="10" xfId="0" applyBorder="1" applyFont="1" applyNumberFormat="1"/>
    <xf borderId="1" fillId="9" fontId="2" numFmtId="10" xfId="0" applyAlignment="1" applyBorder="1" applyFont="1" applyNumberFormat="1">
      <alignment horizontal="right" vertical="bottom"/>
    </xf>
    <xf borderId="0" fillId="9" fontId="2" numFmtId="10" xfId="0" applyAlignment="1" applyFont="1" applyNumberFormat="1">
      <alignment horizontal="right" vertical="bottom"/>
    </xf>
    <xf borderId="1" fillId="8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8" fontId="2" numFmtId="167" xfId="0" applyBorder="1" applyFont="1" applyNumberFormat="1"/>
    <xf borderId="1" fillId="0" fontId="2" numFmtId="167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7" xfId="0" applyAlignment="1" applyFont="1" applyNumberFormat="1">
      <alignment horizontal="right" vertical="bottom"/>
    </xf>
    <xf borderId="1" fillId="3" fontId="2" numFmtId="49" xfId="0" applyAlignment="1" applyBorder="1" applyFont="1" applyNumberFormat="1">
      <alignment readingOrder="0"/>
    </xf>
    <xf borderId="1" fillId="8" fontId="2" numFmtId="49" xfId="0" applyBorder="1" applyFont="1" applyNumberFormat="1"/>
    <xf borderId="1" fillId="0" fontId="2" numFmtId="3" xfId="0" applyAlignment="1" applyBorder="1" applyFont="1" applyNumberFormat="1">
      <alignment horizontal="right" readingOrder="0" vertical="bottom"/>
    </xf>
    <xf borderId="0" fillId="0" fontId="2" numFmtId="3" xfId="0" applyAlignment="1" applyFont="1" applyNumberFormat="1">
      <alignment horizontal="right"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8" fontId="2" numFmtId="0" xfId="0" applyBorder="1" applyFont="1"/>
    <xf borderId="1" fillId="0" fontId="2" numFmtId="10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1" fillId="0" fontId="2" numFmtId="4" xfId="0" applyAlignment="1" applyBorder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0" fontId="2" numFmtId="0" xfId="0" applyAlignment="1" applyBorder="1" applyFont="1">
      <alignment horizontal="right"/>
    </xf>
    <xf borderId="1" fillId="0" fontId="2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1" fillId="8" fontId="2" numFmtId="167" xfId="0" applyAlignment="1" applyBorder="1" applyFont="1" applyNumberFormat="1">
      <alignment horizontal="right" vertical="bottom"/>
    </xf>
    <xf borderId="0" fillId="3" fontId="2" numFmtId="0" xfId="0" applyFont="1"/>
    <xf borderId="0" fillId="8" fontId="2" numFmtId="167" xfId="0" applyAlignment="1" applyFont="1" applyNumberFormat="1">
      <alignment horizontal="right" vertical="bottom"/>
    </xf>
    <xf borderId="1" fillId="3" fontId="2" numFmtId="164" xfId="0" applyAlignment="1" applyBorder="1" applyFont="1" applyNumberFormat="1">
      <alignment readingOrder="0"/>
    </xf>
    <xf borderId="1" fillId="3" fontId="2" numFmtId="167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/>
    </xf>
    <xf borderId="0" fillId="3" fontId="2" numFmtId="0" xfId="0" applyAlignment="1" applyFont="1">
      <alignment horizontal="right"/>
    </xf>
    <xf borderId="1" fillId="8" fontId="2" numFmtId="164" xfId="0" applyBorder="1" applyFont="1" applyNumberFormat="1"/>
    <xf borderId="1" fillId="8" fontId="2" numFmtId="164" xfId="0" applyAlignment="1" applyBorder="1" applyFont="1" applyNumberFormat="1">
      <alignment readingOrder="0"/>
    </xf>
    <xf borderId="1" fillId="3" fontId="2" numFmtId="167" xfId="0" applyAlignment="1" applyBorder="1" applyFont="1" applyNumberFormat="1">
      <alignment horizontal="right" readingOrder="0" vertical="bottom"/>
    </xf>
    <xf borderId="0" fillId="3" fontId="2" numFmtId="0" xfId="0" applyAlignment="1" applyFont="1">
      <alignment horizontal="right" readingOrder="0"/>
    </xf>
    <xf borderId="0" fillId="3" fontId="2" numFmtId="164" xfId="0" applyFont="1" applyNumberFormat="1"/>
    <xf borderId="0" fillId="8" fontId="2" numFmtId="164" xfId="0" applyFont="1" applyNumberFormat="1"/>
    <xf borderId="0" fillId="8" fontId="2" numFmtId="10" xfId="0" applyFont="1" applyNumberFormat="1"/>
    <xf borderId="1" fillId="8" fontId="2" numFmtId="2" xfId="0" applyBorder="1" applyFont="1" applyNumberFormat="1"/>
    <xf borderId="0" fillId="8" fontId="2" numFmtId="2" xfId="0" applyFont="1" applyNumberFormat="1"/>
    <xf borderId="1" fillId="3" fontId="2" numFmtId="164" xfId="0" applyAlignment="1" applyBorder="1" applyFont="1" applyNumberFormat="1">
      <alignment horizontal="right"/>
    </xf>
    <xf borderId="0" fillId="3" fontId="2" numFmtId="164" xfId="0" applyAlignment="1" applyFont="1" applyNumberFormat="1">
      <alignment readingOrder="0"/>
    </xf>
    <xf borderId="0" fillId="3" fontId="2" numFmtId="10" xfId="0" applyFont="1" applyNumberFormat="1"/>
    <xf borderId="1" fillId="3" fontId="2" numFmtId="167" xfId="0" applyAlignment="1" applyBorder="1" applyFont="1" applyNumberFormat="1">
      <alignment horizontal="right" vertical="bottom"/>
    </xf>
    <xf borderId="1" fillId="3" fontId="2" numFmtId="4" xfId="0" applyAlignment="1" applyBorder="1" applyFont="1" applyNumberFormat="1">
      <alignment horizontal="right" readingOrder="0" vertical="bottom"/>
    </xf>
    <xf borderId="0" fillId="3" fontId="2" numFmtId="4" xfId="0" applyAlignment="1" applyFont="1" applyNumberFormat="1">
      <alignment horizontal="right" readingOrder="0" vertical="bottom"/>
    </xf>
    <xf borderId="1" fillId="3" fontId="2" numFmtId="3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1" fillId="3" fontId="2" numFmtId="3" xfId="0" applyAlignment="1" applyBorder="1" applyFont="1" applyNumberFormat="1">
      <alignment horizontal="right" readingOrder="0" vertical="bottom"/>
    </xf>
    <xf borderId="0" fillId="3" fontId="2" numFmtId="167" xfId="0" applyAlignment="1" applyFont="1" applyNumberFormat="1">
      <alignment horizontal="right" vertical="bottom"/>
    </xf>
    <xf borderId="0" fillId="3" fontId="2" numFmtId="3" xfId="0" applyAlignment="1" applyFont="1" applyNumberFormat="1">
      <alignment horizontal="right" vertical="bottom"/>
    </xf>
    <xf borderId="1" fillId="3" fontId="2" numFmtId="10" xfId="0" applyAlignment="1" applyBorder="1" applyFont="1" applyNumberFormat="1">
      <alignment horizontal="right" vertical="bottom"/>
    </xf>
    <xf borderId="0" fillId="3" fontId="2" numFmtId="10" xfId="0" applyAlignment="1" applyFont="1" applyNumberFormat="1">
      <alignment horizontal="right"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3" fontId="2" numFmtId="4" xfId="0" applyAlignment="1" applyBorder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1" fillId="3" fontId="2" numFmtId="165" xfId="0" applyAlignment="1" applyBorder="1" applyFont="1" applyNumberFormat="1">
      <alignment horizontal="right" readingOrder="0"/>
    </xf>
    <xf borderId="1" fillId="3" fontId="2" numFmtId="164" xfId="0" applyAlignment="1" applyBorder="1" applyFont="1" applyNumberFormat="1">
      <alignment horizontal="right" readingOrder="0"/>
    </xf>
    <xf borderId="0" fillId="0" fontId="5" numFmtId="0" xfId="0" applyAlignment="1" applyFont="1">
      <alignment horizontal="right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vertical="bottom"/>
    </xf>
    <xf borderId="2" fillId="7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5" fontId="13" numFmtId="0" xfId="0" applyBorder="1" applyFont="1"/>
    <xf borderId="5" fillId="0" fontId="13" numFmtId="0" xfId="0" applyBorder="1" applyFont="1"/>
    <xf borderId="0" fillId="0" fontId="13" numFmtId="0" xfId="0" applyFont="1"/>
    <xf borderId="1" fillId="9" fontId="2" numFmtId="1" xfId="0" applyBorder="1" applyFont="1" applyNumberFormat="1"/>
    <xf borderId="1" fillId="9" fontId="2" numFmtId="0" xfId="0" applyAlignment="1" applyBorder="1" applyFont="1">
      <alignment readingOrder="0"/>
    </xf>
    <xf borderId="2" fillId="9" fontId="2" numFmtId="0" xfId="0" applyAlignment="1" applyBorder="1" applyFont="1">
      <alignment readingOrder="0"/>
    </xf>
    <xf borderId="5" fillId="0" fontId="2" numFmtId="0" xfId="0" applyBorder="1" applyFont="1"/>
    <xf borderId="0" fillId="0" fontId="2" numFmtId="0" xfId="0" applyFont="1"/>
    <xf borderId="1" fillId="8" fontId="2" numFmtId="168" xfId="0" applyBorder="1" applyFont="1" applyNumberFormat="1"/>
    <xf borderId="2" fillId="3" fontId="2" numFmtId="0" xfId="0" applyAlignment="1" applyBorder="1" applyFont="1">
      <alignment readingOrder="0"/>
    </xf>
    <xf borderId="1" fillId="8" fontId="2" numFmtId="1" xfId="0" applyBorder="1" applyFont="1" applyNumberFormat="1"/>
    <xf borderId="5" fillId="0" fontId="2" numFmtId="10" xfId="0" applyBorder="1" applyFont="1" applyNumberFormat="1"/>
    <xf borderId="0" fillId="0" fontId="2" numFmtId="10" xfId="0" applyFont="1" applyNumberFormat="1"/>
    <xf borderId="1" fillId="0" fontId="2" numFmtId="10" xfId="0" applyBorder="1" applyFont="1" applyNumberFormat="1"/>
    <xf borderId="1" fillId="0" fontId="2" numFmtId="0" xfId="0" applyBorder="1" applyFont="1"/>
    <xf borderId="2" fillId="0" fontId="2" numFmtId="0" xfId="0" applyBorder="1" applyFont="1"/>
    <xf borderId="1" fillId="9" fontId="2" numFmtId="168" xfId="0" applyBorder="1" applyFont="1" applyNumberFormat="1"/>
    <xf borderId="1" fillId="9" fontId="2" numFmtId="164" xfId="0" applyBorder="1" applyFont="1" applyNumberFormat="1"/>
    <xf borderId="1" fillId="9" fontId="2" numFmtId="164" xfId="0" applyAlignment="1" applyBorder="1" applyFont="1" applyNumberFormat="1">
      <alignment readingOrder="0"/>
    </xf>
    <xf borderId="2" fillId="9" fontId="2" numFmtId="164" xfId="0" applyAlignment="1" applyBorder="1" applyFont="1" applyNumberFormat="1">
      <alignment readingOrder="0"/>
    </xf>
    <xf borderId="5" fillId="0" fontId="2" numFmtId="164" xfId="0" applyBorder="1" applyFont="1" applyNumberFormat="1"/>
    <xf borderId="0" fillId="0" fontId="2" numFmtId="164" xfId="0" applyFont="1" applyNumberFormat="1"/>
    <xf borderId="1" fillId="8" fontId="2" numFmtId="1" xfId="0" applyAlignment="1" applyBorder="1" applyFont="1" applyNumberFormat="1">
      <alignment horizontal="right"/>
    </xf>
    <xf borderId="2" fillId="3" fontId="2" numFmtId="164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horizontal="right" readingOrder="0" vertical="bottom"/>
    </xf>
    <xf borderId="2" fillId="0" fontId="2" numFmtId="164" xfId="0" applyAlignment="1" applyBorder="1" applyFont="1" applyNumberFormat="1">
      <alignment readingOrder="0"/>
    </xf>
    <xf borderId="1" fillId="3" fontId="15" numFmtId="0" xfId="0" applyAlignment="1" applyBorder="1" applyFont="1">
      <alignment readingOrder="0"/>
    </xf>
    <xf borderId="1" fillId="0" fontId="2" numFmtId="164" xfId="0" applyBorder="1" applyFont="1" applyNumberFormat="1"/>
    <xf borderId="1" fillId="3" fontId="2" numFmtId="0" xfId="0" applyAlignment="1" applyBorder="1" applyFont="1">
      <alignment vertical="bottom"/>
    </xf>
    <xf borderId="1" fillId="8" fontId="2" numFmtId="0" xfId="0" applyAlignment="1" applyBorder="1" applyFont="1">
      <alignment horizontal="right" vertical="bottom"/>
    </xf>
    <xf borderId="1" fillId="8" fontId="2" numFmtId="0" xfId="0" applyAlignment="1" applyBorder="1" applyFont="1">
      <alignment horizontal="center" vertical="bottom"/>
    </xf>
    <xf borderId="2" fillId="9" fontId="16" numFmtId="0" xfId="0" applyAlignment="1" applyBorder="1" applyFont="1">
      <alignment horizontal="center" readingOrder="0" vertical="bottom"/>
    </xf>
    <xf borderId="6" fillId="0" fontId="3" numFmtId="0" xfId="0" applyBorder="1" applyFont="1"/>
    <xf borderId="5" fillId="0" fontId="10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5" fillId="0" fontId="10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2" fillId="9" fontId="10" numFmtId="0" xfId="0" applyAlignment="1" applyBorder="1" applyFont="1">
      <alignment horizontal="center" readingOrder="0" vertical="bottom"/>
    </xf>
    <xf borderId="1" fillId="0" fontId="5" numFmtId="0" xfId="0" applyBorder="1" applyFont="1"/>
    <xf borderId="1" fillId="3" fontId="2" numFmtId="2" xfId="0" applyAlignment="1" applyBorder="1" applyFont="1" applyNumberFormat="1">
      <alignment horizontal="left"/>
    </xf>
    <xf borderId="1" fillId="8" fontId="2" numFmtId="2" xfId="0" applyAlignment="1" applyBorder="1" applyFont="1" applyNumberFormat="1">
      <alignment horizontal="right"/>
    </xf>
    <xf borderId="5" fillId="0" fontId="2" numFmtId="2" xfId="0" applyAlignment="1" applyBorder="1" applyFont="1" applyNumberFormat="1">
      <alignment horizontal="right"/>
    </xf>
    <xf borderId="0" fillId="0" fontId="2" numFmtId="2" xfId="0" applyAlignment="1" applyFont="1" applyNumberFormat="1">
      <alignment horizontal="right"/>
    </xf>
    <xf borderId="2" fillId="3" fontId="2" numFmtId="0" xfId="0" applyBorder="1" applyFont="1"/>
    <xf borderId="1" fillId="0" fontId="17" numFmtId="0" xfId="0" applyAlignment="1" applyBorder="1" applyFont="1">
      <alignment readingOrder="0"/>
    </xf>
    <xf borderId="1" fillId="8" fontId="2" numFmtId="165" xfId="0" applyAlignment="1" applyBorder="1" applyFont="1" applyNumberFormat="1">
      <alignment readingOrder="0"/>
    </xf>
    <xf borderId="1" fillId="8" fontId="2" numFmtId="165" xfId="0" applyBorder="1" applyFont="1" applyNumberFormat="1"/>
    <xf borderId="0" fillId="0" fontId="5" numFmtId="164" xfId="0" applyAlignment="1" applyFont="1" applyNumberFormat="1">
      <alignment readingOrder="0" vertical="bottom"/>
    </xf>
    <xf borderId="0" fillId="0" fontId="18" numFmtId="164" xfId="0" applyAlignment="1" applyFont="1" applyNumberFormat="1">
      <alignment readingOrder="0"/>
    </xf>
    <xf borderId="1" fillId="0" fontId="19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5" numFmtId="164" xfId="0" applyBorder="1" applyFont="1" applyNumberFormat="1"/>
    <xf borderId="1" fillId="0" fontId="5" numFmtId="10" xfId="0" applyBorder="1" applyFont="1" applyNumberFormat="1"/>
    <xf borderId="1" fillId="0" fontId="5" numFmtId="165" xfId="0" applyAlignment="1" applyBorder="1" applyFont="1" applyNumberFormat="1">
      <alignment readingOrder="0"/>
    </xf>
    <xf borderId="7" fillId="0" fontId="5" numFmtId="0" xfId="0" applyAlignment="1" applyBorder="1" applyFont="1">
      <alignment readingOrder="0"/>
    </xf>
    <xf borderId="7" fillId="0" fontId="5" numFmtId="164" xfId="0" applyAlignment="1" applyBorder="1" applyFont="1" applyNumberFormat="1">
      <alignment readingOrder="0"/>
    </xf>
    <xf borderId="6" fillId="0" fontId="5" numFmtId="0" xfId="0" applyAlignment="1" applyBorder="1" applyFont="1">
      <alignment readingOrder="0"/>
    </xf>
    <xf borderId="8" fillId="0" fontId="20" numFmtId="0" xfId="0" applyAlignment="1" applyBorder="1" applyFont="1">
      <alignment readingOrder="0"/>
    </xf>
    <xf borderId="9" fillId="0" fontId="3" numFmtId="0" xfId="0" applyBorder="1" applyFont="1"/>
    <xf borderId="1" fillId="0" fontId="5" numFmtId="0" xfId="0" applyAlignment="1" applyBorder="1" applyFont="1">
      <alignment horizontal="right" readingOrder="0"/>
    </xf>
    <xf borderId="0" fillId="0" fontId="21" numFmtId="0" xfId="0" applyAlignment="1" applyFont="1">
      <alignment readingOrder="0"/>
    </xf>
    <xf borderId="1" fillId="0" fontId="5" numFmtId="10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readingOrder="0"/>
    </xf>
    <xf borderId="1" fillId="0" fontId="7" numFmtId="3" xfId="0" applyAlignment="1" applyBorder="1" applyFont="1" applyNumberFormat="1">
      <alignment readingOrder="0"/>
    </xf>
    <xf borderId="1" fillId="0" fontId="6" numFmtId="4" xfId="0" applyAlignment="1" applyBorder="1" applyFont="1" applyNumberFormat="1">
      <alignment readingOrder="0"/>
    </xf>
    <xf borderId="1" fillId="0" fontId="7" numFmtId="4" xfId="0" applyAlignment="1" applyBorder="1" applyFont="1" applyNumberFormat="1">
      <alignment readingOrder="0"/>
    </xf>
    <xf borderId="1" fillId="7" fontId="1" numFmtId="169" xfId="0" applyAlignment="1" applyBorder="1" applyFont="1" applyNumberFormat="1">
      <alignment horizontal="center" readingOrder="0" vertical="center"/>
    </xf>
    <xf borderId="1" fillId="8" fontId="2" numFmtId="3" xfId="0" applyAlignment="1" applyBorder="1" applyFont="1" applyNumberFormat="1">
      <alignment readingOrder="0"/>
    </xf>
    <xf borderId="0" fillId="0" fontId="5" numFmtId="0" xfId="0" applyFont="1"/>
    <xf borderId="2" fillId="9" fontId="2" numFmtId="0" xfId="0" applyBorder="1" applyFont="1"/>
    <xf borderId="1" fillId="9" fontId="2" numFmtId="164" xfId="0" applyAlignment="1" applyBorder="1" applyFont="1" applyNumberFormat="1">
      <alignment horizontal="right" readingOrder="0" vertical="bottom"/>
    </xf>
    <xf borderId="1" fillId="9" fontId="2" numFmtId="164" xfId="0" applyAlignment="1" applyBorder="1" applyFont="1" applyNumberFormat="1">
      <alignment horizontal="right" readingOrder="0" vertical="bottom"/>
    </xf>
    <xf borderId="5" fillId="9" fontId="2" numFmtId="164" xfId="0" applyBorder="1" applyFont="1" applyNumberFormat="1"/>
    <xf borderId="0" fillId="9" fontId="2" numFmtId="164" xfId="0" applyFont="1" applyNumberFormat="1"/>
    <xf borderId="2" fillId="3" fontId="10" numFmtId="0" xfId="0" applyAlignment="1" applyBorder="1" applyFont="1">
      <alignment horizontal="center" readingOrder="0" vertical="bottom"/>
    </xf>
    <xf borderId="1" fillId="0" fontId="10" numFmtId="164" xfId="0" applyAlignment="1" applyBorder="1" applyFont="1" applyNumberFormat="1">
      <alignment horizontal="center" readingOrder="0" vertical="bottom"/>
    </xf>
    <xf borderId="2" fillId="0" fontId="10" numFmtId="164" xfId="0" applyAlignment="1" applyBorder="1" applyFont="1" applyNumberFormat="1">
      <alignment horizontal="center" readingOrder="0" vertical="bottom"/>
    </xf>
    <xf borderId="5" fillId="0" fontId="10" numFmtId="164" xfId="0" applyAlignment="1" applyBorder="1" applyFont="1" applyNumberFormat="1">
      <alignment horizontal="center" readingOrder="0" vertical="bottom"/>
    </xf>
    <xf borderId="0" fillId="0" fontId="10" numFmtId="164" xfId="0" applyAlignment="1" applyFont="1" applyNumberFormat="1">
      <alignment horizontal="center" readingOrder="0" vertical="bottom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 vertical="bottom"/>
    </xf>
    <xf borderId="1" fillId="3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readingOrder="0" vertical="bottom"/>
    </xf>
    <xf borderId="2" fillId="0" fontId="5" numFmtId="0" xfId="0" applyAlignment="1" applyBorder="1" applyFont="1">
      <alignment readingOrder="0"/>
    </xf>
    <xf borderId="1" fillId="0" fontId="5" numFmtId="10" xfId="0" applyAlignment="1" applyBorder="1" applyFont="1" applyNumberFormat="1">
      <alignment horizontal="right" readingOrder="0"/>
    </xf>
    <xf borderId="7" fillId="0" fontId="5" numFmtId="3" xfId="0" applyAlignment="1" applyBorder="1" applyFont="1" applyNumberFormat="1">
      <alignment readingOrder="0"/>
    </xf>
    <xf borderId="7" fillId="0" fontId="5" numFmtId="164" xfId="0" applyBorder="1" applyFont="1" applyNumberFormat="1"/>
    <xf borderId="7" fillId="0" fontId="5" numFmtId="10" xfId="0" applyAlignment="1" applyBorder="1" applyFont="1" applyNumberFormat="1">
      <alignment horizontal="right" readingOrder="0"/>
    </xf>
    <xf borderId="6" fillId="0" fontId="5" numFmtId="0" xfId="0" applyAlignment="1" applyBorder="1" applyFont="1">
      <alignment readingOrder="0"/>
    </xf>
    <xf borderId="6" fillId="0" fontId="5" numFmtId="3" xfId="0" applyAlignment="1" applyBorder="1" applyFont="1" applyNumberFormat="1">
      <alignment readingOrder="0"/>
    </xf>
    <xf borderId="6" fillId="0" fontId="5" numFmtId="164" xfId="0" applyBorder="1" applyFont="1" applyNumberFormat="1"/>
    <xf borderId="6" fillId="0" fontId="5" numFmtId="10" xfId="0" applyAlignment="1" applyBorder="1" applyFont="1" applyNumberFormat="1">
      <alignment horizontal="right" readingOrder="0"/>
    </xf>
    <xf borderId="10" fillId="0" fontId="5" numFmtId="0" xfId="0" applyAlignment="1" applyBorder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1" fillId="0" fontId="22" numFmtId="3" xfId="0" applyAlignment="1" applyBorder="1" applyFont="1" applyNumberFormat="1">
      <alignment readingOrder="0"/>
    </xf>
    <xf borderId="1" fillId="0" fontId="18" numFmtId="3" xfId="0" applyAlignment="1" applyBorder="1" applyFont="1" applyNumberFormat="1">
      <alignment readingOrder="0"/>
    </xf>
    <xf borderId="1" fillId="0" fontId="18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22" numFmtId="3" xfId="0" applyAlignment="1" applyFont="1" applyNumberFormat="1">
      <alignment readingOrder="0"/>
    </xf>
    <xf borderId="0" fillId="0" fontId="18" numFmtId="3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1" fillId="0" fontId="22" numFmtId="0" xfId="0" applyAlignment="1" applyBorder="1" applyFont="1">
      <alignment readingOrder="0"/>
    </xf>
    <xf borderId="0" fillId="0" fontId="6" numFmtId="3" xfId="0" applyAlignment="1" applyFont="1" applyNumberFormat="1">
      <alignment readingOrder="0"/>
    </xf>
    <xf borderId="0" fillId="0" fontId="22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1" fillId="9" fontId="23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5" numFmtId="164" xfId="0" applyAlignment="1" applyBorder="1" applyFont="1" applyNumberFormat="1">
      <alignment readingOrder="0"/>
    </xf>
    <xf borderId="5" fillId="0" fontId="5" numFmtId="0" xfId="0" applyBorder="1" applyFont="1"/>
    <xf borderId="5" fillId="0" fontId="5" numFmtId="4" xfId="0" applyAlignment="1" applyBorder="1" applyFont="1" applyNumberFormat="1">
      <alignment readingOrder="0"/>
    </xf>
    <xf borderId="0" fillId="0" fontId="24" numFmtId="0" xfId="0" applyAlignment="1" applyFont="1">
      <alignment vertical="bottom"/>
    </xf>
    <xf borderId="0" fillId="0" fontId="5" numFmtId="170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7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12">
    <tableStyle count="2" pivot="0" name="202511-style">
      <tableStyleElement dxfId="1" type="firstRowStripe"/>
      <tableStyleElement dxfId="2" type="secondRowStripe"/>
    </tableStyle>
    <tableStyle count="2" pivot="0" name="202511-style 2">
      <tableStyleElement dxfId="1" type="firstRowStripe"/>
      <tableStyleElement dxfId="2" type="secondRowStripe"/>
    </tableStyle>
    <tableStyle count="3" pivot="0" name="202511-style 3">
      <tableStyleElement dxfId="3" type="headerRow"/>
      <tableStyleElement dxfId="1" type="firstRowStripe"/>
      <tableStyleElement dxfId="2" type="secondRowStripe"/>
    </tableStyle>
    <tableStyle count="2" pivot="0" name="202511-style 4">
      <tableStyleElement dxfId="2" type="firstRowStripe"/>
      <tableStyleElement dxfId="1" type="secondRowStripe"/>
    </tableStyle>
    <tableStyle count="2" pivot="0" name="202511-style 5">
      <tableStyleElement dxfId="1" type="firstRowStripe"/>
      <tableStyleElement dxfId="2" type="secondRowStripe"/>
    </tableStyle>
    <tableStyle count="3" pivot="0" name="202511-style 6">
      <tableStyleElement dxfId="3" type="headerRow"/>
      <tableStyleElement dxfId="1" type="firstRowStripe"/>
      <tableStyleElement dxfId="2" type="secondRowStripe"/>
    </tableStyle>
    <tableStyle count="2" pivot="0" name="202511-style 7">
      <tableStyleElement dxfId="1" type="firstRowStripe"/>
      <tableStyleElement dxfId="2" type="secondRowStripe"/>
    </tableStyle>
    <tableStyle count="2" pivot="0" name="202511-style 8">
      <tableStyleElement dxfId="2" type="firstRowStripe"/>
      <tableStyleElement dxfId="1" type="secondRowStripe"/>
    </tableStyle>
    <tableStyle count="2" pivot="0" name="202512-style">
      <tableStyleElement dxfId="1" type="firstRowStripe"/>
      <tableStyleElement dxfId="2" type="secondRowStripe"/>
    </tableStyle>
    <tableStyle count="2" pivot="0" name="202512-style 2">
      <tableStyleElement dxfId="2" type="firstRowStripe"/>
      <tableStyleElement dxfId="1" type="secondRowStripe"/>
    </tableStyle>
    <tableStyle count="2" pivot="0" name="202601-style">
      <tableStyleElement dxfId="1" type="firstRowStripe"/>
      <tableStyleElement dxfId="2" type="secondRowStripe"/>
    </tableStyle>
    <tableStyle count="2" pivot="0" name="20260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4:E57" displayName="Table_1" name="Table_1" id="1">
  <tableColumns count="2">
    <tableColumn name="Column1" id="1"/>
    <tableColumn name="Column2" id="2"/>
  </tableColumns>
  <tableStyleInfo name="202511-style" showColumnStripes="0" showFirstColumn="1" showLastColumn="1" showRowStripes="1"/>
</table>
</file>

<file path=xl/tables/table2.xml><?xml version="1.0" encoding="utf-8"?>
<table xmlns="http://schemas.openxmlformats.org/spreadsheetml/2006/main" headerRowCount="0" ref="D93:H10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511-style 2" showColumnStripes="0" showFirstColumn="1" showLastColumn="1" showRowStripes="1"/>
</table>
</file>

<file path=xl/tables/table3.xml><?xml version="1.0" encoding="utf-8"?>
<table xmlns="http://schemas.openxmlformats.org/spreadsheetml/2006/main" headerRowCount="0" ref="D102:E106" displayName="Table_3" name="Table_3" id="3">
  <tableColumns count="2">
    <tableColumn name="Column1" id="1"/>
    <tableColumn name="Column2" id="2"/>
  </tableColumns>
  <tableStyleInfo name="20251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D112:F125" displayName="Table_4" name="Table_4" id="4">
  <tableColumns count="3">
    <tableColumn name="Column1" id="1"/>
    <tableColumn name="Column2" id="2"/>
    <tableColumn name="Column3" id="3"/>
  </tableColumns>
  <tableStyleInfo name="20251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31:E139" displayName="Table_5" name="Table_5" id="5">
  <tableColumns count="2">
    <tableColumn name="Column1" id="1"/>
    <tableColumn name="Column2" id="2"/>
  </tableColumns>
  <tableStyleInfo name="202511-style 5" showColumnStripes="0" showFirstColumn="1" showLastColumn="1" showRowStripes="1"/>
</table>
</file>

<file path=xl/tables/table6.xml><?xml version="1.0" encoding="utf-8"?>
<table xmlns="http://schemas.openxmlformats.org/spreadsheetml/2006/main" headerRowCount="0" ref="D141:E144" displayName="Table_6" name="Table_6" id="6">
  <tableColumns count="2">
    <tableColumn name="Column1" id="1"/>
    <tableColumn name="Column2" id="2"/>
  </tableColumns>
  <tableStyleInfo name="202511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D150:H157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511-style 7" showColumnStripes="0" showFirstColumn="1" showLastColumn="1" showRowStripes="1"/>
</table>
</file>

<file path=xl/tables/table8.xml><?xml version="1.0" encoding="utf-8"?>
<table xmlns="http://schemas.openxmlformats.org/spreadsheetml/2006/main" headerRowCount="0" ref="D158:E159" displayName="Table_8" name="Table_8" id="8">
  <tableColumns count="2">
    <tableColumn name="Column1" id="1"/>
    <tableColumn name="Column2" id="2"/>
  </tableColumns>
  <tableStyleInfo name="202511-style 8" showColumnStripes="0" showFirstColumn="1" showLastColumn="1" showRowStripes="1"/>
</table>
</file>

<file path=xl/tables/table9.xml><?xml version="1.0" encoding="utf-8"?>
<table xmlns="http://schemas.openxmlformats.org/spreadsheetml/2006/main" headerRowCount="0" ref="D30:O31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02512-style" showColumnStripes="0" showFirstColumn="1" showLastColumn="1" showRowStripes="1"/>
</table>
</file>

<file path=xl/tables/table10.xml><?xml version="1.0" encoding="utf-8"?>
<table xmlns="http://schemas.openxmlformats.org/spreadsheetml/2006/main" headerRowCount="0" ref="D33:O33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02512-style 2" showColumnStripes="0" showFirstColumn="1" showLastColumn="1" showRowStripes="1"/>
</table>
</file>

<file path=xl/tables/table11.xml><?xml version="1.0" encoding="utf-8"?>
<table xmlns="http://schemas.openxmlformats.org/spreadsheetml/2006/main" headerRowCount="0" ref="D30:AE34" displayName="Table_11" name="Table_11" id="1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601-style" showColumnStripes="0" showFirstColumn="1" showLastColumn="1" showRowStripes="1"/>
</table>
</file>

<file path=xl/tables/table12.xml><?xml version="1.0" encoding="utf-8"?>
<table xmlns="http://schemas.openxmlformats.org/spreadsheetml/2006/main" headerRowCount="0" ref="D30:Y34" displayName="Table_12" name="Table_12" id="1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20260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H58WqxPHBzuNYBH8NVUSlblZzdMo2hgl/view?usp=sharing" TargetMode="External"/><Relationship Id="rId10" Type="http://schemas.openxmlformats.org/officeDocument/2006/relationships/hyperlink" Target="https://docs.google.com/spreadsheets/d/1Fbc-4c4XfCR3YydGr7sDfV5afAI9eLLZu3BS4ABzcC0/edit?usp=sharing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https://docs.google.com/spreadsheets/d/1YcFQ3xInxXND0-sMjWsOg1-hSPOvfUWbSuqZNwV3JrA/edit?usp=sharing" TargetMode="External"/><Relationship Id="rId2" Type="http://schemas.openxmlformats.org/officeDocument/2006/relationships/hyperlink" Target="https://heavensshotkaisetsu.slomanga.com/" TargetMode="External"/><Relationship Id="rId3" Type="http://schemas.openxmlformats.org/officeDocument/2006/relationships/hyperlink" Target="https://100cashback.slomanga.com/" TargetMode="External"/><Relationship Id="rId4" Type="http://schemas.openxmlformats.org/officeDocument/2006/relationships/hyperlink" Target="https://stepshot.slomanga.com/" TargetMode="External"/><Relationship Id="rId9" Type="http://schemas.openxmlformats.org/officeDocument/2006/relationships/hyperlink" Target="https://docs.google.com/spreadsheets/d/1y0u8EmSz0PRLoEPqLTh1LwGOJSByNv3cQENStr-TZlc/edit?usp=sharing" TargetMode="External"/><Relationship Id="rId15" Type="http://schemas.openxmlformats.org/officeDocument/2006/relationships/table" Target="../tables/table9.xml"/><Relationship Id="rId16" Type="http://schemas.openxmlformats.org/officeDocument/2006/relationships/table" Target="../tables/table10.xml"/><Relationship Id="rId5" Type="http://schemas.openxmlformats.org/officeDocument/2006/relationships/hyperlink" Target="https://11111.slomanga.com/" TargetMode="External"/><Relationship Id="rId6" Type="http://schemas.openxmlformats.org/officeDocument/2006/relationships/hyperlink" Target="https://lottery-promo.slomanga.com/" TargetMode="External"/><Relationship Id="rId7" Type="http://schemas.openxmlformats.org/officeDocument/2006/relationships/hyperlink" Target="https://docs.google.com/spreadsheets/d/1oqFNarFmzBfZoKIeJF24j4ZDLynSKprNxfKplz-qCzc/edit?usp=sharing" TargetMode="External"/><Relationship Id="rId8" Type="http://schemas.openxmlformats.org/officeDocument/2006/relationships/hyperlink" Target="https://docs.google.com/spreadsheets/d/1gFAxCLql_6sTisYa6wcDnffk19ott7F7bKkSC1FPTJE/edit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eavensshot.slomanga.com/" TargetMode="External"/><Relationship Id="rId2" Type="http://schemas.openxmlformats.org/officeDocument/2006/relationships/hyperlink" Target="https://heavensshotkaisetsu.slomanga.com/" TargetMode="External"/><Relationship Id="rId3" Type="http://schemas.openxmlformats.org/officeDocument/2006/relationships/hyperlink" Target="https://stepshot.slomanga.com/" TargetMode="External"/><Relationship Id="rId4" Type="http://schemas.openxmlformats.org/officeDocument/2006/relationships/hyperlink" Target="https://customheavensshot.slomanga.com/" TargetMode="External"/><Relationship Id="rId5" Type="http://schemas.openxmlformats.org/officeDocument/2006/relationships/hyperlink" Target="https://drive.google.com/file/d/1H58WqxPHBzuNYBH8NVUSlblZzdMo2hgl/view?usp=sharing" TargetMode="External"/><Relationship Id="rId6" Type="http://schemas.openxmlformats.org/officeDocument/2006/relationships/drawing" Target="../drawings/drawing5.xml"/><Relationship Id="rId8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heavensshotkaisetsu.slomanga.com/" TargetMode="External"/><Relationship Id="rId2" Type="http://schemas.openxmlformats.org/officeDocument/2006/relationships/hyperlink" Target="https://stepshot.slomanga.com/" TargetMode="External"/><Relationship Id="rId3" Type="http://schemas.openxmlformats.org/officeDocument/2006/relationships/hyperlink" Target="https://customheavensshot.slomanga.com/" TargetMode="External"/><Relationship Id="rId4" Type="http://schemas.openxmlformats.org/officeDocument/2006/relationships/hyperlink" Target="https://setsubun.slomanga.com/" TargetMode="External"/><Relationship Id="rId9" Type="http://schemas.openxmlformats.org/officeDocument/2006/relationships/table" Target="../tables/table12.xml"/><Relationship Id="rId5" Type="http://schemas.openxmlformats.org/officeDocument/2006/relationships/hyperlink" Target="https://valentines-day.slomanga.com/" TargetMode="External"/><Relationship Id="rId6" Type="http://schemas.openxmlformats.org/officeDocument/2006/relationships/hyperlink" Target="https://drive.google.com/file/d/1H58WqxPHBzuNYBH8NVUSlblZzdMo2hgl/view?usp=sharing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21.57"/>
    <col customWidth="1" min="4" max="4" width="18.86"/>
    <col customWidth="1" min="5" max="5" width="19.86"/>
  </cols>
  <sheetData>
    <row r="1">
      <c r="A1" s="1"/>
      <c r="B1" s="1"/>
    </row>
    <row r="2">
      <c r="A2" s="1"/>
      <c r="B2" s="1"/>
    </row>
    <row r="3">
      <c r="A3" s="2" t="s">
        <v>0</v>
      </c>
      <c r="B3" s="2" t="s">
        <v>1</v>
      </c>
    </row>
    <row r="4">
      <c r="A4" s="3" t="s">
        <v>2</v>
      </c>
      <c r="B4" s="4">
        <f>'202512'!B4+'202601'!B4</f>
        <v>8237</v>
      </c>
    </row>
    <row r="5">
      <c r="A5" s="3" t="s">
        <v>3</v>
      </c>
      <c r="B5" s="4">
        <f>'202512'!B5+'202601'!B5</f>
        <v>5858</v>
      </c>
    </row>
    <row r="6">
      <c r="A6" s="3" t="s">
        <v>4</v>
      </c>
      <c r="B6" s="4">
        <f>'202512'!B6+'202601'!B6</f>
        <v>8206</v>
      </c>
    </row>
    <row r="7">
      <c r="A7" s="3" t="s">
        <v>5</v>
      </c>
      <c r="B7" s="5">
        <f>B6/B4</f>
        <v>0.9962364939</v>
      </c>
    </row>
    <row r="8">
      <c r="A8" s="3" t="s">
        <v>6</v>
      </c>
      <c r="B8" s="6">
        <f>'202512'!B8+'202601'!B8</f>
        <v>7765</v>
      </c>
    </row>
    <row r="9">
      <c r="A9" s="3" t="s">
        <v>7</v>
      </c>
      <c r="B9" s="5">
        <f>B8/B4</f>
        <v>0.9426975841</v>
      </c>
    </row>
    <row r="10">
      <c r="A10" s="3" t="s">
        <v>8</v>
      </c>
      <c r="B10" s="4">
        <f>'202512'!B10+'202601'!B10</f>
        <v>579</v>
      </c>
    </row>
    <row r="11">
      <c r="A11" s="3" t="s">
        <v>9</v>
      </c>
      <c r="B11" s="5">
        <f>B10/B4</f>
        <v>0.07029258225</v>
      </c>
    </row>
    <row r="12">
      <c r="A12" s="3" t="s">
        <v>10</v>
      </c>
      <c r="B12" s="4">
        <f>'202512'!B12+'202601'!B12</f>
        <v>111</v>
      </c>
    </row>
    <row r="13">
      <c r="A13" s="3" t="s">
        <v>11</v>
      </c>
      <c r="B13" s="5">
        <f>B12/B4</f>
        <v>0.01347578002</v>
      </c>
    </row>
    <row r="14">
      <c r="A14" s="3" t="s">
        <v>12</v>
      </c>
      <c r="B14" s="4">
        <f>'202512'!B14+'202601'!B14</f>
        <v>74</v>
      </c>
    </row>
    <row r="15">
      <c r="A15" s="3" t="s">
        <v>13</v>
      </c>
      <c r="B15" s="5">
        <f>B14/B4</f>
        <v>0.008983853345</v>
      </c>
    </row>
    <row r="16">
      <c r="A16" s="3" t="s">
        <v>14</v>
      </c>
      <c r="B16" s="4">
        <f>'202512'!B16+'202601'!B16</f>
        <v>207</v>
      </c>
    </row>
    <row r="17">
      <c r="A17" s="3" t="s">
        <v>15</v>
      </c>
      <c r="B17" s="5">
        <f>B16/B4</f>
        <v>0.02513050868</v>
      </c>
    </row>
    <row r="18">
      <c r="A18" s="3" t="s">
        <v>16</v>
      </c>
      <c r="B18" s="4">
        <f>'202512'!B18+'202601'!B18</f>
        <v>1312</v>
      </c>
    </row>
    <row r="19">
      <c r="A19" s="3" t="s">
        <v>17</v>
      </c>
      <c r="B19" s="5">
        <f>B18/B4</f>
        <v>0.1592812917</v>
      </c>
    </row>
    <row r="20">
      <c r="A20" s="3" t="s">
        <v>18</v>
      </c>
      <c r="B20" s="4">
        <f>'202512'!B20+'202601'!B20</f>
        <v>1366</v>
      </c>
    </row>
    <row r="21">
      <c r="A21" s="3" t="s">
        <v>19</v>
      </c>
      <c r="B21" s="4">
        <f>'202512'!B21+'202601'!B21</f>
        <v>743</v>
      </c>
    </row>
    <row r="22">
      <c r="A22" s="3" t="s">
        <v>20</v>
      </c>
      <c r="B22" s="4" t="str">
        <f>'202512'!B22+'202601'!B22</f>
        <v>#VALUE!</v>
      </c>
    </row>
    <row r="23">
      <c r="A23" s="3" t="s">
        <v>21</v>
      </c>
      <c r="B23" s="4" t="str">
        <f>'202512'!B23+'202601'!B23</f>
        <v>#VALUE!</v>
      </c>
    </row>
    <row r="24">
      <c r="A24" s="3" t="s">
        <v>22</v>
      </c>
      <c r="B24" s="4">
        <f>'202512'!B24+'202601'!B24</f>
        <v>12432</v>
      </c>
    </row>
    <row r="25">
      <c r="A25" s="3" t="s">
        <v>23</v>
      </c>
      <c r="B25" s="4">
        <f>'202512'!B25+'202601'!B25</f>
        <v>3776</v>
      </c>
    </row>
    <row r="26">
      <c r="A26" s="3" t="s">
        <v>24</v>
      </c>
      <c r="B26" s="4">
        <f>'202512'!B26+'202601'!B26</f>
        <v>2137</v>
      </c>
    </row>
    <row r="27">
      <c r="A27" s="3" t="s">
        <v>25</v>
      </c>
      <c r="B27" s="7">
        <f>'202512'!B27+'202601'!B27</f>
        <v>196091868</v>
      </c>
    </row>
    <row r="28">
      <c r="A28" s="3" t="s">
        <v>26</v>
      </c>
      <c r="B28" s="7">
        <f>B27/B24</f>
        <v>15773.15541</v>
      </c>
    </row>
    <row r="29">
      <c r="A29" s="3" t="s">
        <v>27</v>
      </c>
      <c r="B29" s="7">
        <f>B27/B26</f>
        <v>91760.35002</v>
      </c>
    </row>
    <row r="30">
      <c r="A30" s="3" t="s">
        <v>28</v>
      </c>
      <c r="B30" s="8">
        <f>'202512'!B30+'202601'!B30</f>
        <v>2744</v>
      </c>
    </row>
    <row r="31">
      <c r="A31" s="3" t="s">
        <v>29</v>
      </c>
      <c r="B31" s="8">
        <f>'202512'!B31+'202601'!B31</f>
        <v>1971</v>
      </c>
    </row>
    <row r="32">
      <c r="A32" s="3" t="s">
        <v>30</v>
      </c>
      <c r="B32" s="7">
        <f>'202512'!B32+'202601'!B32</f>
        <v>142781785</v>
      </c>
    </row>
    <row r="33">
      <c r="A33" s="3" t="s">
        <v>31</v>
      </c>
      <c r="B33" s="5">
        <f>B32/B27</f>
        <v>0.7281372066</v>
      </c>
    </row>
    <row r="34">
      <c r="A34" s="3" t="s">
        <v>32</v>
      </c>
      <c r="B34" s="7">
        <f>'202512'!B34+'202601'!B34</f>
        <v>3153510256</v>
      </c>
    </row>
    <row r="35">
      <c r="A35" s="3" t="s">
        <v>33</v>
      </c>
      <c r="B35" s="5">
        <f>'202512'!B35+'202601'!B35</f>
        <v>32.51929319</v>
      </c>
    </row>
    <row r="36">
      <c r="A36" s="3" t="s">
        <v>34</v>
      </c>
      <c r="B36" s="7">
        <f>'202512'!B36+'202601'!B36</f>
        <v>3153510256</v>
      </c>
    </row>
    <row r="37">
      <c r="A37" s="3" t="s">
        <v>35</v>
      </c>
      <c r="B37" s="7">
        <f>'202512'!B37+'202601'!B37</f>
        <v>3047926570</v>
      </c>
    </row>
    <row r="38">
      <c r="A38" s="3" t="s">
        <v>36</v>
      </c>
      <c r="B38" s="7">
        <f>'202512'!B38+'202601'!B38</f>
        <v>1242834.8</v>
      </c>
    </row>
    <row r="39">
      <c r="A39" s="3" t="s">
        <v>37</v>
      </c>
      <c r="B39" s="7">
        <f>'202512'!B39+'202601'!B39</f>
        <v>3049169405</v>
      </c>
    </row>
    <row r="40">
      <c r="A40" s="3" t="s">
        <v>38</v>
      </c>
      <c r="B40" s="7">
        <f>'202512'!B40+'202601'!B40</f>
        <v>18591291</v>
      </c>
    </row>
    <row r="41">
      <c r="A41" s="3" t="s">
        <v>39</v>
      </c>
      <c r="B41" s="7">
        <f>'202512'!B41+'202601'!B41</f>
        <v>2084881</v>
      </c>
    </row>
    <row r="42">
      <c r="A42" s="3" t="s">
        <v>40</v>
      </c>
      <c r="B42" s="5">
        <f>('202512'!B42+'202601'!B42)/2</f>
        <v>0.9670926097</v>
      </c>
    </row>
    <row r="43">
      <c r="A43" s="3" t="s">
        <v>41</v>
      </c>
      <c r="B43" s="7">
        <f>'202512'!B43+'202601'!B43</f>
        <v>0</v>
      </c>
    </row>
    <row r="44">
      <c r="A44" s="3" t="s">
        <v>42</v>
      </c>
      <c r="B44" s="5">
        <f>'202512'!B44+'202601'!B44</f>
        <v>0</v>
      </c>
    </row>
    <row r="45">
      <c r="A45" s="3" t="s">
        <v>43</v>
      </c>
      <c r="B45" s="7">
        <f>'202512'!B45+'202601'!B45</f>
        <v>104340850.7</v>
      </c>
    </row>
    <row r="46">
      <c r="A46" s="3" t="s">
        <v>44</v>
      </c>
      <c r="B46" s="5">
        <f>'202512'!B46+'202601'!B46</f>
        <v>1.064844412</v>
      </c>
    </row>
    <row r="47">
      <c r="A47" s="3" t="s">
        <v>45</v>
      </c>
      <c r="B47" s="7">
        <f>'202512'!B47+'202601'!B47</f>
        <v>95920.61732</v>
      </c>
    </row>
    <row r="48">
      <c r="A48" s="3" t="s">
        <v>46</v>
      </c>
      <c r="B48" s="7">
        <f>'202512'!B48+'202601'!B48</f>
        <v>53310083</v>
      </c>
    </row>
    <row r="49">
      <c r="A49" s="3" t="s">
        <v>47</v>
      </c>
      <c r="B49" s="5">
        <f>'202512'!B49+'202601'!B49</f>
        <v>0.5450132542</v>
      </c>
    </row>
    <row r="50">
      <c r="A50" s="3" t="s">
        <v>48</v>
      </c>
      <c r="B50" s="7">
        <f>'202512'!B50+'202601'!B50</f>
        <v>49074.75974</v>
      </c>
    </row>
    <row r="51">
      <c r="A51" s="3" t="s">
        <v>49</v>
      </c>
      <c r="B51" s="7">
        <f>'202512'!B51+'202601'!B51</f>
        <v>5686000</v>
      </c>
    </row>
    <row r="52">
      <c r="A52" s="3" t="s">
        <v>50</v>
      </c>
      <c r="B52" s="7">
        <f>'202512'!B52+'202601'!B52</f>
        <v>0</v>
      </c>
    </row>
    <row r="53">
      <c r="A53" s="3" t="s">
        <v>51</v>
      </c>
      <c r="B53" s="7">
        <f>'202512'!B53+'202601'!B53</f>
        <v>1331635</v>
      </c>
    </row>
    <row r="54">
      <c r="A54" s="3" t="s">
        <v>52</v>
      </c>
      <c r="B54" s="7">
        <f>'202512'!B54+'202601'!B54</f>
        <v>0</v>
      </c>
    </row>
    <row r="55">
      <c r="A55" s="3" t="s">
        <v>53</v>
      </c>
      <c r="B55" s="7">
        <f>'202512'!B55+'202601'!B55</f>
        <v>1500</v>
      </c>
    </row>
    <row r="56">
      <c r="A56" s="3" t="s">
        <v>54</v>
      </c>
      <c r="B56" s="7">
        <f>'202512'!B56+'202601'!B56</f>
        <v>13845002.99</v>
      </c>
    </row>
    <row r="57">
      <c r="A57" s="3" t="s">
        <v>55</v>
      </c>
      <c r="B57" s="7">
        <f>'202512'!B57+'202601'!B57</f>
        <v>10236000</v>
      </c>
    </row>
    <row r="58">
      <c r="A58" s="3" t="s">
        <v>56</v>
      </c>
      <c r="B58" s="7">
        <f>'202512'!B58+'202601'!B58</f>
        <v>3748253.54</v>
      </c>
    </row>
    <row r="59">
      <c r="A59" s="3" t="s">
        <v>57</v>
      </c>
      <c r="B59" s="7">
        <f>'202512'!B59+'202601'!B59</f>
        <v>1439910.465</v>
      </c>
    </row>
    <row r="60">
      <c r="A60" s="3" t="s">
        <v>58</v>
      </c>
      <c r="B60" s="7">
        <f>'202512'!B60+'202601'!B60</f>
        <v>5534943.09</v>
      </c>
    </row>
    <row r="61">
      <c r="A61" s="3" t="s">
        <v>59</v>
      </c>
      <c r="B61" s="7">
        <f>'202512'!B61+'202601'!B61</f>
        <v>14258376.59</v>
      </c>
    </row>
    <row r="62">
      <c r="A62" s="3" t="s">
        <v>60</v>
      </c>
      <c r="B62" s="7">
        <f>'202512'!B62+'202601'!B62</f>
        <v>0</v>
      </c>
    </row>
    <row r="63">
      <c r="A63" s="3" t="s">
        <v>61</v>
      </c>
      <c r="B63" s="7">
        <f>'202512'!B63+'202601'!B63</f>
        <v>24981483.68</v>
      </c>
    </row>
    <row r="64">
      <c r="A64" s="3" t="s">
        <v>62</v>
      </c>
      <c r="B64" s="7">
        <f>'202512'!B64+'202601'!B64</f>
        <v>52007482.58</v>
      </c>
    </row>
    <row r="65">
      <c r="A65" s="3" t="s">
        <v>63</v>
      </c>
      <c r="B65" s="7">
        <f>'202512'!B65+'202601'!B65</f>
        <v>39781490.32</v>
      </c>
    </row>
    <row r="66">
      <c r="A66" s="3" t="s">
        <v>64</v>
      </c>
      <c r="B66" s="4"/>
    </row>
    <row r="67">
      <c r="A67" s="3" t="s">
        <v>65</v>
      </c>
      <c r="B67" s="4"/>
    </row>
    <row r="68">
      <c r="A68" s="3" t="s">
        <v>64</v>
      </c>
      <c r="B68" s="4"/>
    </row>
    <row r="69">
      <c r="A69" s="3" t="s">
        <v>65</v>
      </c>
      <c r="B69" s="4"/>
    </row>
    <row r="70">
      <c r="A70" s="3" t="s">
        <v>64</v>
      </c>
      <c r="B70" s="4"/>
    </row>
    <row r="71">
      <c r="A71" s="3" t="s">
        <v>65</v>
      </c>
      <c r="B71" s="4"/>
    </row>
    <row r="72">
      <c r="A72" s="3" t="s">
        <v>64</v>
      </c>
      <c r="B72" s="4"/>
    </row>
    <row r="73">
      <c r="A73" s="3" t="s">
        <v>65</v>
      </c>
      <c r="B73" s="4"/>
    </row>
    <row r="74">
      <c r="A74" s="9" t="s">
        <v>66</v>
      </c>
      <c r="B74" s="10"/>
    </row>
    <row r="75">
      <c r="A75" s="3" t="s">
        <v>67</v>
      </c>
      <c r="B75" s="11">
        <f>B58/B4</f>
        <v>455.0508122</v>
      </c>
    </row>
    <row r="76">
      <c r="A76" s="3" t="s">
        <v>68</v>
      </c>
      <c r="B76" s="11">
        <f>B64/B25</f>
        <v>13773.16805</v>
      </c>
    </row>
    <row r="77">
      <c r="A77" s="3" t="s">
        <v>69</v>
      </c>
      <c r="B77" s="12">
        <f>B18/B4</f>
        <v>0.1592812917</v>
      </c>
    </row>
    <row r="78">
      <c r="A78" s="3" t="s">
        <v>70</v>
      </c>
      <c r="B78" s="12">
        <f>B12/B10</f>
        <v>0.1917098446</v>
      </c>
    </row>
    <row r="79">
      <c r="A79" s="3" t="s">
        <v>71</v>
      </c>
      <c r="B79" s="12">
        <f>B26/B4</f>
        <v>0.2594391162</v>
      </c>
    </row>
    <row r="80">
      <c r="A80" s="3" t="s">
        <v>72</v>
      </c>
      <c r="B80" s="12">
        <f>B45/B27</f>
        <v>0.5321018754</v>
      </c>
    </row>
    <row r="81">
      <c r="A81" s="3" t="s">
        <v>73</v>
      </c>
      <c r="B81" s="12">
        <f>B64/B27</f>
        <v>0.2652199865</v>
      </c>
    </row>
    <row r="82">
      <c r="A82" s="3" t="s">
        <v>74</v>
      </c>
      <c r="B82" s="13">
        <f>B24/B25</f>
        <v>3.292372881</v>
      </c>
    </row>
    <row r="83">
      <c r="A83" s="3" t="s">
        <v>64</v>
      </c>
      <c r="B83" s="4"/>
    </row>
    <row r="84">
      <c r="A84" s="3" t="s">
        <v>75</v>
      </c>
      <c r="B84" s="4"/>
    </row>
    <row r="85">
      <c r="A85" s="14" t="s">
        <v>76</v>
      </c>
      <c r="B85" s="10"/>
    </row>
    <row r="86">
      <c r="A86" s="3" t="s">
        <v>77</v>
      </c>
      <c r="B86" s="4">
        <f>'202512'!B94+'202601'!B94</f>
        <v>2800</v>
      </c>
    </row>
    <row r="87">
      <c r="A87" s="3" t="s">
        <v>78</v>
      </c>
      <c r="B87" s="4">
        <f>'202512'!B95+'202601'!B95</f>
        <v>716</v>
      </c>
    </row>
    <row r="88">
      <c r="A88" s="3" t="s">
        <v>79</v>
      </c>
      <c r="B88" s="4">
        <f>'202512'!B96+'202601'!B96</f>
        <v>103</v>
      </c>
    </row>
    <row r="89">
      <c r="A89" s="3" t="s">
        <v>80</v>
      </c>
      <c r="B89" s="15">
        <f>'202512'!B97+'202601'!B97</f>
        <v>63084211</v>
      </c>
    </row>
    <row r="90">
      <c r="A90" s="3" t="s">
        <v>81</v>
      </c>
      <c r="B90" s="15">
        <f>'202512'!B98+'202601'!B98</f>
        <v>42226223</v>
      </c>
    </row>
    <row r="91">
      <c r="A91" s="3" t="s">
        <v>82</v>
      </c>
      <c r="B91" s="15">
        <f>'202512'!B99+'202601'!B99</f>
        <v>238046182</v>
      </c>
    </row>
    <row r="92">
      <c r="A92" s="3" t="s">
        <v>83</v>
      </c>
      <c r="B92" s="15">
        <f>'202512'!B100+'202601'!B100</f>
        <v>227680021</v>
      </c>
    </row>
    <row r="93">
      <c r="A93" s="3" t="s">
        <v>84</v>
      </c>
      <c r="B93" s="5">
        <f>'202512'!B101+'202601'!B101</f>
        <v>0.9564531516</v>
      </c>
    </row>
    <row r="94">
      <c r="A94" s="3" t="s">
        <v>85</v>
      </c>
      <c r="B94" s="15">
        <f>'202512'!B102+'202601'!B102</f>
        <v>12897830</v>
      </c>
    </row>
    <row r="95">
      <c r="A95" s="3" t="s">
        <v>86</v>
      </c>
      <c r="B95" s="15">
        <f>'202512'!B103+'202601'!B103</f>
        <v>18326319</v>
      </c>
    </row>
    <row r="96">
      <c r="A96" s="3" t="s">
        <v>87</v>
      </c>
      <c r="B96" s="7">
        <f>'202512'!B104+'202601'!B104</f>
        <v>0</v>
      </c>
    </row>
    <row r="97">
      <c r="A97" s="3" t="s">
        <v>88</v>
      </c>
      <c r="B97" s="7">
        <f>'202512'!B105+'202601'!B105</f>
        <v>1812495</v>
      </c>
    </row>
    <row r="98">
      <c r="A98" s="3" t="s">
        <v>89</v>
      </c>
      <c r="B98" s="7">
        <f>'202512'!B106+'202601'!B106</f>
        <v>4505040</v>
      </c>
    </row>
    <row r="99">
      <c r="A99" s="3" t="s">
        <v>90</v>
      </c>
      <c r="B99" s="7">
        <f>'202512'!B107+'202601'!B107</f>
        <v>8043759.62</v>
      </c>
    </row>
    <row r="100">
      <c r="A100" s="3" t="s">
        <v>91</v>
      </c>
      <c r="B100" s="7">
        <f>'202512'!B108+'202601'!B108</f>
        <v>1709576.97</v>
      </c>
    </row>
    <row r="101">
      <c r="A101" s="3" t="s">
        <v>92</v>
      </c>
      <c r="B101" s="7">
        <f>'202512'!B109+'202601'!B109</f>
        <v>14258376.59</v>
      </c>
    </row>
    <row r="102">
      <c r="A102" s="3" t="s">
        <v>93</v>
      </c>
      <c r="B102" s="15">
        <f>'202512'!B110+'202601'!B110</f>
        <v>8264187.53</v>
      </c>
    </row>
    <row r="103">
      <c r="A103" s="3" t="s">
        <v>94</v>
      </c>
      <c r="B103" s="5">
        <f>'202512'!B111+'202601'!B111</f>
        <v>0.5014996798</v>
      </c>
    </row>
    <row r="104">
      <c r="A104" s="3" t="s">
        <v>95</v>
      </c>
      <c r="B104" s="4">
        <f>'202512'!B112+'202601'!B112</f>
        <v>0</v>
      </c>
    </row>
    <row r="105">
      <c r="A105" s="3" t="s">
        <v>75</v>
      </c>
      <c r="B105" s="4">
        <f>'202512'!B113+'202601'!B113</f>
        <v>0</v>
      </c>
    </row>
    <row r="106">
      <c r="A106" s="9" t="s">
        <v>96</v>
      </c>
      <c r="B106" s="10"/>
    </row>
    <row r="107">
      <c r="A107" s="3" t="s">
        <v>97</v>
      </c>
      <c r="B107" s="7">
        <f>'202512'!B116+'202601'!B116</f>
        <v>64486397.55</v>
      </c>
    </row>
    <row r="108">
      <c r="A108" s="3" t="s">
        <v>98</v>
      </c>
      <c r="B108" s="7">
        <f>'202512'!B117+'202601'!B117</f>
        <v>53414080.09</v>
      </c>
    </row>
    <row r="109">
      <c r="A109" s="3" t="s">
        <v>99</v>
      </c>
      <c r="B109" s="4">
        <f>'202512'!B118+'202601'!B118</f>
        <v>2705</v>
      </c>
    </row>
    <row r="110">
      <c r="A110" s="3" t="s">
        <v>100</v>
      </c>
      <c r="B110" s="4">
        <f>'202512'!B119+'202601'!B119</f>
        <v>13590</v>
      </c>
    </row>
    <row r="111">
      <c r="A111" s="3" t="s">
        <v>101</v>
      </c>
      <c r="B111" s="7">
        <f>'202512'!B120+'202601'!B120</f>
        <v>0</v>
      </c>
    </row>
    <row r="112">
      <c r="A112" s="3" t="s">
        <v>102</v>
      </c>
      <c r="B112" s="7">
        <f>'202512'!B121+'202601'!B121</f>
        <v>0</v>
      </c>
    </row>
    <row r="113">
      <c r="A113" s="3" t="s">
        <v>103</v>
      </c>
      <c r="B113" s="4">
        <f>'202512'!B122+'202601'!B122</f>
        <v>0</v>
      </c>
    </row>
    <row r="114">
      <c r="A114" s="3" t="s">
        <v>104</v>
      </c>
      <c r="B114" s="4">
        <f>'202512'!B123+'202601'!B123</f>
        <v>0</v>
      </c>
    </row>
    <row r="115">
      <c r="A115" s="3" t="s">
        <v>105</v>
      </c>
      <c r="B115" s="4">
        <f>'202512'!B124+'202601'!B124</f>
        <v>2705</v>
      </c>
    </row>
    <row r="116">
      <c r="A116" s="3" t="s">
        <v>106</v>
      </c>
      <c r="B116" s="7">
        <f>'202512'!B125+'202601'!B125</f>
        <v>64486397.55</v>
      </c>
    </row>
    <row r="117">
      <c r="A117" s="3" t="s">
        <v>107</v>
      </c>
      <c r="B117" s="7">
        <f>'202512'!B126+'202601'!B126</f>
        <v>53414080.09</v>
      </c>
    </row>
    <row r="118">
      <c r="A118" s="3" t="s">
        <v>40</v>
      </c>
      <c r="B118" s="5">
        <f>'202512'!B127+'202601'!B127</f>
        <v>1.663109507</v>
      </c>
    </row>
    <row r="119">
      <c r="A119" s="3" t="s">
        <v>43</v>
      </c>
      <c r="B119" s="7">
        <f>'202512'!B128+'202601'!B128</f>
        <v>11072317.46</v>
      </c>
    </row>
    <row r="120">
      <c r="A120" s="3" t="s">
        <v>108</v>
      </c>
      <c r="B120" s="7">
        <f>'202512'!B129+'202601'!B129</f>
        <v>0</v>
      </c>
    </row>
    <row r="121">
      <c r="A121" s="3" t="s">
        <v>62</v>
      </c>
      <c r="B121" s="7">
        <f>'202512'!B130+'202601'!B130</f>
        <v>11072317.46</v>
      </c>
    </row>
    <row r="122">
      <c r="A122" s="3" t="s">
        <v>64</v>
      </c>
      <c r="B122" s="4">
        <f>'202512'!B131+'202601'!B131</f>
        <v>0</v>
      </c>
    </row>
    <row r="123">
      <c r="A123" s="3" t="s">
        <v>75</v>
      </c>
      <c r="B123" s="4">
        <f>'202512'!B132+'202601'!B132</f>
        <v>0</v>
      </c>
    </row>
    <row r="124">
      <c r="A124" s="9" t="s">
        <v>109</v>
      </c>
      <c r="B124" s="10"/>
    </row>
    <row r="125">
      <c r="A125" s="3" t="s">
        <v>97</v>
      </c>
      <c r="B125" s="7">
        <f>'202512'!B135+'202601'!B135</f>
        <v>284444876.8</v>
      </c>
    </row>
    <row r="126">
      <c r="A126" s="3" t="s">
        <v>98</v>
      </c>
      <c r="B126" s="7">
        <f>'202512'!B136+'202601'!B136</f>
        <v>277177611.9</v>
      </c>
    </row>
    <row r="127">
      <c r="A127" s="3" t="s">
        <v>99</v>
      </c>
      <c r="B127" s="4">
        <f>'202512'!B137+'202601'!B137</f>
        <v>2739</v>
      </c>
    </row>
    <row r="128">
      <c r="A128" s="3" t="s">
        <v>100</v>
      </c>
      <c r="B128" s="4">
        <f>'202512'!B138+'202601'!B138</f>
        <v>14073</v>
      </c>
    </row>
    <row r="129">
      <c r="A129" s="3" t="s">
        <v>101</v>
      </c>
      <c r="B129" s="7">
        <f>'202512'!B139+'202601'!B139</f>
        <v>0</v>
      </c>
    </row>
    <row r="130">
      <c r="A130" s="3" t="s">
        <v>102</v>
      </c>
      <c r="B130" s="7">
        <f>'202512'!B140+'202601'!B140</f>
        <v>0</v>
      </c>
    </row>
    <row r="131">
      <c r="A131" s="3" t="s">
        <v>103</v>
      </c>
      <c r="B131" s="4">
        <f>'202512'!B141+'202601'!B141</f>
        <v>0</v>
      </c>
    </row>
    <row r="132">
      <c r="A132" s="3" t="s">
        <v>104</v>
      </c>
      <c r="B132" s="4">
        <f>'202512'!B142+'202601'!B142</f>
        <v>0</v>
      </c>
    </row>
    <row r="133">
      <c r="A133" s="3" t="s">
        <v>105</v>
      </c>
      <c r="B133" s="4">
        <f>'202512'!B143+'202601'!B143</f>
        <v>2739</v>
      </c>
    </row>
    <row r="134">
      <c r="A134" s="3" t="s">
        <v>106</v>
      </c>
      <c r="B134" s="7">
        <f>'202512'!B144+'202601'!B144</f>
        <v>284444876.8</v>
      </c>
    </row>
    <row r="135">
      <c r="A135" s="3" t="s">
        <v>107</v>
      </c>
      <c r="B135" s="7">
        <f>'202512'!B145+'202601'!B145</f>
        <v>277177611.9</v>
      </c>
    </row>
    <row r="136">
      <c r="A136" s="3" t="s">
        <v>40</v>
      </c>
      <c r="B136" s="5">
        <f>'202512'!B146+'202601'!B146</f>
        <v>1.937738473</v>
      </c>
    </row>
    <row r="137">
      <c r="A137" s="3" t="s">
        <v>43</v>
      </c>
      <c r="B137" s="7">
        <f>'202512'!B147+'202601'!B147</f>
        <v>7267264.85</v>
      </c>
    </row>
    <row r="138">
      <c r="A138" s="3" t="s">
        <v>110</v>
      </c>
      <c r="B138" s="7">
        <f>'202512'!B148+'202601'!B148</f>
        <v>0</v>
      </c>
    </row>
    <row r="139">
      <c r="A139" s="3" t="s">
        <v>62</v>
      </c>
      <c r="B139" s="7">
        <f>'202512'!B149+'202601'!B149</f>
        <v>7267264.85</v>
      </c>
    </row>
    <row r="140">
      <c r="A140" s="3" t="s">
        <v>64</v>
      </c>
      <c r="B140" s="4">
        <f>'202512'!B150+'202601'!B150</f>
        <v>0</v>
      </c>
    </row>
    <row r="141">
      <c r="A141" s="3" t="s">
        <v>75</v>
      </c>
      <c r="B141" s="4">
        <f>'202512'!B151+'202601'!B151</f>
        <v>0</v>
      </c>
    </row>
    <row r="142">
      <c r="A142" s="9" t="s">
        <v>111</v>
      </c>
      <c r="B142" s="10"/>
    </row>
    <row r="143">
      <c r="A143" s="3" t="s">
        <v>97</v>
      </c>
      <c r="B143" s="7">
        <f>'202512'!B154+'202601'!B154</f>
        <v>1069940078</v>
      </c>
    </row>
    <row r="144">
      <c r="A144" s="3" t="s">
        <v>98</v>
      </c>
      <c r="B144" s="7">
        <f>'202512'!B155+'202601'!B155</f>
        <v>1024836478</v>
      </c>
    </row>
    <row r="145">
      <c r="A145" s="3" t="s">
        <v>99</v>
      </c>
      <c r="B145" s="4">
        <f>'202512'!B156+'202601'!B156</f>
        <v>10777</v>
      </c>
    </row>
    <row r="146">
      <c r="A146" s="3" t="s">
        <v>100</v>
      </c>
      <c r="B146" s="4">
        <f>'202512'!B157+'202601'!B157</f>
        <v>46128</v>
      </c>
    </row>
    <row r="147">
      <c r="A147" s="3" t="s">
        <v>101</v>
      </c>
      <c r="B147" s="7">
        <f>'202512'!B158+'202601'!B158</f>
        <v>0</v>
      </c>
    </row>
    <row r="148">
      <c r="A148" s="3" t="s">
        <v>102</v>
      </c>
      <c r="B148" s="7">
        <f>'202512'!B159+'202601'!B159</f>
        <v>0</v>
      </c>
    </row>
    <row r="149">
      <c r="A149" s="3" t="s">
        <v>103</v>
      </c>
      <c r="B149" s="4">
        <f>'202512'!B160+'202601'!B160</f>
        <v>0</v>
      </c>
    </row>
    <row r="150">
      <c r="A150" s="3" t="s">
        <v>104</v>
      </c>
      <c r="B150" s="4">
        <f>'202512'!B161+'202601'!B161</f>
        <v>0</v>
      </c>
    </row>
    <row r="151">
      <c r="A151" s="3" t="s">
        <v>105</v>
      </c>
      <c r="B151" s="4">
        <f>'202512'!B162+'202601'!B162</f>
        <v>10777</v>
      </c>
    </row>
    <row r="152">
      <c r="A152" s="3" t="s">
        <v>106</v>
      </c>
      <c r="B152" s="7">
        <f>'202512'!B163+'202601'!B163</f>
        <v>1069940078</v>
      </c>
    </row>
    <row r="153">
      <c r="A153" s="3" t="s">
        <v>107</v>
      </c>
      <c r="B153" s="7">
        <f>'202512'!B164+'202601'!B164</f>
        <v>1024836478</v>
      </c>
    </row>
    <row r="154">
      <c r="A154" s="3" t="s">
        <v>40</v>
      </c>
      <c r="B154" s="5">
        <f>'202512'!B165+'202601'!B165</f>
        <v>1.911566479</v>
      </c>
    </row>
    <row r="155">
      <c r="A155" s="3" t="s">
        <v>43</v>
      </c>
      <c r="B155" s="7">
        <f>'202512'!B166+'202601'!B166</f>
        <v>45103599.95</v>
      </c>
    </row>
    <row r="156">
      <c r="A156" s="3" t="s">
        <v>112</v>
      </c>
      <c r="B156" s="7">
        <f>'202512'!B167+'202601'!B167</f>
        <v>0</v>
      </c>
    </row>
    <row r="157">
      <c r="A157" s="3" t="s">
        <v>62</v>
      </c>
      <c r="B157" s="7">
        <f>'202512'!B168+'202601'!B168</f>
        <v>45103599.95</v>
      </c>
    </row>
    <row r="158">
      <c r="A158" s="3" t="s">
        <v>64</v>
      </c>
      <c r="B158" s="4">
        <f>'202512'!B169+'202601'!B169</f>
        <v>0</v>
      </c>
    </row>
    <row r="159">
      <c r="A159" s="3" t="s">
        <v>75</v>
      </c>
      <c r="B159" s="4">
        <f>'202512'!B170+'202601'!B170</f>
        <v>0</v>
      </c>
    </row>
    <row r="160">
      <c r="A160" s="9" t="s">
        <v>113</v>
      </c>
      <c r="B160" s="10"/>
    </row>
    <row r="161">
      <c r="A161" s="3" t="s">
        <v>97</v>
      </c>
      <c r="B161" s="7">
        <f>'202512'!B173+'202601'!B173</f>
        <v>1253554828</v>
      </c>
    </row>
    <row r="162">
      <c r="A162" s="3" t="s">
        <v>98</v>
      </c>
      <c r="B162" s="7">
        <f>'202512'!B174+'202601'!B174</f>
        <v>1221271228</v>
      </c>
    </row>
    <row r="163">
      <c r="A163" s="3" t="s">
        <v>99</v>
      </c>
      <c r="B163" s="4">
        <f>'202512'!B175+'202601'!B175</f>
        <v>5764</v>
      </c>
    </row>
    <row r="164">
      <c r="A164" s="3" t="s">
        <v>100</v>
      </c>
      <c r="B164" s="4">
        <f>'202512'!B176+'202601'!B176</f>
        <v>26173</v>
      </c>
    </row>
    <row r="165">
      <c r="A165" s="3" t="s">
        <v>101</v>
      </c>
      <c r="B165" s="7">
        <f>'202512'!B177+'202601'!B177</f>
        <v>0</v>
      </c>
    </row>
    <row r="166">
      <c r="A166" s="3" t="s">
        <v>102</v>
      </c>
      <c r="B166" s="7">
        <f>'202512'!B178+'202601'!B178</f>
        <v>0</v>
      </c>
    </row>
    <row r="167">
      <c r="A167" s="3" t="s">
        <v>103</v>
      </c>
      <c r="B167" s="4">
        <f>'202512'!B179+'202601'!B179</f>
        <v>0</v>
      </c>
    </row>
    <row r="168">
      <c r="A168" s="3" t="s">
        <v>104</v>
      </c>
      <c r="B168" s="4">
        <f>'202512'!B180+'202601'!B180</f>
        <v>0</v>
      </c>
    </row>
    <row r="169">
      <c r="A169" s="3" t="s">
        <v>105</v>
      </c>
      <c r="B169" s="4">
        <f>'202512'!B181+'202601'!B181</f>
        <v>5764</v>
      </c>
    </row>
    <row r="170">
      <c r="A170" s="3" t="s">
        <v>106</v>
      </c>
      <c r="B170" s="7">
        <f>'202512'!B182+'202601'!B182</f>
        <v>1253554828</v>
      </c>
    </row>
    <row r="171">
      <c r="A171" s="3" t="s">
        <v>107</v>
      </c>
      <c r="B171" s="7">
        <f>'202512'!B183+'202601'!B183</f>
        <v>1221271228</v>
      </c>
    </row>
    <row r="172">
      <c r="A172" s="3" t="s">
        <v>40</v>
      </c>
      <c r="B172" s="5">
        <f>'202512'!B184+'202601'!B184</f>
        <v>1.953286316</v>
      </c>
    </row>
    <row r="173">
      <c r="A173" s="3" t="s">
        <v>43</v>
      </c>
      <c r="B173" s="7">
        <f>'202512'!B185+'202601'!B185</f>
        <v>32283599.94</v>
      </c>
    </row>
    <row r="174">
      <c r="A174" s="3" t="s">
        <v>114</v>
      </c>
      <c r="B174" s="7">
        <f>'202512'!B186+'202601'!B186</f>
        <v>0</v>
      </c>
    </row>
    <row r="175">
      <c r="A175" s="3" t="s">
        <v>62</v>
      </c>
      <c r="B175" s="7">
        <f>'202512'!B187+'202601'!B187</f>
        <v>32283599.94</v>
      </c>
    </row>
    <row r="176">
      <c r="A176" s="3" t="s">
        <v>64</v>
      </c>
      <c r="B176" s="4"/>
    </row>
    <row r="177">
      <c r="A177" s="3" t="s">
        <v>75</v>
      </c>
      <c r="B177" s="4"/>
    </row>
    <row r="178">
      <c r="A178" s="9" t="s">
        <v>115</v>
      </c>
      <c r="B178" s="10"/>
    </row>
    <row r="179">
      <c r="A179" s="3" t="s">
        <v>116</v>
      </c>
      <c r="B179" s="7">
        <f>'202512'!B193+'202601'!B193</f>
        <v>196091868</v>
      </c>
      <c r="C179" s="4">
        <f>'202512'!C193+'202601'!C193</f>
        <v>10966</v>
      </c>
      <c r="D179" s="7">
        <f>'202512'!D193+'202601'!D193</f>
        <v>35847.98087</v>
      </c>
      <c r="E179" s="7">
        <f>'202512'!E193+'202601'!E193</f>
        <v>62527</v>
      </c>
      <c r="F179" s="5">
        <f>'202512'!F193+'202601'!F193</f>
        <v>2</v>
      </c>
      <c r="G179" s="4">
        <f>'202512'!G193+'202601'!G193</f>
        <v>2457</v>
      </c>
      <c r="H179" s="7">
        <f>'202512'!H193+'202601'!H193</f>
        <v>156778.5052</v>
      </c>
      <c r="I179" s="5">
        <f>'202512'!I193+'202601'!I193</f>
        <v>2</v>
      </c>
      <c r="J179" s="16"/>
    </row>
    <row r="180">
      <c r="A180" s="3" t="s">
        <v>117</v>
      </c>
      <c r="B180" s="7">
        <f>'202512'!B194+'202601'!B194</f>
        <v>43443100</v>
      </c>
      <c r="C180" s="4">
        <f>'202512'!C194+'202601'!C194</f>
        <v>369</v>
      </c>
      <c r="D180" s="7">
        <f>'202512'!D194+'202601'!D194</f>
        <v>230913.4146</v>
      </c>
      <c r="E180" s="7">
        <f>'202512'!E194+'202601'!E194</f>
        <v>170000</v>
      </c>
      <c r="F180" s="5">
        <f>'202512'!F194+'202601'!F194</f>
        <v>0.4490191423</v>
      </c>
      <c r="G180" s="4">
        <f>'202512'!G194+'202601'!G194</f>
        <v>75</v>
      </c>
      <c r="H180" s="7">
        <f>'202512'!H194+'202601'!H194</f>
        <v>1180394</v>
      </c>
      <c r="I180" s="5">
        <f>'202512'!I194+'202601'!I194</f>
        <v>0.0597478259</v>
      </c>
      <c r="J180" s="16"/>
    </row>
    <row r="181">
      <c r="A181" s="3" t="s">
        <v>118</v>
      </c>
      <c r="B181" s="7">
        <f>'202512'!B195+'202601'!B195</f>
        <v>16778933</v>
      </c>
      <c r="C181" s="4">
        <f>'202512'!C195+'202601'!C195</f>
        <v>920</v>
      </c>
      <c r="D181" s="7">
        <f>'202512'!D195+'202601'!D195</f>
        <v>34320.46795</v>
      </c>
      <c r="E181" s="7">
        <f>'202512'!E195+'202601'!E195</f>
        <v>21985</v>
      </c>
      <c r="F181" s="5">
        <f>'202512'!F195+'202601'!F195</f>
        <v>0.1867755504</v>
      </c>
      <c r="G181" s="4">
        <f>'202512'!G195+'202601'!G195</f>
        <v>487</v>
      </c>
      <c r="H181" s="7">
        <f>'202512'!H195+'202601'!H195</f>
        <v>76821.32269</v>
      </c>
      <c r="I181" s="5">
        <f>'202512'!I195+'202601'!I195</f>
        <v>0.3860368693</v>
      </c>
      <c r="J181" s="16"/>
    </row>
    <row r="182">
      <c r="A182" s="3" t="s">
        <v>119</v>
      </c>
      <c r="B182" s="7">
        <f>'202512'!B196+'202601'!B196</f>
        <v>25161576</v>
      </c>
      <c r="C182" s="4">
        <f>'202512'!C196+'202601'!C196</f>
        <v>1300</v>
      </c>
      <c r="D182" s="7">
        <f>'202512'!D196+'202601'!D196</f>
        <v>36819.24085</v>
      </c>
      <c r="E182" s="7">
        <f>'202512'!E196+'202601'!E196</f>
        <v>32250</v>
      </c>
      <c r="F182" s="5">
        <f>'202512'!F196+'202601'!F196</f>
        <v>0.2579344472</v>
      </c>
      <c r="G182" s="4">
        <f>'202512'!G196+'202601'!G196</f>
        <v>291</v>
      </c>
      <c r="H182" s="7">
        <f>'202512'!H196+'202601'!H196</f>
        <v>170200.4194</v>
      </c>
      <c r="I182" s="5">
        <f>'202512'!I196+'202601'!I196</f>
        <v>0.2491526865</v>
      </c>
      <c r="J182" s="16"/>
    </row>
    <row r="183">
      <c r="A183" s="3" t="s">
        <v>120</v>
      </c>
      <c r="B183" s="7">
        <f>'202512'!B197+'202601'!B197</f>
        <v>8743000</v>
      </c>
      <c r="C183" s="4">
        <f>'202512'!C197+'202601'!C197</f>
        <v>166</v>
      </c>
      <c r="D183" s="7">
        <f>'202512'!D197+'202601'!D197</f>
        <v>89769.65812</v>
      </c>
      <c r="E183" s="7">
        <f>'202512'!E197+'202601'!E197</f>
        <v>70000</v>
      </c>
      <c r="F183" s="5">
        <f>'202512'!F197+'202601'!F197</f>
        <v>0.07569951518</v>
      </c>
      <c r="G183" s="4">
        <f>'202512'!G197+'202601'!G197</f>
        <v>45</v>
      </c>
      <c r="H183" s="15">
        <f>'202512'!H197+'202601'!H197</f>
        <v>328799.6667</v>
      </c>
      <c r="I183" s="5">
        <f>'202512'!I197+'202601'!I197</f>
        <v>0.03584869554</v>
      </c>
      <c r="J183" s="16"/>
    </row>
    <row r="184">
      <c r="A184" s="3" t="s">
        <v>121</v>
      </c>
      <c r="B184" s="7">
        <f>'202512'!B198+'202601'!B198</f>
        <v>101965259</v>
      </c>
      <c r="C184" s="4">
        <f>'202512'!C198+'202601'!C198</f>
        <v>8211</v>
      </c>
      <c r="D184" s="7">
        <f>'202512'!D198+'202601'!D198</f>
        <v>22340.46729</v>
      </c>
      <c r="E184" s="7">
        <f>'202512'!E198+'202601'!E198</f>
        <v>18400</v>
      </c>
      <c r="F184" s="5">
        <f>'202512'!F198+'202601'!F198</f>
        <v>1.030571345</v>
      </c>
      <c r="G184" s="4">
        <f>'202512'!G198+'202601'!G198</f>
        <v>1559</v>
      </c>
      <c r="H184" s="15">
        <f>'202512'!H198+'202601'!H198</f>
        <v>127564.9366</v>
      </c>
      <c r="I184" s="5">
        <f>'202512'!I198+'202601'!I198</f>
        <v>1.269213923</v>
      </c>
      <c r="J184" s="16"/>
    </row>
    <row r="185">
      <c r="A185" s="9" t="s">
        <v>122</v>
      </c>
      <c r="B185" s="10"/>
    </row>
    <row r="186">
      <c r="A186" s="3" t="s">
        <v>116</v>
      </c>
      <c r="B186" s="7">
        <f>'202512'!B201+'202601'!B201</f>
        <v>142781785</v>
      </c>
      <c r="C186" s="4">
        <f>'202512'!C201+'202601'!C201</f>
        <v>2239</v>
      </c>
      <c r="D186" s="7">
        <f>'202512'!D201+'202601'!D201</f>
        <v>132412.6414</v>
      </c>
      <c r="E186" s="7">
        <f>'202512'!E201+'202601'!E201</f>
        <v>66698</v>
      </c>
      <c r="F186" s="5">
        <f>'202512'!F201+'202601'!F201</f>
        <v>2</v>
      </c>
      <c r="G186" s="4">
        <f>'202512'!G201+'202601'!G201</f>
        <v>1098</v>
      </c>
      <c r="H186" s="7">
        <f>'202512'!H201+'202601'!H201</f>
        <v>260733.42</v>
      </c>
      <c r="I186" s="5">
        <f>'202512'!I201+'202601'!I201</f>
        <v>2</v>
      </c>
    </row>
    <row r="187">
      <c r="A187" s="3" t="s">
        <v>117</v>
      </c>
      <c r="B187" s="7">
        <f>'202512'!B202+'202601'!B202</f>
        <v>51682392</v>
      </c>
      <c r="C187" s="4">
        <f>'202512'!C202+'202601'!C202</f>
        <v>505</v>
      </c>
      <c r="D187" s="7">
        <f>'202512'!D202+'202601'!D202</f>
        <v>214078.8688</v>
      </c>
      <c r="E187" s="7">
        <f>'202512'!E202+'202601'!E202</f>
        <v>111221</v>
      </c>
      <c r="F187" s="5">
        <f>'202512'!F202+'202601'!F202</f>
        <v>0.6595614563</v>
      </c>
      <c r="G187" s="4">
        <f>'202512'!G202+'202601'!G202</f>
        <v>209</v>
      </c>
      <c r="H187" s="7">
        <f>'202512'!H202+'202601'!H202</f>
        <v>550895.5718</v>
      </c>
      <c r="I187" s="5">
        <f>'202512'!I202+'202601'!I202</f>
        <v>0.33346486</v>
      </c>
    </row>
    <row r="188">
      <c r="A188" s="3" t="s">
        <v>118</v>
      </c>
      <c r="B188" s="7">
        <f>'202512'!B203+'202601'!B203</f>
        <v>39154455</v>
      </c>
      <c r="C188" s="4">
        <f>'202512'!C203+'202601'!C203</f>
        <v>677</v>
      </c>
      <c r="D188" s="7">
        <f>'202512'!D203+'202601'!D203</f>
        <v>136607.5048</v>
      </c>
      <c r="E188" s="7">
        <f>'202512'!E203+'202601'!E203</f>
        <v>42491</v>
      </c>
      <c r="F188" s="5">
        <f>'202512'!F203+'202601'!F203</f>
        <v>0.5246330103</v>
      </c>
      <c r="G188" s="4">
        <f>'202512'!G203+'202601'!G203</f>
        <v>380</v>
      </c>
      <c r="H188" s="7">
        <f>'202512'!H203+'202601'!H203</f>
        <v>221699.9847</v>
      </c>
      <c r="I188" s="5">
        <f>'202512'!I203+'202601'!I203</f>
        <v>0.6377829065</v>
      </c>
    </row>
    <row r="189">
      <c r="A189" s="3" t="s">
        <v>119</v>
      </c>
      <c r="B189" s="7">
        <f>'202512'!B204+'202601'!B204</f>
        <v>41559158</v>
      </c>
      <c r="C189" s="4">
        <f>'202512'!C204+'202601'!C204</f>
        <v>606</v>
      </c>
      <c r="D189" s="7">
        <f>'202512'!D204+'202601'!D204</f>
        <v>167565.6245</v>
      </c>
      <c r="E189" s="7">
        <f>'202512'!E204+'202601'!E204</f>
        <v>80000</v>
      </c>
      <c r="F189" s="5">
        <f>'202512'!F204+'202601'!F204</f>
        <v>0.6305497057</v>
      </c>
      <c r="G189" s="4">
        <f>'202512'!G204+'202601'!G204</f>
        <v>251</v>
      </c>
      <c r="H189" s="7">
        <f>'202512'!H204+'202601'!H204</f>
        <v>360599.0479</v>
      </c>
      <c r="I189" s="5">
        <f>'202512'!I204+'202601'!I204</f>
        <v>0.4570279929</v>
      </c>
    </row>
    <row r="190">
      <c r="A190" s="3" t="s">
        <v>121</v>
      </c>
      <c r="B190" s="7">
        <f>'202512'!B205+'202601'!B205</f>
        <v>10385780</v>
      </c>
      <c r="C190" s="4">
        <f>'202512'!C205+'202601'!C205</f>
        <v>451</v>
      </c>
      <c r="D190" s="7">
        <f>'202512'!D205+'202601'!D205</f>
        <v>43776.14077</v>
      </c>
      <c r="E190" s="7">
        <f>'202512'!E205+'202601'!E205</f>
        <v>33080</v>
      </c>
      <c r="F190" s="5">
        <f>'202512'!F205+'202601'!F205</f>
        <v>0.1852558277</v>
      </c>
      <c r="G190" s="4">
        <f>'202512'!G205+'202601'!G205</f>
        <v>258</v>
      </c>
      <c r="H190" s="15">
        <f>'202512'!H205+'202601'!H205</f>
        <v>76646.51042</v>
      </c>
      <c r="I190" s="5">
        <f>'202512'!I205+'202601'!I205</f>
        <v>0.5717242406</v>
      </c>
    </row>
    <row r="191">
      <c r="A191" s="9" t="s">
        <v>123</v>
      </c>
      <c r="B191" s="10"/>
    </row>
    <row r="192">
      <c r="A192" s="3" t="s">
        <v>2</v>
      </c>
      <c r="B192" s="4">
        <f>'202512'!B208+'202601'!B208</f>
        <v>430</v>
      </c>
    </row>
    <row r="193">
      <c r="A193" s="3" t="s">
        <v>124</v>
      </c>
      <c r="B193" s="4">
        <f>'202512'!B209+'202601'!B209</f>
        <v>119</v>
      </c>
    </row>
    <row r="194">
      <c r="A194" s="3" t="s">
        <v>125</v>
      </c>
      <c r="B194" s="15">
        <f>'202512'!B210+'202601'!B210</f>
        <v>12444142</v>
      </c>
    </row>
    <row r="195">
      <c r="A195" s="3" t="s">
        <v>126</v>
      </c>
      <c r="B195" s="15">
        <f>'202512'!B211+'202601'!B211</f>
        <v>8758865</v>
      </c>
    </row>
    <row r="196">
      <c r="A196" s="3" t="s">
        <v>127</v>
      </c>
      <c r="B196" s="15">
        <f>'202512'!B212+'202601'!B212</f>
        <v>142549913</v>
      </c>
      <c r="C196" s="16"/>
      <c r="D196" s="16"/>
      <c r="E196" s="16"/>
      <c r="F196" s="16"/>
      <c r="G196" s="16"/>
      <c r="H196" s="16"/>
      <c r="I196" s="16"/>
    </row>
    <row r="197">
      <c r="A197" s="3" t="s">
        <v>43</v>
      </c>
      <c r="B197" s="15">
        <f>'202512'!B213+'202601'!B213</f>
        <v>471293</v>
      </c>
      <c r="C197" s="16"/>
      <c r="D197" s="16"/>
      <c r="E197" s="16"/>
      <c r="F197" s="16"/>
      <c r="G197" s="16"/>
      <c r="H197" s="16"/>
      <c r="I197" s="16"/>
    </row>
    <row r="198">
      <c r="A198" s="3" t="s">
        <v>46</v>
      </c>
      <c r="B198" s="15">
        <f>'202512'!B214+'202601'!B214</f>
        <v>3685277</v>
      </c>
    </row>
    <row r="199">
      <c r="A199" s="17" t="s">
        <v>128</v>
      </c>
      <c r="B199" s="18" t="s">
        <v>129</v>
      </c>
      <c r="C199" s="18" t="s">
        <v>125</v>
      </c>
      <c r="D199" s="18" t="s">
        <v>130</v>
      </c>
      <c r="E199" s="18" t="s">
        <v>131</v>
      </c>
      <c r="F199" s="18" t="s">
        <v>132</v>
      </c>
      <c r="G199" s="18" t="s">
        <v>126</v>
      </c>
      <c r="H199" s="18" t="s">
        <v>133</v>
      </c>
      <c r="I199" s="18" t="s">
        <v>131</v>
      </c>
      <c r="J199" s="19"/>
    </row>
    <row r="200">
      <c r="B200" s="4">
        <f>'202512'!B218+'202601'!B218</f>
        <v>330</v>
      </c>
      <c r="C200" s="20">
        <f>'202512'!C218+'202601'!C218</f>
        <v>11788266</v>
      </c>
      <c r="D200" s="20">
        <f>'202512'!D218+'202601'!D218</f>
        <v>56398.70604</v>
      </c>
      <c r="E200" s="21">
        <f>'202512'!E218+'202601'!E218</f>
        <v>0.533</v>
      </c>
      <c r="F200" s="22">
        <f>'202512'!F218+'202601'!F218</f>
        <v>475</v>
      </c>
      <c r="G200" s="20">
        <f>'202512'!G218+'202601'!G218</f>
        <v>19458764</v>
      </c>
      <c r="H200" s="20">
        <f>'202512'!H218+'202601'!H218</f>
        <v>34313.31514</v>
      </c>
      <c r="I200" s="21">
        <f>'202512'!I218+'202601'!I218</f>
        <v>1.063</v>
      </c>
    </row>
    <row r="201">
      <c r="A201" s="3" t="s">
        <v>134</v>
      </c>
      <c r="B201" s="4">
        <f>'202512'!B219+'202601'!B219</f>
        <v>430</v>
      </c>
      <c r="C201" s="7">
        <f>'202512'!C219+'202601'!C219</f>
        <v>7009565</v>
      </c>
      <c r="D201" s="7">
        <f>'202512'!D219+'202601'!D219</f>
        <v>30895.70257</v>
      </c>
      <c r="E201" s="5">
        <f>'202512'!E219+'202601'!E219</f>
        <v>0.483</v>
      </c>
      <c r="F201" s="4">
        <f>'202512'!F219+'202601'!F219</f>
        <v>516</v>
      </c>
      <c r="G201" s="7">
        <f>'202512'!G219+'202601'!G219</f>
        <v>32563570</v>
      </c>
      <c r="H201" s="7">
        <f>'202512'!H219+'202601'!H219</f>
        <v>125786.8695</v>
      </c>
      <c r="I201" s="5">
        <f>'202512'!I219+'202601'!I219</f>
        <v>1.411</v>
      </c>
    </row>
    <row r="202">
      <c r="A202" s="3" t="s">
        <v>135</v>
      </c>
      <c r="B202" s="4">
        <f>'202512'!B220+'202601'!B220</f>
        <v>317</v>
      </c>
      <c r="C202" s="7">
        <f>'202512'!C220+'202601'!C220</f>
        <v>6271369</v>
      </c>
      <c r="D202" s="7">
        <f>'202512'!D220+'202601'!D220</f>
        <v>39437.57756</v>
      </c>
      <c r="E202" s="5">
        <f>'202512'!E220+'202601'!E220</f>
        <v>0.451</v>
      </c>
      <c r="F202" s="4">
        <f>'202512'!F220+'202601'!F220</f>
        <v>167</v>
      </c>
      <c r="G202" s="7">
        <f>'202512'!G220+'202601'!G220</f>
        <v>3367807</v>
      </c>
      <c r="H202" s="7">
        <f>'202512'!H220+'202601'!H220</f>
        <v>20166.50898</v>
      </c>
      <c r="I202" s="5">
        <f>'202512'!I220+'202601'!I220</f>
        <v>0.112</v>
      </c>
    </row>
    <row r="203">
      <c r="A203" s="3" t="s">
        <v>136</v>
      </c>
      <c r="B203" s="4">
        <f>'202512'!B221+'202601'!B221</f>
        <v>175</v>
      </c>
      <c r="C203" s="7">
        <f>'202512'!C221+'202601'!C221</f>
        <v>3463407</v>
      </c>
      <c r="D203" s="7">
        <f>'202512'!D221+'202601'!D221</f>
        <v>31595.66313</v>
      </c>
      <c r="E203" s="5">
        <f>'202512'!E221+'202601'!E221</f>
        <v>0.16</v>
      </c>
      <c r="F203" s="4">
        <f>'202512'!F221+'202601'!F221</f>
        <v>143</v>
      </c>
      <c r="G203" s="7">
        <f>'202512'!G221+'202601'!G221</f>
        <v>3509264</v>
      </c>
      <c r="H203" s="7">
        <f>'202512'!H221+'202601'!H221</f>
        <v>50944.87586</v>
      </c>
      <c r="I203" s="5">
        <f>'202512'!I221+'202601'!I221</f>
        <v>0.159</v>
      </c>
    </row>
    <row r="204">
      <c r="A204" s="3" t="s">
        <v>137</v>
      </c>
      <c r="B204" s="4">
        <f>'202512'!B222+'202601'!B222</f>
        <v>67</v>
      </c>
      <c r="C204" s="7">
        <f>'202512'!C222+'202601'!C222</f>
        <v>3023747</v>
      </c>
      <c r="D204" s="7">
        <f>'202512'!D222+'202601'!D222</f>
        <v>63175.95</v>
      </c>
      <c r="E204" s="5">
        <f>'202512'!E222+'202601'!E222</f>
        <v>0.115</v>
      </c>
      <c r="F204" s="4">
        <f>'202512'!F222+'202601'!F222</f>
        <v>44</v>
      </c>
      <c r="G204" s="7">
        <f>'202512'!G222+'202601'!G222</f>
        <v>1990132</v>
      </c>
      <c r="H204" s="7">
        <f>'202512'!H222+'202601'!H222</f>
        <v>45230.27273</v>
      </c>
      <c r="I204" s="5">
        <f>'202512'!I222+'202601'!I222</f>
        <v>0.066</v>
      </c>
    </row>
    <row r="205">
      <c r="A205" s="3" t="s">
        <v>138</v>
      </c>
      <c r="B205" s="4">
        <f>'202512'!B223+'202601'!B223</f>
        <v>96</v>
      </c>
      <c r="C205" s="7">
        <f>'202512'!C223+'202601'!C223</f>
        <v>2377095</v>
      </c>
      <c r="D205" s="7">
        <f>'202512'!D223+'202601'!D223</f>
        <v>44553.54167</v>
      </c>
      <c r="E205" s="5">
        <f>'202512'!E223+'202601'!E223</f>
        <v>0.137</v>
      </c>
      <c r="F205" s="4">
        <f>'202512'!F223+'202601'!F223</f>
        <v>93</v>
      </c>
      <c r="G205" s="7">
        <f>'202512'!G223+'202601'!G223</f>
        <v>3491036</v>
      </c>
      <c r="H205" s="7">
        <f>'202512'!H223+'202601'!H223</f>
        <v>74764.66947</v>
      </c>
      <c r="I205" s="5">
        <f>'202512'!I223+'202601'!I223</f>
        <v>0.163</v>
      </c>
    </row>
    <row r="206">
      <c r="A206" s="3" t="s">
        <v>139</v>
      </c>
      <c r="B206" s="4">
        <f>'202512'!B224+'202601'!B224</f>
        <v>44</v>
      </c>
      <c r="C206" s="7">
        <f>'202512'!C224+'202601'!C224</f>
        <v>636370</v>
      </c>
      <c r="D206" s="7">
        <f>'202512'!D224+'202601'!D224</f>
        <v>22576.42857</v>
      </c>
      <c r="E206" s="5">
        <f>'202512'!E224+'202601'!E224</f>
        <v>0.031</v>
      </c>
      <c r="F206" s="4">
        <f>'202512'!F224+'202601'!F224</f>
        <v>5</v>
      </c>
      <c r="G206" s="7">
        <f>'202512'!G224+'202601'!G224</f>
        <v>64370</v>
      </c>
      <c r="H206" s="7">
        <f>'202512'!H224+'202601'!H224</f>
        <v>12874</v>
      </c>
      <c r="I206" s="5">
        <f>'202512'!I224+'202601'!I224</f>
        <v>0.002</v>
      </c>
    </row>
    <row r="207">
      <c r="A207" s="3" t="s">
        <v>140</v>
      </c>
      <c r="B207" s="4">
        <f>'202512'!B225+'202601'!B225</f>
        <v>24</v>
      </c>
      <c r="C207" s="6">
        <f>'202512'!C225+'202601'!C225</f>
        <v>139614</v>
      </c>
      <c r="D207" s="7">
        <f>'202512'!D225+'202601'!D225</f>
        <v>5817.25</v>
      </c>
      <c r="E207" s="5">
        <f>'202512'!E225+'202601'!E225</f>
        <v>0.025</v>
      </c>
      <c r="F207" s="4">
        <f>'202512'!F225+'202601'!F225</f>
        <v>0</v>
      </c>
      <c r="G207" s="4">
        <f>'202512'!G225+'202601'!G225</f>
        <v>0</v>
      </c>
      <c r="H207" s="7">
        <f>'202512'!H225+'202601'!H225</f>
        <v>0</v>
      </c>
      <c r="I207" s="5">
        <f>'202512'!I225+'202601'!I225</f>
        <v>0</v>
      </c>
    </row>
    <row r="208">
      <c r="A208" s="23"/>
    </row>
    <row r="209">
      <c r="A209" s="24" t="s">
        <v>141</v>
      </c>
      <c r="B209" s="24" t="s">
        <v>142</v>
      </c>
      <c r="C209" s="24" t="s">
        <v>143</v>
      </c>
      <c r="D209" s="24" t="s">
        <v>144</v>
      </c>
      <c r="E209" s="25" t="s">
        <v>145</v>
      </c>
      <c r="F209" s="26" t="s">
        <v>40</v>
      </c>
    </row>
    <row r="210">
      <c r="A210" s="27" t="s">
        <v>146</v>
      </c>
      <c r="B210" s="28">
        <f>'202512'!B228+'202601'!B228</f>
        <v>2309</v>
      </c>
      <c r="C210" s="29">
        <f>'202512'!C228+'202601'!C228</f>
        <v>1523151222</v>
      </c>
      <c r="D210" s="29">
        <f>'202512'!D228+'202601'!D228</f>
        <v>1492794529</v>
      </c>
      <c r="E210" s="29">
        <f>'202512'!E228+'202601'!E228</f>
        <v>30356692.72</v>
      </c>
      <c r="F210" s="30">
        <f t="shared" ref="F210:F241" si="1">D210/C210</f>
        <v>0.9800698104</v>
      </c>
    </row>
    <row r="211">
      <c r="A211" s="27" t="s">
        <v>147</v>
      </c>
      <c r="B211" s="28">
        <f>'202512'!B229+'202601'!B229</f>
        <v>3968</v>
      </c>
      <c r="C211" s="29">
        <f>'202512'!C229+'202601'!C229</f>
        <v>682803063.3</v>
      </c>
      <c r="D211" s="29">
        <f>'202512'!D229+'202601'!D229</f>
        <v>651763235.6</v>
      </c>
      <c r="E211" s="29">
        <f>'202512'!E229+'202601'!E229</f>
        <v>31039827.73</v>
      </c>
      <c r="F211" s="30">
        <f t="shared" si="1"/>
        <v>0.9545405851</v>
      </c>
    </row>
    <row r="212">
      <c r="A212" s="27" t="s">
        <v>148</v>
      </c>
      <c r="B212" s="28">
        <f>'202512'!B230+'202601'!B230</f>
        <v>1466</v>
      </c>
      <c r="C212" s="29">
        <f>'202512'!C230+'202601'!C230</f>
        <v>403633936.5</v>
      </c>
      <c r="D212" s="29">
        <f>'202512'!D230+'202601'!D230</f>
        <v>386019552.9</v>
      </c>
      <c r="E212" s="29">
        <f>'202512'!E230+'202601'!E230</f>
        <v>17614384.53</v>
      </c>
      <c r="F212" s="30">
        <f t="shared" si="1"/>
        <v>0.9563604991</v>
      </c>
    </row>
    <row r="213">
      <c r="A213" s="27" t="s">
        <v>149</v>
      </c>
      <c r="B213" s="28">
        <f>'202512'!B231+'202601'!B231</f>
        <v>2129</v>
      </c>
      <c r="C213" s="29">
        <f>'202512'!C231+'202601'!C231</f>
        <v>169105618</v>
      </c>
      <c r="D213" s="29">
        <f>'202512'!D231+'202601'!D231</f>
        <v>164243522.5</v>
      </c>
      <c r="E213" s="29">
        <f>'202512'!E231+'202601'!E231</f>
        <v>4862094.52</v>
      </c>
      <c r="F213" s="30">
        <f t="shared" si="1"/>
        <v>0.9712481727</v>
      </c>
    </row>
    <row r="214">
      <c r="A214" s="27" t="s">
        <v>150</v>
      </c>
      <c r="B214" s="28">
        <f>'202512'!B232+'202601'!B232</f>
        <v>360</v>
      </c>
      <c r="C214" s="29">
        <f>'202512'!C232+'202601'!C232</f>
        <v>74791470</v>
      </c>
      <c r="D214" s="29">
        <f>'202512'!D232+'202601'!D232</f>
        <v>66163384</v>
      </c>
      <c r="E214" s="29">
        <f>'202512'!E232+'202601'!E232</f>
        <v>8628086</v>
      </c>
      <c r="F214" s="30">
        <f t="shared" si="1"/>
        <v>0.8846381011</v>
      </c>
    </row>
    <row r="215">
      <c r="A215" s="27" t="s">
        <v>151</v>
      </c>
      <c r="B215" s="24" t="str">
        <f>'202512'!B233+#REF!</f>
        <v>#REF!</v>
      </c>
      <c r="C215" s="29" t="str">
        <f>'202512'!C233+#REF!</f>
        <v>#REF!</v>
      </c>
      <c r="D215" s="29" t="str">
        <f>'202512'!D233+#REF!</f>
        <v>#REF!</v>
      </c>
      <c r="E215" s="29">
        <f>'202512'!E233+'202601'!E233</f>
        <v>4065223.2</v>
      </c>
      <c r="F215" s="30" t="str">
        <f t="shared" si="1"/>
        <v>#REF!</v>
      </c>
    </row>
    <row r="216">
      <c r="A216" s="27" t="s">
        <v>152</v>
      </c>
      <c r="B216" s="24" t="str">
        <f>'202512'!B234+#REF!</f>
        <v>#REF!</v>
      </c>
      <c r="C216" s="29" t="str">
        <f>'202512'!C234+#REF!</f>
        <v>#REF!</v>
      </c>
      <c r="D216" s="29" t="str">
        <f>'202512'!D234+#REF!</f>
        <v>#REF!</v>
      </c>
      <c r="E216" s="29">
        <f>'202512'!E234+'202601'!E234</f>
        <v>1114884</v>
      </c>
      <c r="F216" s="30" t="str">
        <f t="shared" si="1"/>
        <v>#REF!</v>
      </c>
    </row>
    <row r="217">
      <c r="A217" s="27" t="s">
        <v>153</v>
      </c>
      <c r="B217" s="24" t="str">
        <f>'202512'!B235+#REF!</f>
        <v>#REF!</v>
      </c>
      <c r="C217" s="29" t="str">
        <f>'202512'!C235+#REF!</f>
        <v>#REF!</v>
      </c>
      <c r="D217" s="29" t="str">
        <f>'202512'!D235+#REF!</f>
        <v>#REF!</v>
      </c>
      <c r="E217" s="29">
        <f>'202512'!E235+'202601'!E235</f>
        <v>-390088</v>
      </c>
      <c r="F217" s="30" t="str">
        <f t="shared" si="1"/>
        <v>#REF!</v>
      </c>
    </row>
    <row r="218">
      <c r="A218" s="27" t="s">
        <v>154</v>
      </c>
      <c r="B218" s="24" t="str">
        <f>'202512'!B236+#REF!</f>
        <v>#REF!</v>
      </c>
      <c r="C218" s="29" t="str">
        <f>'202512'!C236+#REF!</f>
        <v>#REF!</v>
      </c>
      <c r="D218" s="29" t="str">
        <f>'202512'!D236+#REF!</f>
        <v>#REF!</v>
      </c>
      <c r="E218" s="29">
        <f>'202512'!E236+'202601'!E236</f>
        <v>604537</v>
      </c>
      <c r="F218" s="30" t="str">
        <f t="shared" si="1"/>
        <v>#REF!</v>
      </c>
    </row>
    <row r="219">
      <c r="A219" s="27" t="s">
        <v>155</v>
      </c>
      <c r="B219" s="24" t="str">
        <f>'202512'!B237+#REF!</f>
        <v>#REF!</v>
      </c>
      <c r="C219" s="29" t="str">
        <f>'202512'!C237+#REF!</f>
        <v>#REF!</v>
      </c>
      <c r="D219" s="29" t="str">
        <f>'202512'!D237+#REF!</f>
        <v>#REF!</v>
      </c>
      <c r="E219" s="29">
        <f>'202512'!E237+'202601'!E237</f>
        <v>-406597</v>
      </c>
      <c r="F219" s="30" t="str">
        <f t="shared" si="1"/>
        <v>#REF!</v>
      </c>
    </row>
    <row r="220">
      <c r="A220" s="27" t="s">
        <v>156</v>
      </c>
      <c r="B220" s="24" t="str">
        <f>'202512'!B238+#REF!</f>
        <v>#REF!</v>
      </c>
      <c r="C220" s="29" t="str">
        <f>'202512'!C238+#REF!</f>
        <v>#REF!</v>
      </c>
      <c r="D220" s="29" t="str">
        <f>'202512'!D238+#REF!</f>
        <v>#REF!</v>
      </c>
      <c r="E220" s="29">
        <f>'202512'!E238+'202601'!E238</f>
        <v>903410.97</v>
      </c>
      <c r="F220" s="30" t="str">
        <f t="shared" si="1"/>
        <v>#REF!</v>
      </c>
    </row>
    <row r="221">
      <c r="A221" s="27" t="s">
        <v>157</v>
      </c>
      <c r="B221" s="24" t="str">
        <f>'202512'!B239+#REF!</f>
        <v>#REF!</v>
      </c>
      <c r="C221" s="29" t="str">
        <f>'202512'!C239+#REF!</f>
        <v>#REF!</v>
      </c>
      <c r="D221" s="29" t="str">
        <f>'202512'!D239+#REF!</f>
        <v>#REF!</v>
      </c>
      <c r="E221" s="29">
        <f>'202512'!E239+'202601'!E239</f>
        <v>1430265.8</v>
      </c>
      <c r="F221" s="30" t="str">
        <f t="shared" si="1"/>
        <v>#REF!</v>
      </c>
    </row>
    <row r="222">
      <c r="A222" s="27" t="s">
        <v>158</v>
      </c>
      <c r="B222" s="24" t="str">
        <f>'202512'!B240+#REF!</f>
        <v>#REF!</v>
      </c>
      <c r="C222" s="29" t="str">
        <f>'202512'!C240+#REF!</f>
        <v>#REF!</v>
      </c>
      <c r="D222" s="29" t="str">
        <f>'202512'!D240+#REF!</f>
        <v>#REF!</v>
      </c>
      <c r="E222" s="29">
        <f>'202512'!E240+'202601'!E240</f>
        <v>653764.4</v>
      </c>
      <c r="F222" s="30" t="str">
        <f t="shared" si="1"/>
        <v>#REF!</v>
      </c>
    </row>
    <row r="223">
      <c r="A223" s="27" t="s">
        <v>159</v>
      </c>
      <c r="B223" s="24" t="str">
        <f>'202512'!B241+#REF!</f>
        <v>#REF!</v>
      </c>
      <c r="C223" s="29" t="str">
        <f>'202512'!C241+#REF!</f>
        <v>#REF!</v>
      </c>
      <c r="D223" s="29" t="str">
        <f>'202512'!D241+#REF!</f>
        <v>#REF!</v>
      </c>
      <c r="E223" s="29">
        <f>'202512'!E241+'202601'!E241</f>
        <v>2827680</v>
      </c>
      <c r="F223" s="30" t="str">
        <f t="shared" si="1"/>
        <v>#REF!</v>
      </c>
    </row>
    <row r="224">
      <c r="A224" s="27" t="s">
        <v>160</v>
      </c>
      <c r="B224" s="24" t="str">
        <f>'202512'!B242+#REF!</f>
        <v>#REF!</v>
      </c>
      <c r="C224" s="29" t="str">
        <f>'202512'!C242+#REF!</f>
        <v>#REF!</v>
      </c>
      <c r="D224" s="29" t="str">
        <f>'202512'!D242+#REF!</f>
        <v>#REF!</v>
      </c>
      <c r="E224" s="29">
        <f>'202512'!E242+'202601'!E242</f>
        <v>615068.78</v>
      </c>
      <c r="F224" s="30" t="str">
        <f t="shared" si="1"/>
        <v>#REF!</v>
      </c>
    </row>
    <row r="225">
      <c r="A225" s="27" t="s">
        <v>161</v>
      </c>
      <c r="B225" s="24" t="str">
        <f>'202512'!B243+#REF!</f>
        <v>#REF!</v>
      </c>
      <c r="C225" s="29" t="str">
        <f>'202512'!C243+#REF!</f>
        <v>#REF!</v>
      </c>
      <c r="D225" s="29" t="str">
        <f>'202512'!D243+#REF!</f>
        <v>#REF!</v>
      </c>
      <c r="E225" s="29">
        <f>'202512'!E243+'202601'!E243</f>
        <v>520712.5</v>
      </c>
      <c r="F225" s="30" t="str">
        <f t="shared" si="1"/>
        <v>#REF!</v>
      </c>
    </row>
    <row r="226">
      <c r="A226" s="27" t="s">
        <v>162</v>
      </c>
      <c r="B226" s="24" t="str">
        <f>'202512'!B244+#REF!</f>
        <v>#REF!</v>
      </c>
      <c r="C226" s="29" t="str">
        <f>'202512'!C244+#REF!</f>
        <v>#REF!</v>
      </c>
      <c r="D226" s="29" t="str">
        <f>'202512'!D244+#REF!</f>
        <v>#REF!</v>
      </c>
      <c r="E226" s="29">
        <f>'202512'!E244+'202601'!E244</f>
        <v>521995</v>
      </c>
      <c r="F226" s="30" t="str">
        <f t="shared" si="1"/>
        <v>#REF!</v>
      </c>
    </row>
    <row r="227">
      <c r="A227" s="27" t="s">
        <v>163</v>
      </c>
      <c r="B227" s="24" t="str">
        <f>'202512'!B245+#REF!</f>
        <v>#REF!</v>
      </c>
      <c r="C227" s="29" t="str">
        <f>'202512'!C245+#REF!</f>
        <v>#REF!</v>
      </c>
      <c r="D227" s="29" t="str">
        <f>'202512'!D245+#REF!</f>
        <v>#REF!</v>
      </c>
      <c r="E227" s="29">
        <f>'202512'!E245+'202601'!E245</f>
        <v>480250</v>
      </c>
      <c r="F227" s="30" t="str">
        <f t="shared" si="1"/>
        <v>#REF!</v>
      </c>
    </row>
    <row r="228">
      <c r="A228" s="27" t="s">
        <v>164</v>
      </c>
      <c r="B228" s="24" t="str">
        <f>'202512'!B246+#REF!</f>
        <v>#REF!</v>
      </c>
      <c r="C228" s="29" t="str">
        <f>'202512'!C246+#REF!</f>
        <v>#REF!</v>
      </c>
      <c r="D228" s="29" t="str">
        <f>'202512'!D246+#REF!</f>
        <v>#REF!</v>
      </c>
      <c r="E228" s="29">
        <f>'202512'!E246+'202601'!E246</f>
        <v>74864.73</v>
      </c>
      <c r="F228" s="30" t="str">
        <f t="shared" si="1"/>
        <v>#REF!</v>
      </c>
    </row>
    <row r="229">
      <c r="A229" s="27" t="s">
        <v>165</v>
      </c>
      <c r="B229" s="24" t="str">
        <f>'202512'!B247+#REF!</f>
        <v>#REF!</v>
      </c>
      <c r="C229" s="29" t="str">
        <f>'202512'!C247+#REF!</f>
        <v>#REF!</v>
      </c>
      <c r="D229" s="29" t="str">
        <f>'202512'!D247+#REF!</f>
        <v>#REF!</v>
      </c>
      <c r="E229" s="29">
        <f>'202512'!E247+'202601'!E247</f>
        <v>-2054971</v>
      </c>
      <c r="F229" s="30" t="str">
        <f t="shared" si="1"/>
        <v>#REF!</v>
      </c>
    </row>
    <row r="230">
      <c r="A230" s="27" t="s">
        <v>166</v>
      </c>
      <c r="B230" s="24" t="str">
        <f>'202512'!B248+#REF!</f>
        <v>#REF!</v>
      </c>
      <c r="C230" s="29" t="str">
        <f>'202512'!C248+#REF!</f>
        <v>#REF!</v>
      </c>
      <c r="D230" s="29" t="str">
        <f>'202512'!D248+#REF!</f>
        <v>#REF!</v>
      </c>
      <c r="E230" s="29">
        <f>'202512'!E248+'202601'!E248</f>
        <v>295435</v>
      </c>
      <c r="F230" s="30" t="str">
        <f t="shared" si="1"/>
        <v>#REF!</v>
      </c>
    </row>
    <row r="231">
      <c r="A231" s="27" t="s">
        <v>167</v>
      </c>
      <c r="B231" s="24" t="str">
        <f>'202512'!B249+#REF!</f>
        <v>#REF!</v>
      </c>
      <c r="C231" s="29" t="str">
        <f>'202512'!C249+#REF!</f>
        <v>#REF!</v>
      </c>
      <c r="D231" s="29" t="str">
        <f>'202512'!D249+#REF!</f>
        <v>#REF!</v>
      </c>
      <c r="E231" s="29">
        <f>'202512'!E249+'202601'!E249</f>
        <v>506028.25</v>
      </c>
      <c r="F231" s="30" t="str">
        <f t="shared" si="1"/>
        <v>#REF!</v>
      </c>
    </row>
    <row r="232">
      <c r="A232" s="27" t="s">
        <v>168</v>
      </c>
      <c r="B232" s="24" t="str">
        <f>'202512'!B250+#REF!</f>
        <v>#REF!</v>
      </c>
      <c r="C232" s="29" t="str">
        <f>'202512'!C250+#REF!</f>
        <v>#REF!</v>
      </c>
      <c r="D232" s="29" t="str">
        <f>'202512'!D250+#REF!</f>
        <v>#REF!</v>
      </c>
      <c r="E232" s="29">
        <f>'202512'!E250+'202601'!E250</f>
        <v>246795</v>
      </c>
      <c r="F232" s="30" t="str">
        <f t="shared" si="1"/>
        <v>#REF!</v>
      </c>
    </row>
    <row r="233">
      <c r="A233" s="27" t="s">
        <v>169</v>
      </c>
      <c r="B233" s="24" t="str">
        <f>'202512'!B251+#REF!</f>
        <v>#REF!</v>
      </c>
      <c r="C233" s="29" t="str">
        <f>'202512'!C251+#REF!</f>
        <v>#REF!</v>
      </c>
      <c r="D233" s="29" t="str">
        <f>'202512'!D251+#REF!</f>
        <v>#REF!</v>
      </c>
      <c r="E233" s="29">
        <f>'202512'!E251+'202601'!E251</f>
        <v>230669</v>
      </c>
      <c r="F233" s="30" t="str">
        <f t="shared" si="1"/>
        <v>#REF!</v>
      </c>
    </row>
    <row r="234">
      <c r="A234" s="27" t="s">
        <v>170</v>
      </c>
      <c r="B234" s="24" t="str">
        <f>'202512'!B252+#REF!</f>
        <v>#REF!</v>
      </c>
      <c r="C234" s="29" t="str">
        <f>'202512'!C252+#REF!</f>
        <v>#REF!</v>
      </c>
      <c r="D234" s="29" t="str">
        <f>'202512'!D252+#REF!</f>
        <v>#REF!</v>
      </c>
      <c r="E234" s="29">
        <f>'202512'!E252+'202601'!E252</f>
        <v>13972</v>
      </c>
      <c r="F234" s="30" t="str">
        <f t="shared" si="1"/>
        <v>#REF!</v>
      </c>
    </row>
    <row r="235">
      <c r="A235" s="27" t="s">
        <v>171</v>
      </c>
      <c r="B235" s="24" t="str">
        <f>'202512'!B253+#REF!</f>
        <v>#REF!</v>
      </c>
      <c r="C235" s="29" t="str">
        <f>'202512'!C253+#REF!</f>
        <v>#REF!</v>
      </c>
      <c r="D235" s="29" t="str">
        <f>'202512'!D253+#REF!</f>
        <v>#REF!</v>
      </c>
      <c r="E235" s="29">
        <f>'202512'!E253+'202601'!E253</f>
        <v>155591</v>
      </c>
      <c r="F235" s="30" t="str">
        <f t="shared" si="1"/>
        <v>#REF!</v>
      </c>
    </row>
    <row r="236">
      <c r="A236" s="27" t="s">
        <v>172</v>
      </c>
      <c r="B236" s="24" t="str">
        <f>'202512'!B254+#REF!</f>
        <v>#REF!</v>
      </c>
      <c r="C236" s="29" t="str">
        <f>'202512'!C254+#REF!</f>
        <v>#REF!</v>
      </c>
      <c r="D236" s="29" t="str">
        <f>'202512'!D254+#REF!</f>
        <v>#REF!</v>
      </c>
      <c r="E236" s="29">
        <f>'202512'!E254+'202601'!E254</f>
        <v>108298.7</v>
      </c>
      <c r="F236" s="30" t="str">
        <f t="shared" si="1"/>
        <v>#REF!</v>
      </c>
    </row>
    <row r="237">
      <c r="A237" s="27" t="s">
        <v>173</v>
      </c>
      <c r="B237" s="24" t="str">
        <f>'202512'!B255+#REF!</f>
        <v>#REF!</v>
      </c>
      <c r="C237" s="29" t="str">
        <f>'202512'!C255+#REF!</f>
        <v>#REF!</v>
      </c>
      <c r="D237" s="29" t="str">
        <f>'202512'!D255+#REF!</f>
        <v>#REF!</v>
      </c>
      <c r="E237" s="29">
        <f>'202512'!E255+'202601'!E255</f>
        <v>222079</v>
      </c>
      <c r="F237" s="30" t="str">
        <f t="shared" si="1"/>
        <v>#REF!</v>
      </c>
    </row>
    <row r="238">
      <c r="A238" s="27" t="s">
        <v>174</v>
      </c>
      <c r="B238" s="24" t="str">
        <f>'202512'!B256+#REF!</f>
        <v>#REF!</v>
      </c>
      <c r="C238" s="29" t="str">
        <f>'202512'!C256+#REF!</f>
        <v>#REF!</v>
      </c>
      <c r="D238" s="29" t="str">
        <f>'202512'!D256+#REF!</f>
        <v>#REF!</v>
      </c>
      <c r="E238" s="29">
        <f>'202512'!E256+'202601'!E256</f>
        <v>46384.4</v>
      </c>
      <c r="F238" s="30" t="str">
        <f t="shared" si="1"/>
        <v>#REF!</v>
      </c>
    </row>
    <row r="239">
      <c r="A239" s="27" t="s">
        <v>175</v>
      </c>
      <c r="B239" s="24" t="str">
        <f>'202512'!B257+#REF!</f>
        <v>#REF!</v>
      </c>
      <c r="C239" s="29" t="str">
        <f>'202512'!C257+#REF!</f>
        <v>#REF!</v>
      </c>
      <c r="D239" s="29" t="str">
        <f>'202512'!D257+#REF!</f>
        <v>#REF!</v>
      </c>
      <c r="E239" s="29">
        <f>'202512'!E257+'202601'!E257</f>
        <v>891183.2</v>
      </c>
      <c r="F239" s="30" t="str">
        <f t="shared" si="1"/>
        <v>#REF!</v>
      </c>
    </row>
    <row r="240">
      <c r="A240" s="27" t="s">
        <v>176</v>
      </c>
      <c r="B240" s="24" t="str">
        <f>'202512'!B258+#REF!</f>
        <v>#REF!</v>
      </c>
      <c r="C240" s="29" t="str">
        <f>'202512'!C258+#REF!</f>
        <v>#REF!</v>
      </c>
      <c r="D240" s="29" t="str">
        <f>'202512'!D258+#REF!</f>
        <v>#REF!</v>
      </c>
      <c r="E240" s="29">
        <f>'202512'!E258+'202601'!E258</f>
        <v>316843.34</v>
      </c>
      <c r="F240" s="30" t="str">
        <f t="shared" si="1"/>
        <v>#REF!</v>
      </c>
    </row>
    <row r="241">
      <c r="A241" s="27" t="s">
        <v>177</v>
      </c>
      <c r="B241" s="24" t="str">
        <f>'202512'!B259+#REF!</f>
        <v>#REF!</v>
      </c>
      <c r="C241" s="29" t="str">
        <f>'202512'!C259+#REF!</f>
        <v>#REF!</v>
      </c>
      <c r="D241" s="29" t="str">
        <f>'202512'!D259+#REF!</f>
        <v>#REF!</v>
      </c>
      <c r="E241" s="29">
        <f>'202512'!E259+'202601'!E259</f>
        <v>38447</v>
      </c>
      <c r="F241" s="30" t="str">
        <f t="shared" si="1"/>
        <v>#REF!</v>
      </c>
    </row>
  </sheetData>
  <mergeCells count="9">
    <mergeCell ref="A185:B185"/>
    <mergeCell ref="A191:B191"/>
    <mergeCell ref="A74:B74"/>
    <mergeCell ref="A85:B85"/>
    <mergeCell ref="A106:B106"/>
    <mergeCell ref="A124:B124"/>
    <mergeCell ref="A142:B142"/>
    <mergeCell ref="A160:B160"/>
    <mergeCell ref="A178:B17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8.86"/>
    <col customWidth="1" min="3" max="3" width="18.14"/>
    <col customWidth="1" min="4" max="4" width="25.14"/>
    <col customWidth="1" min="5" max="5" width="17.0"/>
    <col customWidth="1" min="6" max="6" width="24.29"/>
    <col customWidth="1" min="7" max="7" width="8.71"/>
    <col customWidth="1" min="8" max="8" width="32.43"/>
    <col customWidth="1" min="9" max="26" width="8.71"/>
  </cols>
  <sheetData>
    <row r="1" ht="39.75" customHeight="1">
      <c r="A1" s="31" t="s">
        <v>178</v>
      </c>
      <c r="G1" s="32"/>
      <c r="H1" s="32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33" t="s">
        <v>179</v>
      </c>
      <c r="B3" s="34"/>
      <c r="C3" s="19"/>
      <c r="D3" s="32"/>
      <c r="E3" s="19"/>
      <c r="F3" s="34"/>
      <c r="G3" s="19"/>
      <c r="H3" s="32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35" t="s">
        <v>180</v>
      </c>
      <c r="B4" s="36">
        <f>'202511'!B4+'202512'!B4+'202601'!B4</f>
        <v>8537</v>
      </c>
      <c r="C4" s="19"/>
      <c r="D4" s="32"/>
      <c r="E4" s="19"/>
      <c r="F4" s="32"/>
      <c r="G4" s="19"/>
      <c r="H4" s="32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5" t="s">
        <v>181</v>
      </c>
      <c r="B5" s="36">
        <f>'202511'!B10+'202512'!B10+'202601'!B10</f>
        <v>587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35" t="s">
        <v>182</v>
      </c>
      <c r="B6" s="37">
        <f>'202511'!B23+'202512'!B27+'202601'!B27</f>
        <v>196678014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35" t="s">
        <v>183</v>
      </c>
      <c r="B7" s="37">
        <f>'202511'!B28+'202512'!B32+'202601'!B32</f>
        <v>143310248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35" t="s">
        <v>46</v>
      </c>
      <c r="B8" s="37">
        <f>B6-B7</f>
        <v>53367766</v>
      </c>
      <c r="C8" s="19"/>
      <c r="D8" s="32"/>
      <c r="E8" s="19"/>
      <c r="F8" s="32"/>
      <c r="G8" s="19"/>
      <c r="H8" s="32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35" t="s">
        <v>184</v>
      </c>
      <c r="B9" s="37">
        <f>'202511'!B41+'202512'!B45+'202601'!B45</f>
        <v>104404423.5</v>
      </c>
      <c r="C9" s="19"/>
      <c r="D9" s="32"/>
      <c r="E9" s="19"/>
      <c r="F9" s="32"/>
      <c r="G9" s="19"/>
      <c r="H9" s="32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35" t="s">
        <v>185</v>
      </c>
      <c r="B10" s="37">
        <f>'202511'!B56+'202512'!B64+'202601'!B64</f>
        <v>47205265.18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35" t="s">
        <v>186</v>
      </c>
      <c r="B11" s="38">
        <f>AVERAGE('202511'!C38,'202512'!C42,'202601'!C42)</f>
        <v>0.9634372714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9" t="s">
        <v>187</v>
      </c>
      <c r="B13" s="19"/>
      <c r="C13" s="19"/>
      <c r="D13" s="32"/>
      <c r="E13" s="19"/>
      <c r="F13" s="34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40" t="s">
        <v>188</v>
      </c>
      <c r="B14" s="40" t="s">
        <v>189</v>
      </c>
      <c r="C14" s="40" t="s">
        <v>190</v>
      </c>
      <c r="D14" s="41" t="s">
        <v>191</v>
      </c>
      <c r="E14" s="40" t="s">
        <v>192</v>
      </c>
      <c r="F14" s="32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42" t="s">
        <v>2</v>
      </c>
      <c r="B15" s="36">
        <f>'202511'!B4</f>
        <v>300</v>
      </c>
      <c r="C15" s="43">
        <f>'202512'!B4</f>
        <v>2552</v>
      </c>
      <c r="D15" s="36">
        <f>'202601'!B4</f>
        <v>5685</v>
      </c>
      <c r="E15" s="36">
        <f t="shared" ref="E15:E24" si="1">SUM(B15:D15)</f>
        <v>8537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42" t="s">
        <v>4</v>
      </c>
      <c r="B16" s="36">
        <f>'202511'!B6</f>
        <v>166</v>
      </c>
      <c r="C16" s="43">
        <f>'202512'!B6</f>
        <v>2521</v>
      </c>
      <c r="D16" s="36">
        <f>'202601'!B6</f>
        <v>5685</v>
      </c>
      <c r="E16" s="36">
        <f t="shared" si="1"/>
        <v>8372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42" t="s">
        <v>193</v>
      </c>
      <c r="B17" s="36">
        <f>'202511'!B10</f>
        <v>8</v>
      </c>
      <c r="C17" s="43">
        <f>'202512'!B10</f>
        <v>231</v>
      </c>
      <c r="D17" s="36">
        <f>'202601'!B10</f>
        <v>348</v>
      </c>
      <c r="E17" s="36">
        <f t="shared" si="1"/>
        <v>587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44" t="s">
        <v>194</v>
      </c>
      <c r="B18" s="36">
        <f>'202511'!B21</f>
        <v>32</v>
      </c>
      <c r="C18" s="43">
        <f>'202512'!B25</f>
        <v>2234</v>
      </c>
      <c r="D18" s="36">
        <f>'202601'!B25</f>
        <v>1542</v>
      </c>
      <c r="E18" s="36">
        <f t="shared" si="1"/>
        <v>3808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42" t="s">
        <v>195</v>
      </c>
      <c r="B19" s="36">
        <f>'202511'!B22</f>
        <v>84</v>
      </c>
      <c r="C19" s="43">
        <f>'202512'!B26</f>
        <v>798</v>
      </c>
      <c r="D19" s="36">
        <f>'202601'!B26</f>
        <v>1339</v>
      </c>
      <c r="E19" s="36">
        <f t="shared" si="1"/>
        <v>2221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42" t="s">
        <v>182</v>
      </c>
      <c r="B20" s="45">
        <f>'202511'!B23</f>
        <v>586146</v>
      </c>
      <c r="C20" s="46">
        <f>'202512'!B27</f>
        <v>66633871</v>
      </c>
      <c r="D20" s="45">
        <f>'202601'!B27</f>
        <v>129457997</v>
      </c>
      <c r="E20" s="45">
        <f t="shared" si="1"/>
        <v>196678014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42" t="s">
        <v>183</v>
      </c>
      <c r="B21" s="45">
        <f>'202511'!B28</f>
        <v>528463</v>
      </c>
      <c r="C21" s="46">
        <f>'202512'!B32</f>
        <v>48341793</v>
      </c>
      <c r="D21" s="45">
        <f>'202601'!B32</f>
        <v>94439992</v>
      </c>
      <c r="E21" s="45">
        <f t="shared" si="1"/>
        <v>143310248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42" t="s">
        <v>46</v>
      </c>
      <c r="B22" s="45">
        <f>'202511'!B23-'202511'!B28</f>
        <v>57683</v>
      </c>
      <c r="C22" s="37">
        <f>'202512'!B27-'202512'!B32</f>
        <v>18292078</v>
      </c>
      <c r="D22" s="45">
        <f>'202601'!B27-'202601'!B32</f>
        <v>35018005</v>
      </c>
      <c r="E22" s="37">
        <f t="shared" si="1"/>
        <v>53367766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42" t="s">
        <v>196</v>
      </c>
      <c r="B23" s="45">
        <f>'202511'!B32</f>
        <v>5043994.2</v>
      </c>
      <c r="C23" s="46">
        <f>'202512'!B36</f>
        <v>1120432234</v>
      </c>
      <c r="D23" s="45">
        <f>'202601'!B36</f>
        <v>2033078021</v>
      </c>
      <c r="E23" s="45">
        <f t="shared" si="1"/>
        <v>3158554250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42" t="s">
        <v>197</v>
      </c>
      <c r="B24" s="45">
        <f>'202511'!B35</f>
        <v>4980421.4</v>
      </c>
      <c r="C24" s="46">
        <f>'202512'!B39</f>
        <v>1084888258</v>
      </c>
      <c r="D24" s="45">
        <f>'202601'!B39</f>
        <v>1964281147</v>
      </c>
      <c r="E24" s="45">
        <f t="shared" si="1"/>
        <v>3054149826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42" t="s">
        <v>40</v>
      </c>
      <c r="B25" s="38">
        <f>'202511'!C38</f>
        <v>0.9561265947</v>
      </c>
      <c r="C25" s="47">
        <f>'202512'!C42</f>
        <v>0.9660437644</v>
      </c>
      <c r="D25" s="38">
        <f>'202601'!C42</f>
        <v>0.9681414549</v>
      </c>
      <c r="E25" s="38">
        <f>AVERAGE(B25:D25)</f>
        <v>0.9634372714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42" t="s">
        <v>43</v>
      </c>
      <c r="B26" s="45">
        <f>'202511'!B41</f>
        <v>63572.8</v>
      </c>
      <c r="C26" s="46">
        <f>'202512'!B45</f>
        <v>35543975.96</v>
      </c>
      <c r="D26" s="45">
        <f>'202601'!B45</f>
        <v>68796874.75</v>
      </c>
      <c r="E26" s="45">
        <f t="shared" ref="E26:E27" si="2">SUM(B26:D26)</f>
        <v>104404423.5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42" t="s">
        <v>62</v>
      </c>
      <c r="B27" s="45">
        <f>'202511'!B56</f>
        <v>-4802217.4</v>
      </c>
      <c r="C27" s="46">
        <f>'202512'!B64</f>
        <v>15958868.87</v>
      </c>
      <c r="D27" s="45">
        <f>'202601'!B64</f>
        <v>36048613.71</v>
      </c>
      <c r="E27" s="45">
        <f t="shared" si="2"/>
        <v>47205265.18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39" t="s">
        <v>198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40" t="s">
        <v>199</v>
      </c>
      <c r="B31" s="40" t="s">
        <v>43</v>
      </c>
      <c r="C31" s="40" t="s">
        <v>62</v>
      </c>
      <c r="D31" s="40" t="s">
        <v>131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8" t="s">
        <v>96</v>
      </c>
      <c r="B32" s="46">
        <f>'202512'!B128</f>
        <v>4373745.08</v>
      </c>
      <c r="C32" s="46">
        <f>'202512'!B130</f>
        <v>4373745.08</v>
      </c>
      <c r="D32" s="48">
        <f t="shared" ref="D32:D35" si="3">IFERROR(B32/SUM($B$32:$B$35),0)</f>
        <v>0.1487951991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8" t="s">
        <v>200</v>
      </c>
      <c r="B33" s="46">
        <f>'202512'!B147</f>
        <v>3186351.8</v>
      </c>
      <c r="C33" s="46">
        <f>'202512'!B149</f>
        <v>3186351.8</v>
      </c>
      <c r="D33" s="48">
        <f t="shared" si="3"/>
        <v>0.1083999734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8" t="s">
        <v>201</v>
      </c>
      <c r="B34" s="46">
        <f>'202512'!B166</f>
        <v>17254981.42</v>
      </c>
      <c r="C34" s="46">
        <f>'202512'!B168</f>
        <v>17254981.42</v>
      </c>
      <c r="D34" s="48">
        <f t="shared" si="3"/>
        <v>0.5870160124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8" t="s">
        <v>202</v>
      </c>
      <c r="B35" s="46">
        <f>'202512'!B185</f>
        <v>4579318.2</v>
      </c>
      <c r="C35" s="46">
        <f>'202512'!B187</f>
        <v>4579318.2</v>
      </c>
      <c r="D35" s="48">
        <f t="shared" si="3"/>
        <v>0.1557888151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5" t="s">
        <v>203</v>
      </c>
      <c r="B36" s="49">
        <f t="shared" ref="B36:C36" si="4">SUM(B32:B35)</f>
        <v>29394396.5</v>
      </c>
      <c r="C36" s="49">
        <f t="shared" si="4"/>
        <v>29394396.5</v>
      </c>
      <c r="D36" s="18" t="s">
        <v>204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39" t="s">
        <v>205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40" t="s">
        <v>206</v>
      </c>
      <c r="B40" s="40" t="s">
        <v>207</v>
      </c>
      <c r="C40" s="40" t="s">
        <v>208</v>
      </c>
      <c r="D40" s="40" t="s">
        <v>131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8" t="s">
        <v>117</v>
      </c>
      <c r="B41" s="46">
        <f>'202512'!B194</f>
        <v>15576600</v>
      </c>
      <c r="C41" s="43">
        <f>'202512'!C194</f>
        <v>164</v>
      </c>
      <c r="D41" s="48">
        <f t="shared" ref="D41:D45" si="5">IFERROR(B41/SUM($B$41:$B$45),0)</f>
        <v>0.2337639967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8" t="s">
        <v>118</v>
      </c>
      <c r="B42" s="46">
        <f>'202512'!B195</f>
        <v>7849442</v>
      </c>
      <c r="C42" s="43">
        <f>'202512'!C195</f>
        <v>312</v>
      </c>
      <c r="D42" s="48">
        <f t="shared" si="5"/>
        <v>0.1177995797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8" t="s">
        <v>119</v>
      </c>
      <c r="B43" s="46">
        <f>'202512'!B196</f>
        <v>8729186</v>
      </c>
      <c r="C43" s="43">
        <f>'202512'!C196</f>
        <v>519</v>
      </c>
      <c r="D43" s="48">
        <f t="shared" si="5"/>
        <v>0.1310022346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8" t="s">
        <v>120</v>
      </c>
      <c r="B44" s="46">
        <f>'202512'!B197</f>
        <v>1121000</v>
      </c>
      <c r="C44" s="43">
        <f>'202512'!C197</f>
        <v>36</v>
      </c>
      <c r="D44" s="48">
        <f t="shared" si="5"/>
        <v>0.01682327596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8" t="s">
        <v>121</v>
      </c>
      <c r="B45" s="46">
        <f>'202512'!B198</f>
        <v>33357643</v>
      </c>
      <c r="C45" s="43">
        <f>'202512'!C198</f>
        <v>2660</v>
      </c>
      <c r="D45" s="48">
        <f t="shared" si="5"/>
        <v>0.500610913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35" t="s">
        <v>209</v>
      </c>
      <c r="B46" s="49">
        <f t="shared" ref="B46:C46" si="6">SUM(B41:B45)</f>
        <v>66633871</v>
      </c>
      <c r="C46" s="50">
        <f t="shared" si="6"/>
        <v>3691</v>
      </c>
      <c r="D46" s="51" t="s">
        <v>204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39" t="s">
        <v>210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40" t="s">
        <v>206</v>
      </c>
      <c r="B52" s="40" t="s">
        <v>189</v>
      </c>
      <c r="C52" s="40" t="s">
        <v>190</v>
      </c>
      <c r="D52" s="40" t="s">
        <v>191</v>
      </c>
      <c r="E52" s="40" t="s">
        <v>203</v>
      </c>
      <c r="F52" s="40" t="s">
        <v>131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8" t="s">
        <v>117</v>
      </c>
      <c r="B53" s="52">
        <v>21000.0</v>
      </c>
      <c r="C53" s="46">
        <f>'202512'!B194</f>
        <v>15576600</v>
      </c>
      <c r="D53" s="46">
        <f>'202601'!B194</f>
        <v>27866500</v>
      </c>
      <c r="E53" s="45">
        <f t="shared" ref="E53:E57" si="7">SUM(B53:D53)</f>
        <v>43464100</v>
      </c>
      <c r="F53" s="48">
        <f>IFERROR(E53/E58,0)</f>
        <v>0.2210203789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8" t="s">
        <v>118</v>
      </c>
      <c r="B54" s="52">
        <v>54634.0</v>
      </c>
      <c r="C54" s="46">
        <f>'202512'!B195</f>
        <v>7849442</v>
      </c>
      <c r="D54" s="46">
        <f>'202601'!B195</f>
        <v>8929491</v>
      </c>
      <c r="E54" s="45">
        <f t="shared" si="7"/>
        <v>16833567</v>
      </c>
      <c r="F54" s="48">
        <f>IFERROR(E54/E58,0)</f>
        <v>0.08560079139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8" t="s">
        <v>119</v>
      </c>
      <c r="B55" s="52">
        <v>80000.0</v>
      </c>
      <c r="C55" s="46">
        <f>'202512'!B196</f>
        <v>8729186</v>
      </c>
      <c r="D55" s="46">
        <f>'202601'!B196</f>
        <v>16432390</v>
      </c>
      <c r="E55" s="45">
        <f t="shared" si="7"/>
        <v>25241576</v>
      </c>
      <c r="F55" s="48">
        <f>IFERROR(E55/E58,0)</f>
        <v>0.1283565677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8" t="s">
        <v>120</v>
      </c>
      <c r="B56" s="52">
        <v>10000.0</v>
      </c>
      <c r="C56" s="46">
        <f>'202512'!B197</f>
        <v>1121000</v>
      </c>
      <c r="D56" s="46">
        <f>'202601'!B197</f>
        <v>7622000</v>
      </c>
      <c r="E56" s="45">
        <f t="shared" si="7"/>
        <v>8753000</v>
      </c>
      <c r="F56" s="48">
        <f>IFERROR(E56/E58,0)</f>
        <v>0.04451009861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8" t="s">
        <v>121</v>
      </c>
      <c r="B57" s="52">
        <v>394500.0</v>
      </c>
      <c r="C57" s="46">
        <f>'202512'!B198</f>
        <v>33357643</v>
      </c>
      <c r="D57" s="46">
        <f>'202601'!B198</f>
        <v>68607616</v>
      </c>
      <c r="E57" s="45">
        <f t="shared" si="7"/>
        <v>102359759</v>
      </c>
      <c r="F57" s="48">
        <f>IFERROR(E57/E58,0)</f>
        <v>0.5205121634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35" t="s">
        <v>209</v>
      </c>
      <c r="B58" s="49">
        <f t="shared" ref="B58:E58" si="8">SUM(B53:B57)</f>
        <v>560134</v>
      </c>
      <c r="C58" s="49">
        <f t="shared" si="8"/>
        <v>66633871</v>
      </c>
      <c r="D58" s="49">
        <f t="shared" si="8"/>
        <v>129457997</v>
      </c>
      <c r="E58" s="49">
        <f t="shared" si="8"/>
        <v>196652002</v>
      </c>
      <c r="F58" s="51" t="s">
        <v>204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40" t="s">
        <v>211</v>
      </c>
      <c r="B61" s="40" t="s">
        <v>189</v>
      </c>
      <c r="C61" s="40" t="s">
        <v>190</v>
      </c>
      <c r="D61" s="40" t="s">
        <v>191</v>
      </c>
      <c r="E61" s="40" t="s">
        <v>203</v>
      </c>
      <c r="F61" s="40" t="s">
        <v>131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8" t="s">
        <v>117</v>
      </c>
      <c r="B62" s="52">
        <v>0.0</v>
      </c>
      <c r="C62" s="46">
        <f>'202512'!B202</f>
        <v>11122808</v>
      </c>
      <c r="D62" s="46">
        <f>'202601'!B202</f>
        <v>40559584</v>
      </c>
      <c r="E62" s="45">
        <f t="shared" ref="E62:E65" si="9">SUM(B62:D62)</f>
        <v>51682392</v>
      </c>
      <c r="F62" s="48">
        <f>IFERROR(E62/E66,0)</f>
        <v>0.3606580779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8" t="s">
        <v>118</v>
      </c>
      <c r="B63" s="52">
        <v>8000.0</v>
      </c>
      <c r="C63" s="46">
        <f>'202512'!B203</f>
        <v>10897654</v>
      </c>
      <c r="D63" s="46">
        <f>'202601'!B203</f>
        <v>28256801</v>
      </c>
      <c r="E63" s="45">
        <f t="shared" si="9"/>
        <v>39162455</v>
      </c>
      <c r="F63" s="48">
        <f>IFERROR(E63/E66,0)</f>
        <v>0.2732895131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8" t="s">
        <v>119</v>
      </c>
      <c r="B64" s="52">
        <v>100000.0</v>
      </c>
      <c r="C64" s="46">
        <f>'202512'!B204</f>
        <v>18865520</v>
      </c>
      <c r="D64" s="46">
        <f>'202601'!B204</f>
        <v>22693638</v>
      </c>
      <c r="E64" s="45">
        <f t="shared" si="9"/>
        <v>41659158</v>
      </c>
      <c r="F64" s="48">
        <f>IFERROR(E64/E66,0)</f>
        <v>0.2907123929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8" t="s">
        <v>121</v>
      </c>
      <c r="B65" s="52">
        <v>410463.0</v>
      </c>
      <c r="C65" s="46">
        <f>'202512'!B205</f>
        <v>7455811</v>
      </c>
      <c r="D65" s="46">
        <f>'202601'!B205</f>
        <v>2929969</v>
      </c>
      <c r="E65" s="45">
        <f t="shared" si="9"/>
        <v>10796243</v>
      </c>
      <c r="F65" s="48">
        <f>IFERROR(E65/E66,0)</f>
        <v>0.07534001616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35" t="s">
        <v>212</v>
      </c>
      <c r="B66" s="49">
        <f t="shared" ref="B66:E66" si="10">SUM(B62:B65)</f>
        <v>518463</v>
      </c>
      <c r="C66" s="49">
        <f t="shared" si="10"/>
        <v>48341793</v>
      </c>
      <c r="D66" s="49">
        <f t="shared" si="10"/>
        <v>94439992</v>
      </c>
      <c r="E66" s="49">
        <f t="shared" si="10"/>
        <v>143300248</v>
      </c>
      <c r="F66" s="51" t="s">
        <v>204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40" t="s">
        <v>123</v>
      </c>
      <c r="B69" s="40" t="s">
        <v>189</v>
      </c>
      <c r="C69" s="40" t="s">
        <v>190</v>
      </c>
      <c r="D69" s="40" t="s">
        <v>191</v>
      </c>
      <c r="E69" s="40" t="s">
        <v>203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8" t="s">
        <v>123</v>
      </c>
      <c r="B70" s="18" t="str">
        <f>'202511'!B200</f>
        <v/>
      </c>
      <c r="C70" s="18">
        <f>'202512'!B208</f>
        <v>430</v>
      </c>
      <c r="D70" s="18" t="str">
        <f>'202601'!B207</f>
        <v/>
      </c>
      <c r="E70" s="51">
        <f t="shared" ref="E70:E71" si="11">SUM(B70:D70)</f>
        <v>430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8" t="s">
        <v>213</v>
      </c>
      <c r="B71" s="18" t="str">
        <f>'202511'!B201</f>
        <v/>
      </c>
      <c r="C71" s="18">
        <f>'202512'!B209</f>
        <v>119</v>
      </c>
      <c r="D71" s="18" t="str">
        <f>'202601'!B208</f>
        <v/>
      </c>
      <c r="E71" s="51">
        <f t="shared" si="11"/>
        <v>119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9.43"/>
    <col customWidth="1" min="2" max="3" width="15.0"/>
    <col customWidth="1" min="4" max="4" width="17.43"/>
    <col customWidth="1" min="5" max="8" width="12.0"/>
  </cols>
  <sheetData>
    <row r="1" ht="24.75" customHeight="1">
      <c r="A1" s="53" t="s">
        <v>0</v>
      </c>
      <c r="B1" s="53" t="s">
        <v>214</v>
      </c>
      <c r="C1" s="53" t="s">
        <v>215</v>
      </c>
      <c r="D1" s="54" t="s">
        <v>216</v>
      </c>
      <c r="E1" s="54" t="s">
        <v>217</v>
      </c>
      <c r="F1" s="53" t="s">
        <v>218</v>
      </c>
      <c r="G1" s="53" t="s">
        <v>219</v>
      </c>
      <c r="H1" s="55"/>
    </row>
    <row r="2" ht="19.5" customHeight="1">
      <c r="A2" s="53"/>
      <c r="B2" s="53"/>
      <c r="C2" s="53"/>
      <c r="D2" s="54" t="s">
        <v>220</v>
      </c>
      <c r="E2" s="54" t="s">
        <v>221</v>
      </c>
      <c r="F2" s="53" t="s">
        <v>222</v>
      </c>
      <c r="G2" s="53" t="s">
        <v>223</v>
      </c>
      <c r="H2" s="55"/>
    </row>
    <row r="3">
      <c r="A3" s="56" t="s">
        <v>224</v>
      </c>
      <c r="B3" s="56">
        <f t="shared" ref="B3:B21" si="1">SUM(D3:G3)</f>
        <v>0</v>
      </c>
      <c r="C3" s="56"/>
      <c r="D3" s="57"/>
      <c r="E3" s="57"/>
      <c r="F3" s="58"/>
      <c r="G3" s="56"/>
      <c r="H3" s="59"/>
    </row>
    <row r="4">
      <c r="A4" s="60" t="s">
        <v>2</v>
      </c>
      <c r="B4" s="61">
        <f t="shared" si="1"/>
        <v>300</v>
      </c>
      <c r="C4" s="61">
        <f t="shared" ref="C4:C25" si="2">AVERAGE(D4:G4)</f>
        <v>75</v>
      </c>
      <c r="D4" s="62">
        <f>171-10</f>
        <v>161</v>
      </c>
      <c r="E4" s="63">
        <v>50.0</v>
      </c>
      <c r="F4" s="64">
        <v>41.0</v>
      </c>
      <c r="G4" s="65">
        <v>48.0</v>
      </c>
      <c r="H4" s="66"/>
    </row>
    <row r="5">
      <c r="A5" s="60" t="s">
        <v>3</v>
      </c>
      <c r="B5" s="61">
        <f t="shared" si="1"/>
        <v>193</v>
      </c>
      <c r="C5" s="61">
        <f t="shared" si="2"/>
        <v>48.25</v>
      </c>
      <c r="D5" s="67">
        <v>92.0</v>
      </c>
      <c r="E5" s="63">
        <v>46.0</v>
      </c>
      <c r="F5" s="64">
        <v>31.0</v>
      </c>
      <c r="G5" s="65">
        <v>24.0</v>
      </c>
      <c r="H5" s="66"/>
    </row>
    <row r="6">
      <c r="A6" s="60" t="s">
        <v>4</v>
      </c>
      <c r="B6" s="61">
        <f t="shared" si="1"/>
        <v>166</v>
      </c>
      <c r="C6" s="61">
        <f t="shared" si="2"/>
        <v>41.5</v>
      </c>
      <c r="D6" s="63">
        <v>89.0</v>
      </c>
      <c r="E6" s="63">
        <v>27.0</v>
      </c>
      <c r="F6" s="64">
        <v>32.0</v>
      </c>
      <c r="G6" s="65">
        <v>18.0</v>
      </c>
      <c r="H6" s="66"/>
    </row>
    <row r="7">
      <c r="A7" s="60" t="s">
        <v>5</v>
      </c>
      <c r="B7" s="68">
        <f t="shared" si="1"/>
        <v>2.248282836</v>
      </c>
      <c r="C7" s="68">
        <f t="shared" si="2"/>
        <v>0.562070709</v>
      </c>
      <c r="D7" s="69">
        <f t="shared" ref="D7:G7" si="3">IFERROR(D6/D4,0)</f>
        <v>0.5527950311</v>
      </c>
      <c r="E7" s="69">
        <f t="shared" si="3"/>
        <v>0.54</v>
      </c>
      <c r="F7" s="69">
        <f t="shared" si="3"/>
        <v>0.7804878049</v>
      </c>
      <c r="G7" s="69">
        <f t="shared" si="3"/>
        <v>0.375</v>
      </c>
      <c r="H7" s="70"/>
    </row>
    <row r="8">
      <c r="A8" s="60" t="s">
        <v>6</v>
      </c>
      <c r="B8" s="61">
        <f t="shared" si="1"/>
        <v>0</v>
      </c>
      <c r="C8" s="61">
        <f t="shared" si="2"/>
        <v>0</v>
      </c>
      <c r="D8" s="63">
        <v>0.0</v>
      </c>
      <c r="E8" s="67">
        <v>0.0</v>
      </c>
      <c r="F8" s="64">
        <v>0.0</v>
      </c>
      <c r="G8" s="65">
        <v>0.0</v>
      </c>
      <c r="H8" s="66"/>
    </row>
    <row r="9">
      <c r="A9" s="60" t="s">
        <v>7</v>
      </c>
      <c r="B9" s="68">
        <f t="shared" si="1"/>
        <v>0</v>
      </c>
      <c r="C9" s="68">
        <f t="shared" si="2"/>
        <v>0</v>
      </c>
      <c r="D9" s="69">
        <f t="shared" ref="D9:G9" si="4">D8/D4</f>
        <v>0</v>
      </c>
      <c r="E9" s="69">
        <f t="shared" si="4"/>
        <v>0</v>
      </c>
      <c r="F9" s="69">
        <f t="shared" si="4"/>
        <v>0</v>
      </c>
      <c r="G9" s="69">
        <f t="shared" si="4"/>
        <v>0</v>
      </c>
      <c r="H9" s="70"/>
    </row>
    <row r="10">
      <c r="A10" s="60" t="s">
        <v>193</v>
      </c>
      <c r="B10" s="61">
        <f t="shared" si="1"/>
        <v>8</v>
      </c>
      <c r="C10" s="61">
        <f t="shared" si="2"/>
        <v>2</v>
      </c>
      <c r="D10" s="62">
        <v>7.0</v>
      </c>
      <c r="E10" s="62">
        <v>1.0</v>
      </c>
      <c r="F10" s="64">
        <v>0.0</v>
      </c>
      <c r="G10" s="65">
        <v>0.0</v>
      </c>
      <c r="H10" s="66"/>
    </row>
    <row r="11">
      <c r="A11" s="60" t="s">
        <v>225</v>
      </c>
      <c r="B11" s="68">
        <f t="shared" si="1"/>
        <v>0.06347826087</v>
      </c>
      <c r="C11" s="68">
        <f t="shared" si="2"/>
        <v>0.01586956522</v>
      </c>
      <c r="D11" s="69">
        <f t="shared" ref="D11:G11" si="5">D10/D4</f>
        <v>0.04347826087</v>
      </c>
      <c r="E11" s="69">
        <f t="shared" si="5"/>
        <v>0.02</v>
      </c>
      <c r="F11" s="69">
        <f t="shared" si="5"/>
        <v>0</v>
      </c>
      <c r="G11" s="69">
        <f t="shared" si="5"/>
        <v>0</v>
      </c>
      <c r="H11" s="70"/>
    </row>
    <row r="12">
      <c r="A12" s="60" t="s">
        <v>226</v>
      </c>
      <c r="B12" s="61">
        <f t="shared" si="1"/>
        <v>10</v>
      </c>
      <c r="C12" s="61">
        <f t="shared" si="2"/>
        <v>2.5</v>
      </c>
      <c r="D12" s="62">
        <v>6.0</v>
      </c>
      <c r="E12" s="62">
        <v>1.0</v>
      </c>
      <c r="F12" s="64">
        <v>0.0</v>
      </c>
      <c r="G12" s="65">
        <v>3.0</v>
      </c>
      <c r="H12" s="66"/>
    </row>
    <row r="13">
      <c r="A13" s="60" t="s">
        <v>11</v>
      </c>
      <c r="B13" s="68">
        <f t="shared" si="1"/>
        <v>0.1197670807</v>
      </c>
      <c r="C13" s="68">
        <f t="shared" si="2"/>
        <v>0.02994177019</v>
      </c>
      <c r="D13" s="69">
        <f t="shared" ref="D13:G13" si="6">D12/D4</f>
        <v>0.03726708075</v>
      </c>
      <c r="E13" s="69">
        <f t="shared" si="6"/>
        <v>0.02</v>
      </c>
      <c r="F13" s="69">
        <f t="shared" si="6"/>
        <v>0</v>
      </c>
      <c r="G13" s="69">
        <f t="shared" si="6"/>
        <v>0.0625</v>
      </c>
      <c r="H13" s="70"/>
    </row>
    <row r="14">
      <c r="A14" s="60" t="s">
        <v>227</v>
      </c>
      <c r="B14" s="61">
        <f t="shared" si="1"/>
        <v>3</v>
      </c>
      <c r="C14" s="61">
        <f t="shared" si="2"/>
        <v>0.75</v>
      </c>
      <c r="D14" s="62">
        <v>3.0</v>
      </c>
      <c r="E14" s="62">
        <v>0.0</v>
      </c>
      <c r="F14" s="64">
        <v>0.0</v>
      </c>
      <c r="G14" s="65">
        <v>0.0</v>
      </c>
      <c r="H14" s="66"/>
    </row>
    <row r="15">
      <c r="A15" s="60" t="s">
        <v>13</v>
      </c>
      <c r="B15" s="68">
        <f t="shared" si="1"/>
        <v>0.01863354037</v>
      </c>
      <c r="C15" s="68">
        <f t="shared" si="2"/>
        <v>0.004658385093</v>
      </c>
      <c r="D15" s="69">
        <f t="shared" ref="D15:G15" si="7">D14/D4</f>
        <v>0.01863354037</v>
      </c>
      <c r="E15" s="69">
        <f t="shared" si="7"/>
        <v>0</v>
      </c>
      <c r="F15" s="69">
        <f t="shared" si="7"/>
        <v>0</v>
      </c>
      <c r="G15" s="69">
        <f t="shared" si="7"/>
        <v>0</v>
      </c>
      <c r="H15" s="70"/>
    </row>
    <row r="16">
      <c r="A16" s="60" t="s">
        <v>14</v>
      </c>
      <c r="B16" s="61">
        <f t="shared" si="1"/>
        <v>21</v>
      </c>
      <c r="C16" s="61">
        <f t="shared" si="2"/>
        <v>5.25</v>
      </c>
      <c r="D16" s="62">
        <v>6.0</v>
      </c>
      <c r="E16" s="62">
        <v>4.0</v>
      </c>
      <c r="F16" s="64">
        <v>5.0</v>
      </c>
      <c r="G16" s="65">
        <v>6.0</v>
      </c>
      <c r="H16" s="66"/>
    </row>
    <row r="17">
      <c r="A17" s="60" t="s">
        <v>15</v>
      </c>
      <c r="B17" s="68">
        <f t="shared" si="1"/>
        <v>0.3642183003</v>
      </c>
      <c r="C17" s="68">
        <f t="shared" si="2"/>
        <v>0.09105457506</v>
      </c>
      <c r="D17" s="69">
        <f t="shared" ref="D17:G17" si="8">D16/D4</f>
        <v>0.03726708075</v>
      </c>
      <c r="E17" s="69">
        <f t="shared" si="8"/>
        <v>0.08</v>
      </c>
      <c r="F17" s="69">
        <f t="shared" si="8"/>
        <v>0.1219512195</v>
      </c>
      <c r="G17" s="69">
        <f t="shared" si="8"/>
        <v>0.125</v>
      </c>
      <c r="H17" s="70"/>
    </row>
    <row r="18">
      <c r="A18" s="60" t="s">
        <v>16</v>
      </c>
      <c r="B18" s="61">
        <f t="shared" si="1"/>
        <v>42</v>
      </c>
      <c r="C18" s="61">
        <f t="shared" si="2"/>
        <v>10.5</v>
      </c>
      <c r="D18" s="63">
        <f t="shared" ref="D18:G18" si="9">D10+D12+D14+D16</f>
        <v>22</v>
      </c>
      <c r="E18" s="63">
        <f t="shared" si="9"/>
        <v>6</v>
      </c>
      <c r="F18" s="63">
        <f t="shared" si="9"/>
        <v>5</v>
      </c>
      <c r="G18" s="63">
        <f t="shared" si="9"/>
        <v>9</v>
      </c>
      <c r="H18" s="71"/>
    </row>
    <row r="19">
      <c r="A19" s="72" t="s">
        <v>17</v>
      </c>
      <c r="B19" s="73">
        <f t="shared" si="1"/>
        <v>0.5660971822</v>
      </c>
      <c r="C19" s="73">
        <f t="shared" si="2"/>
        <v>0.1415242956</v>
      </c>
      <c r="D19" s="74">
        <f t="shared" ref="D19:G19" si="10">D18/D4</f>
        <v>0.1366459627</v>
      </c>
      <c r="E19" s="74">
        <f t="shared" si="10"/>
        <v>0.12</v>
      </c>
      <c r="F19" s="74">
        <f t="shared" si="10"/>
        <v>0.1219512195</v>
      </c>
      <c r="G19" s="74">
        <f t="shared" si="10"/>
        <v>0.1875</v>
      </c>
      <c r="H19" s="75"/>
    </row>
    <row r="20" ht="15.75" customHeight="1">
      <c r="A20" s="60" t="s">
        <v>22</v>
      </c>
      <c r="B20" s="61">
        <f t="shared" si="1"/>
        <v>44</v>
      </c>
      <c r="C20" s="61">
        <f t="shared" si="2"/>
        <v>11</v>
      </c>
      <c r="D20" s="63">
        <v>5.0</v>
      </c>
      <c r="E20" s="63">
        <v>13.0</v>
      </c>
      <c r="F20" s="64">
        <v>9.0</v>
      </c>
      <c r="G20" s="65">
        <v>17.0</v>
      </c>
      <c r="H20" s="66"/>
    </row>
    <row r="21" ht="15.75" customHeight="1">
      <c r="A21" s="60" t="s">
        <v>194</v>
      </c>
      <c r="B21" s="61">
        <f t="shared" si="1"/>
        <v>32</v>
      </c>
      <c r="C21" s="61">
        <f t="shared" si="2"/>
        <v>8</v>
      </c>
      <c r="D21" s="63">
        <v>4.0</v>
      </c>
      <c r="E21" s="63">
        <v>9.0</v>
      </c>
      <c r="F21" s="64">
        <v>7.0</v>
      </c>
      <c r="G21" s="65">
        <v>12.0</v>
      </c>
      <c r="H21" s="66"/>
    </row>
    <row r="22" ht="15.75" customHeight="1">
      <c r="A22" s="60" t="s">
        <v>195</v>
      </c>
      <c r="B22" s="76">
        <v>84.0</v>
      </c>
      <c r="C22" s="61">
        <f t="shared" si="2"/>
        <v>10</v>
      </c>
      <c r="D22" s="77">
        <v>6.0</v>
      </c>
      <c r="E22" s="77">
        <v>9.0</v>
      </c>
      <c r="F22" s="78">
        <v>11.0</v>
      </c>
      <c r="G22" s="79">
        <v>14.0</v>
      </c>
      <c r="H22" s="80"/>
    </row>
    <row r="23" ht="15.75" customHeight="1">
      <c r="A23" s="60" t="s">
        <v>25</v>
      </c>
      <c r="B23" s="81">
        <f t="shared" ref="B23:B25" si="11">SUM(D23:G23)</f>
        <v>586146</v>
      </c>
      <c r="C23" s="81">
        <f t="shared" si="2"/>
        <v>146536.5</v>
      </c>
      <c r="D23" s="82">
        <v>96446.0</v>
      </c>
      <c r="E23" s="82">
        <v>224500.0</v>
      </c>
      <c r="F23" s="83">
        <v>90000.0</v>
      </c>
      <c r="G23" s="84">
        <v>175200.0</v>
      </c>
      <c r="H23" s="85"/>
    </row>
    <row r="24" ht="15.75" customHeight="1">
      <c r="A24" s="60" t="s">
        <v>26</v>
      </c>
      <c r="B24" s="81">
        <f t="shared" si="11"/>
        <v>56864.31312</v>
      </c>
      <c r="C24" s="81">
        <f t="shared" si="2"/>
        <v>14216.07828</v>
      </c>
      <c r="D24" s="82">
        <f t="shared" ref="D24:G24" si="12">D23/D20</f>
        <v>19289.2</v>
      </c>
      <c r="E24" s="82">
        <f t="shared" si="12"/>
        <v>17269.23077</v>
      </c>
      <c r="F24" s="82">
        <f t="shared" si="12"/>
        <v>10000</v>
      </c>
      <c r="G24" s="82">
        <f t="shared" si="12"/>
        <v>10305.88235</v>
      </c>
      <c r="H24" s="86"/>
    </row>
    <row r="25" ht="15.75" customHeight="1">
      <c r="A25" s="60" t="s">
        <v>27</v>
      </c>
      <c r="B25" s="81">
        <f t="shared" si="11"/>
        <v>76513.0873</v>
      </c>
      <c r="C25" s="81">
        <f t="shared" si="2"/>
        <v>19128.27183</v>
      </c>
      <c r="D25" s="82">
        <f t="shared" ref="D25:G25" si="13">D23/D21</f>
        <v>24111.5</v>
      </c>
      <c r="E25" s="82">
        <f t="shared" si="13"/>
        <v>24944.44444</v>
      </c>
      <c r="F25" s="82">
        <f t="shared" si="13"/>
        <v>12857.14286</v>
      </c>
      <c r="G25" s="82">
        <f t="shared" si="13"/>
        <v>14600</v>
      </c>
      <c r="H25" s="86"/>
    </row>
    <row r="26" ht="15.75" customHeight="1">
      <c r="A26" s="87" t="s">
        <v>28</v>
      </c>
      <c r="B26" s="88"/>
      <c r="C26" s="88"/>
      <c r="D26" s="89">
        <v>0.0</v>
      </c>
      <c r="E26" s="89">
        <v>0.0</v>
      </c>
      <c r="F26" s="89">
        <v>7.0</v>
      </c>
      <c r="G26" s="89">
        <v>7.0</v>
      </c>
      <c r="H26" s="90"/>
    </row>
    <row r="27" ht="15.75" customHeight="1">
      <c r="A27" s="87" t="s">
        <v>29</v>
      </c>
      <c r="B27" s="88"/>
      <c r="C27" s="88"/>
      <c r="D27" s="89">
        <v>0.0</v>
      </c>
      <c r="E27" s="89">
        <v>0.0</v>
      </c>
      <c r="F27" s="89">
        <v>5.0</v>
      </c>
      <c r="G27" s="89">
        <v>6.0</v>
      </c>
      <c r="H27" s="90"/>
    </row>
    <row r="28" ht="15.75" customHeight="1">
      <c r="A28" s="60" t="s">
        <v>30</v>
      </c>
      <c r="B28" s="81">
        <f>SUM(D28:G28)</f>
        <v>528463</v>
      </c>
      <c r="C28" s="81">
        <f>AVERAGE(D28:G28)</f>
        <v>132115.75</v>
      </c>
      <c r="D28" s="82">
        <v>0.0</v>
      </c>
      <c r="E28" s="91">
        <v>0.0</v>
      </c>
      <c r="F28" s="83">
        <v>240587.0</v>
      </c>
      <c r="G28" s="84">
        <v>287876.0</v>
      </c>
      <c r="H28" s="85"/>
    </row>
    <row r="29" ht="15.75" customHeight="1">
      <c r="A29" s="65" t="s">
        <v>31</v>
      </c>
      <c r="B29" s="92"/>
      <c r="C29" s="92"/>
      <c r="D29" s="82"/>
      <c r="E29" s="91"/>
      <c r="F29" s="83"/>
      <c r="G29" s="84"/>
      <c r="H29" s="85"/>
    </row>
    <row r="30" ht="15.75" customHeight="1">
      <c r="A30" s="60" t="s">
        <v>32</v>
      </c>
      <c r="B30" s="81">
        <f>SUM(D30:G30)</f>
        <v>5043994.2</v>
      </c>
      <c r="C30" s="81">
        <f t="shared" ref="C30:C49" si="14">AVERAGE(D30:G30)</f>
        <v>1260998.55</v>
      </c>
      <c r="D30" s="82">
        <v>449205.0</v>
      </c>
      <c r="E30" s="82">
        <v>1168610.0</v>
      </c>
      <c r="F30" s="83">
        <v>1223669.2</v>
      </c>
      <c r="G30" s="84">
        <v>2202510.0</v>
      </c>
      <c r="H30" s="85"/>
    </row>
    <row r="31" ht="15.75" customHeight="1">
      <c r="A31" s="60" t="s">
        <v>33</v>
      </c>
      <c r="B31" s="68">
        <f>B30/B23</f>
        <v>8.605354639</v>
      </c>
      <c r="C31" s="68">
        <f t="shared" si="14"/>
        <v>9.007674679</v>
      </c>
      <c r="D31" s="93">
        <f t="shared" ref="D31:G31" si="15">D30/D23</f>
        <v>4.657580408</v>
      </c>
      <c r="E31" s="93">
        <f t="shared" si="15"/>
        <v>5.205389755</v>
      </c>
      <c r="F31" s="93">
        <f t="shared" si="15"/>
        <v>13.59632444</v>
      </c>
      <c r="G31" s="93">
        <f t="shared" si="15"/>
        <v>12.57140411</v>
      </c>
      <c r="H31" s="94"/>
    </row>
    <row r="32" ht="15.75" customHeight="1">
      <c r="A32" s="60" t="s">
        <v>34</v>
      </c>
      <c r="B32" s="81">
        <f t="shared" ref="B32:B49" si="17">SUM(D32:G32)</f>
        <v>5043994.2</v>
      </c>
      <c r="C32" s="81">
        <f t="shared" si="14"/>
        <v>1260998.55</v>
      </c>
      <c r="D32" s="82">
        <f t="shared" ref="D32:G32" si="16">D30</f>
        <v>449205</v>
      </c>
      <c r="E32" s="82">
        <f t="shared" si="16"/>
        <v>1168610</v>
      </c>
      <c r="F32" s="82">
        <f t="shared" si="16"/>
        <v>1223669.2</v>
      </c>
      <c r="G32" s="82">
        <f t="shared" si="16"/>
        <v>2202510</v>
      </c>
      <c r="H32" s="86"/>
    </row>
    <row r="33" ht="15.75" customHeight="1">
      <c r="A33" s="60" t="s">
        <v>35</v>
      </c>
      <c r="B33" s="81">
        <f t="shared" si="17"/>
        <v>4980421.4</v>
      </c>
      <c r="C33" s="81">
        <f t="shared" si="14"/>
        <v>1245105.35</v>
      </c>
      <c r="D33" s="82">
        <v>374255.4</v>
      </c>
      <c r="E33" s="82">
        <v>1088771.0</v>
      </c>
      <c r="F33" s="83">
        <v>1273949.0</v>
      </c>
      <c r="G33" s="95">
        <v>2243446.0</v>
      </c>
      <c r="H33" s="96"/>
    </row>
    <row r="34" ht="15.75" customHeight="1">
      <c r="A34" s="60" t="s">
        <v>36</v>
      </c>
      <c r="B34" s="81">
        <f t="shared" si="17"/>
        <v>0</v>
      </c>
      <c r="C34" s="81">
        <f t="shared" si="14"/>
        <v>0</v>
      </c>
      <c r="D34" s="82">
        <v>0.0</v>
      </c>
      <c r="E34" s="82">
        <v>0.0</v>
      </c>
      <c r="F34" s="97" t="s">
        <v>228</v>
      </c>
      <c r="G34" s="79">
        <v>0.0</v>
      </c>
      <c r="H34" s="80"/>
    </row>
    <row r="35" ht="15.75" customHeight="1">
      <c r="A35" s="60" t="s">
        <v>37</v>
      </c>
      <c r="B35" s="81">
        <f t="shared" si="17"/>
        <v>4980421.4</v>
      </c>
      <c r="C35" s="81">
        <f t="shared" si="14"/>
        <v>1245105.35</v>
      </c>
      <c r="D35" s="82">
        <f t="shared" ref="D35:G35" si="18">D33</f>
        <v>374255.4</v>
      </c>
      <c r="E35" s="82">
        <f t="shared" si="18"/>
        <v>1088771</v>
      </c>
      <c r="F35" s="98">
        <f t="shared" si="18"/>
        <v>1273949</v>
      </c>
      <c r="G35" s="98">
        <f t="shared" si="18"/>
        <v>2243446</v>
      </c>
      <c r="H35" s="99"/>
    </row>
    <row r="36" ht="15.75" customHeight="1">
      <c r="A36" s="60" t="s">
        <v>38</v>
      </c>
      <c r="B36" s="81">
        <f t="shared" si="17"/>
        <v>12692491</v>
      </c>
      <c r="C36" s="81">
        <f t="shared" si="14"/>
        <v>3173122.75</v>
      </c>
      <c r="D36" s="82">
        <v>0.0</v>
      </c>
      <c r="E36" s="82">
        <v>4311521.0</v>
      </c>
      <c r="F36" s="83">
        <v>4243937.0</v>
      </c>
      <c r="G36" s="84">
        <v>4137033.0</v>
      </c>
      <c r="H36" s="85"/>
    </row>
    <row r="37" ht="15.75" customHeight="1">
      <c r="A37" s="60" t="s">
        <v>39</v>
      </c>
      <c r="B37" s="81">
        <f t="shared" si="17"/>
        <v>2199720</v>
      </c>
      <c r="C37" s="81">
        <f t="shared" si="14"/>
        <v>549930</v>
      </c>
      <c r="D37" s="82">
        <v>0.0</v>
      </c>
      <c r="E37" s="82">
        <v>0.0</v>
      </c>
      <c r="F37" s="83">
        <v>1099879.0</v>
      </c>
      <c r="G37" s="84">
        <v>1099841.0</v>
      </c>
      <c r="H37" s="85"/>
    </row>
    <row r="38" ht="15.75" customHeight="1">
      <c r="A38" s="60" t="s">
        <v>40</v>
      </c>
      <c r="B38" s="68">
        <f t="shared" si="17"/>
        <v>3.824506379</v>
      </c>
      <c r="C38" s="68">
        <f t="shared" si="14"/>
        <v>0.9561265947</v>
      </c>
      <c r="D38" s="93">
        <f t="shared" ref="D38:G38" si="19">D35/D32</f>
        <v>0.833150566</v>
      </c>
      <c r="E38" s="93">
        <f t="shared" si="19"/>
        <v>0.9316803724</v>
      </c>
      <c r="F38" s="93">
        <f t="shared" si="19"/>
        <v>1.041089373</v>
      </c>
      <c r="G38" s="93">
        <f t="shared" si="19"/>
        <v>1.018586068</v>
      </c>
      <c r="H38" s="94"/>
    </row>
    <row r="39" ht="15.75" customHeight="1">
      <c r="A39" s="60" t="s">
        <v>41</v>
      </c>
      <c r="B39" s="81">
        <f t="shared" si="17"/>
        <v>0</v>
      </c>
      <c r="C39" s="81">
        <f t="shared" si="14"/>
        <v>0</v>
      </c>
      <c r="D39" s="82">
        <v>0.0</v>
      </c>
      <c r="E39" s="82">
        <v>0.0</v>
      </c>
      <c r="F39" s="97" t="s">
        <v>228</v>
      </c>
      <c r="G39" s="97" t="s">
        <v>229</v>
      </c>
      <c r="H39" s="100"/>
    </row>
    <row r="40" ht="15.75" customHeight="1">
      <c r="A40" s="60" t="s">
        <v>42</v>
      </c>
      <c r="B40" s="68">
        <f t="shared" si="17"/>
        <v>0</v>
      </c>
      <c r="C40" s="68">
        <f t="shared" si="14"/>
        <v>0</v>
      </c>
      <c r="D40" s="93">
        <v>0.0</v>
      </c>
      <c r="E40" s="93">
        <v>0.0</v>
      </c>
      <c r="F40" s="97" t="s">
        <v>230</v>
      </c>
      <c r="G40" s="97" t="s">
        <v>230</v>
      </c>
      <c r="H40" s="100"/>
    </row>
    <row r="41" ht="15.75" customHeight="1">
      <c r="A41" s="60" t="s">
        <v>43</v>
      </c>
      <c r="B41" s="81">
        <f t="shared" si="17"/>
        <v>63572.8</v>
      </c>
      <c r="C41" s="81">
        <f t="shared" si="14"/>
        <v>15893.2</v>
      </c>
      <c r="D41" s="101">
        <f t="shared" ref="D41:F41" si="20">D32-D35</f>
        <v>74949.6</v>
      </c>
      <c r="E41" s="101">
        <f t="shared" si="20"/>
        <v>79839</v>
      </c>
      <c r="F41" s="101">
        <f t="shared" si="20"/>
        <v>-50279.8</v>
      </c>
      <c r="G41" s="11">
        <f>G30-G33</f>
        <v>-40936</v>
      </c>
      <c r="H41" s="102"/>
    </row>
    <row r="42" ht="15.75" customHeight="1">
      <c r="A42" s="60" t="s">
        <v>86</v>
      </c>
      <c r="B42" s="81">
        <f t="shared" si="17"/>
        <v>57683</v>
      </c>
      <c r="C42" s="81">
        <f t="shared" si="14"/>
        <v>14420.75</v>
      </c>
      <c r="D42" s="101">
        <f t="shared" ref="D42:G42" si="21">D23-D28</f>
        <v>96446</v>
      </c>
      <c r="E42" s="101">
        <f t="shared" si="21"/>
        <v>224500</v>
      </c>
      <c r="F42" s="101">
        <f t="shared" si="21"/>
        <v>-150587</v>
      </c>
      <c r="G42" s="101">
        <f t="shared" si="21"/>
        <v>-112676</v>
      </c>
      <c r="H42" s="103"/>
    </row>
    <row r="43" ht="15.75" customHeight="1">
      <c r="A43" s="104" t="s">
        <v>49</v>
      </c>
      <c r="B43" s="81">
        <f t="shared" si="17"/>
        <v>0</v>
      </c>
      <c r="C43" s="81">
        <f t="shared" si="14"/>
        <v>0</v>
      </c>
      <c r="D43" s="105">
        <v>0.0</v>
      </c>
      <c r="E43" s="105">
        <v>0.0</v>
      </c>
      <c r="F43" s="106" t="s">
        <v>228</v>
      </c>
      <c r="G43" s="106" t="s">
        <v>228</v>
      </c>
      <c r="H43" s="107"/>
    </row>
    <row r="44" ht="15.75" customHeight="1">
      <c r="A44" s="11" t="s">
        <v>50</v>
      </c>
      <c r="B44" s="81">
        <f t="shared" si="17"/>
        <v>0</v>
      </c>
      <c r="C44" s="81">
        <f t="shared" si="14"/>
        <v>0</v>
      </c>
      <c r="D44" s="105">
        <v>0.0</v>
      </c>
      <c r="E44" s="105">
        <v>0.0</v>
      </c>
      <c r="F44" s="106" t="s">
        <v>228</v>
      </c>
      <c r="G44" s="106" t="s">
        <v>228</v>
      </c>
      <c r="H44" s="107"/>
    </row>
    <row r="45" ht="15.75" customHeight="1">
      <c r="A45" s="104" t="s">
        <v>51</v>
      </c>
      <c r="B45" s="81">
        <f t="shared" si="17"/>
        <v>0</v>
      </c>
      <c r="C45" s="81">
        <f t="shared" si="14"/>
        <v>0</v>
      </c>
      <c r="D45" s="105">
        <v>0.0</v>
      </c>
      <c r="E45" s="105">
        <v>0.0</v>
      </c>
      <c r="F45" s="106" t="s">
        <v>228</v>
      </c>
      <c r="G45" s="106" t="s">
        <v>228</v>
      </c>
      <c r="H45" s="107"/>
    </row>
    <row r="46" ht="15.75" customHeight="1">
      <c r="A46" s="104" t="s">
        <v>52</v>
      </c>
      <c r="B46" s="81">
        <f t="shared" si="17"/>
        <v>0</v>
      </c>
      <c r="C46" s="81">
        <f t="shared" si="14"/>
        <v>0</v>
      </c>
      <c r="D46" s="105">
        <v>0.0</v>
      </c>
      <c r="E46" s="105">
        <v>0.0</v>
      </c>
      <c r="F46" s="106" t="s">
        <v>228</v>
      </c>
      <c r="G46" s="106" t="s">
        <v>228</v>
      </c>
      <c r="H46" s="107"/>
    </row>
    <row r="47" ht="15.75" customHeight="1">
      <c r="A47" s="104" t="s">
        <v>53</v>
      </c>
      <c r="B47" s="81">
        <f t="shared" si="17"/>
        <v>0</v>
      </c>
      <c r="C47" s="81">
        <f t="shared" si="14"/>
        <v>0</v>
      </c>
      <c r="D47" s="105">
        <v>0.0</v>
      </c>
      <c r="E47" s="105">
        <v>0.0</v>
      </c>
      <c r="F47" s="106" t="s">
        <v>228</v>
      </c>
      <c r="G47" s="106" t="s">
        <v>228</v>
      </c>
      <c r="H47" s="107"/>
    </row>
    <row r="48" ht="15.75" customHeight="1">
      <c r="A48" s="104" t="s">
        <v>54</v>
      </c>
      <c r="B48" s="81">
        <f t="shared" si="17"/>
        <v>0</v>
      </c>
      <c r="C48" s="81">
        <f t="shared" si="14"/>
        <v>0</v>
      </c>
      <c r="D48" s="105">
        <v>0.0</v>
      </c>
      <c r="E48" s="105">
        <v>0.0</v>
      </c>
      <c r="F48" s="106" t="s">
        <v>228</v>
      </c>
      <c r="G48" s="106" t="s">
        <v>228</v>
      </c>
      <c r="H48" s="107"/>
    </row>
    <row r="49" ht="15.75" customHeight="1">
      <c r="A49" s="104" t="s">
        <v>55</v>
      </c>
      <c r="B49" s="81">
        <f t="shared" si="17"/>
        <v>0</v>
      </c>
      <c r="C49" s="81">
        <f t="shared" si="14"/>
        <v>0</v>
      </c>
      <c r="D49" s="105">
        <v>0.0</v>
      </c>
      <c r="E49" s="105">
        <v>0.0</v>
      </c>
      <c r="F49" s="106" t="s">
        <v>228</v>
      </c>
      <c r="G49" s="106" t="s">
        <v>228</v>
      </c>
      <c r="H49" s="107"/>
    </row>
    <row r="50" ht="15.75" customHeight="1">
      <c r="A50" s="65" t="s">
        <v>56</v>
      </c>
      <c r="B50" s="92"/>
      <c r="C50" s="92"/>
      <c r="D50" s="105"/>
      <c r="E50" s="105"/>
      <c r="F50" s="106"/>
      <c r="G50" s="106"/>
      <c r="H50" s="107"/>
    </row>
    <row r="51" ht="15.75" customHeight="1">
      <c r="A51" s="60" t="s">
        <v>57</v>
      </c>
      <c r="B51" s="108">
        <f>1723439*1.3%</f>
        <v>22404.707</v>
      </c>
      <c r="C51" s="81">
        <f t="shared" ref="C51:C59" si="22">AVERAGE(D51:G51)</f>
        <v>0</v>
      </c>
      <c r="D51" s="105">
        <v>0.0</v>
      </c>
      <c r="E51" s="105">
        <v>0.0</v>
      </c>
      <c r="F51" s="106" t="s">
        <v>228</v>
      </c>
      <c r="G51" s="106" t="s">
        <v>228</v>
      </c>
      <c r="H51" s="107"/>
    </row>
    <row r="52" ht="15.75" customHeight="1">
      <c r="A52" s="60" t="s">
        <v>58</v>
      </c>
      <c r="B52" s="109">
        <v>134503.45</v>
      </c>
      <c r="C52" s="81">
        <f t="shared" si="22"/>
        <v>0</v>
      </c>
      <c r="D52" s="105">
        <v>0.0</v>
      </c>
      <c r="E52" s="105">
        <v>0.0</v>
      </c>
      <c r="F52" s="106" t="s">
        <v>228</v>
      </c>
      <c r="G52" s="106" t="s">
        <v>228</v>
      </c>
      <c r="H52" s="107"/>
    </row>
    <row r="53" ht="15.75" customHeight="1">
      <c r="A53" s="60" t="s">
        <v>59</v>
      </c>
      <c r="B53" s="81">
        <f t="shared" ref="B53:B59" si="24">SUM(D53:G53)</f>
        <v>5407006</v>
      </c>
      <c r="C53" s="81">
        <f t="shared" si="22"/>
        <v>1351751.5</v>
      </c>
      <c r="D53" s="110">
        <f t="shared" ref="D53:G53" si="23">D86</f>
        <v>4957006</v>
      </c>
      <c r="E53" s="110">
        <f t="shared" si="23"/>
        <v>0</v>
      </c>
      <c r="F53" s="110">
        <f t="shared" si="23"/>
        <v>0</v>
      </c>
      <c r="G53" s="110">
        <f t="shared" si="23"/>
        <v>450000</v>
      </c>
      <c r="H53" s="111"/>
    </row>
    <row r="54" ht="15.75" customHeight="1">
      <c r="A54" s="60" t="s">
        <v>60</v>
      </c>
      <c r="B54" s="81">
        <f t="shared" si="24"/>
        <v>0</v>
      </c>
      <c r="C54" s="81">
        <f t="shared" si="22"/>
        <v>0</v>
      </c>
      <c r="D54" s="105">
        <v>0.0</v>
      </c>
      <c r="E54" s="105">
        <v>0.0</v>
      </c>
      <c r="F54" s="106" t="s">
        <v>228</v>
      </c>
      <c r="G54" s="106" t="s">
        <v>228</v>
      </c>
      <c r="H54" s="107"/>
    </row>
    <row r="55" ht="15.75" customHeight="1">
      <c r="A55" s="60" t="s">
        <v>61</v>
      </c>
      <c r="B55" s="81">
        <f t="shared" si="24"/>
        <v>4957006</v>
      </c>
      <c r="C55" s="81">
        <f t="shared" si="22"/>
        <v>2478503</v>
      </c>
      <c r="D55" s="101">
        <f t="shared" ref="D55:E55" si="25">SUM(D43:D54)</f>
        <v>4957006</v>
      </c>
      <c r="E55" s="101">
        <f t="shared" si="25"/>
        <v>0</v>
      </c>
      <c r="F55" s="106" t="s">
        <v>228</v>
      </c>
      <c r="G55" s="106" t="s">
        <v>228</v>
      </c>
      <c r="H55" s="107"/>
    </row>
    <row r="56" ht="15.75" customHeight="1">
      <c r="A56" s="60" t="s">
        <v>62</v>
      </c>
      <c r="B56" s="81">
        <f t="shared" si="24"/>
        <v>-4802217.4</v>
      </c>
      <c r="C56" s="81">
        <f t="shared" si="22"/>
        <v>-2401108.7</v>
      </c>
      <c r="D56" s="101">
        <f t="shared" ref="D56:E56" si="26">D41-D55</f>
        <v>-4882056.4</v>
      </c>
      <c r="E56" s="101">
        <f t="shared" si="26"/>
        <v>79839</v>
      </c>
      <c r="F56" s="101"/>
      <c r="G56" s="101"/>
      <c r="H56" s="103"/>
    </row>
    <row r="57" ht="15.75" customHeight="1">
      <c r="A57" s="60" t="s">
        <v>231</v>
      </c>
      <c r="B57" s="81">
        <f t="shared" si="24"/>
        <v>-4636060</v>
      </c>
      <c r="C57" s="81">
        <f t="shared" si="22"/>
        <v>-2318030</v>
      </c>
      <c r="D57" s="101">
        <f t="shared" ref="D57:E57" si="27">D42-D51-D52-D53-D54</f>
        <v>-4860560</v>
      </c>
      <c r="E57" s="101">
        <f t="shared" si="27"/>
        <v>224500</v>
      </c>
      <c r="F57" s="106" t="s">
        <v>228</v>
      </c>
      <c r="G57" s="106" t="s">
        <v>228</v>
      </c>
      <c r="H57" s="107"/>
    </row>
    <row r="58" ht="15.75" customHeight="1">
      <c r="A58" s="60"/>
      <c r="B58" s="92">
        <f t="shared" si="24"/>
        <v>0</v>
      </c>
      <c r="C58" s="92" t="str">
        <f t="shared" si="22"/>
        <v>#DIV/0!</v>
      </c>
      <c r="D58" s="60"/>
      <c r="E58" s="60"/>
      <c r="F58" s="106"/>
      <c r="G58" s="60"/>
      <c r="H58" s="102"/>
    </row>
    <row r="59" ht="15.75" customHeight="1">
      <c r="A59" s="56" t="s">
        <v>66</v>
      </c>
      <c r="B59" s="56">
        <f t="shared" si="24"/>
        <v>0</v>
      </c>
      <c r="C59" s="56" t="str">
        <f t="shared" si="22"/>
        <v>#DIV/0!</v>
      </c>
      <c r="D59" s="57"/>
      <c r="E59" s="57"/>
      <c r="F59" s="58"/>
      <c r="G59" s="56"/>
      <c r="H59" s="59"/>
    </row>
    <row r="60" ht="15.75" customHeight="1">
      <c r="A60" s="11" t="s">
        <v>67</v>
      </c>
      <c r="B60" s="108">
        <f t="shared" ref="B60:G60" si="28">B56/B4</f>
        <v>-16007.39133</v>
      </c>
      <c r="C60" s="108">
        <f t="shared" si="28"/>
        <v>-32014.78267</v>
      </c>
      <c r="D60" s="11">
        <f t="shared" si="28"/>
        <v>-30323.33168</v>
      </c>
      <c r="E60" s="11">
        <f t="shared" si="28"/>
        <v>1596.78</v>
      </c>
      <c r="F60" s="11">
        <f t="shared" si="28"/>
        <v>0</v>
      </c>
      <c r="G60" s="11">
        <f t="shared" si="28"/>
        <v>0</v>
      </c>
      <c r="H60" s="112"/>
    </row>
    <row r="61" ht="15.75" customHeight="1">
      <c r="A61" s="11" t="s">
        <v>68</v>
      </c>
      <c r="B61" s="109">
        <f t="shared" ref="B61:G61" si="29">B56/B21</f>
        <v>-150069.2938</v>
      </c>
      <c r="C61" s="108">
        <f t="shared" si="29"/>
        <v>-300138.5875</v>
      </c>
      <c r="D61" s="108">
        <f t="shared" si="29"/>
        <v>-1220514.1</v>
      </c>
      <c r="E61" s="108">
        <f t="shared" si="29"/>
        <v>8871</v>
      </c>
      <c r="F61" s="108">
        <f t="shared" si="29"/>
        <v>0</v>
      </c>
      <c r="G61" s="108">
        <f t="shared" si="29"/>
        <v>0</v>
      </c>
      <c r="H61" s="113"/>
    </row>
    <row r="62" ht="15.75" customHeight="1">
      <c r="A62" s="65" t="s">
        <v>232</v>
      </c>
      <c r="B62" s="68">
        <f t="shared" ref="B62:G62" si="30">B18/B4</f>
        <v>0.14</v>
      </c>
      <c r="C62" s="68">
        <f t="shared" si="30"/>
        <v>0.14</v>
      </c>
      <c r="D62" s="68">
        <f t="shared" si="30"/>
        <v>0.1366459627</v>
      </c>
      <c r="E62" s="68">
        <f t="shared" si="30"/>
        <v>0.12</v>
      </c>
      <c r="F62" s="68">
        <f t="shared" si="30"/>
        <v>0.1219512195</v>
      </c>
      <c r="G62" s="68">
        <f t="shared" si="30"/>
        <v>0.1875</v>
      </c>
      <c r="H62" s="114"/>
    </row>
    <row r="63" ht="15.75" customHeight="1">
      <c r="A63" s="60" t="s">
        <v>70</v>
      </c>
      <c r="B63" s="68">
        <f t="shared" ref="B63:G63" si="31">B12/B10</f>
        <v>1.25</v>
      </c>
      <c r="C63" s="68">
        <f t="shared" si="31"/>
        <v>1.25</v>
      </c>
      <c r="D63" s="68">
        <f t="shared" si="31"/>
        <v>0.8571428571</v>
      </c>
      <c r="E63" s="68">
        <f t="shared" si="31"/>
        <v>1</v>
      </c>
      <c r="F63" s="68" t="str">
        <f t="shared" si="31"/>
        <v>#DIV/0!</v>
      </c>
      <c r="G63" s="68" t="str">
        <f t="shared" si="31"/>
        <v>#DIV/0!</v>
      </c>
      <c r="H63" s="114"/>
    </row>
    <row r="64" ht="15.75" customHeight="1">
      <c r="A64" s="60" t="s">
        <v>71</v>
      </c>
      <c r="B64" s="68">
        <f t="shared" ref="B64:G64" si="32">B22/B4</f>
        <v>0.28</v>
      </c>
      <c r="C64" s="68">
        <f t="shared" si="32"/>
        <v>0.1333333333</v>
      </c>
      <c r="D64" s="68">
        <f t="shared" si="32"/>
        <v>0.03726708075</v>
      </c>
      <c r="E64" s="68">
        <f t="shared" si="32"/>
        <v>0.18</v>
      </c>
      <c r="F64" s="68">
        <f t="shared" si="32"/>
        <v>0.2682926829</v>
      </c>
      <c r="G64" s="68">
        <f t="shared" si="32"/>
        <v>0.2916666667</v>
      </c>
      <c r="H64" s="114"/>
    </row>
    <row r="65" ht="15.75" customHeight="1">
      <c r="A65" s="60" t="s">
        <v>72</v>
      </c>
      <c r="B65" s="68">
        <f t="shared" ref="B65:G65" si="33">B41/B23</f>
        <v>0.1084589846</v>
      </c>
      <c r="C65" s="68">
        <f t="shared" si="33"/>
        <v>0.1084589846</v>
      </c>
      <c r="D65" s="68">
        <f t="shared" si="33"/>
        <v>0.7771146548</v>
      </c>
      <c r="E65" s="68">
        <f t="shared" si="33"/>
        <v>0.3556302895</v>
      </c>
      <c r="F65" s="68">
        <f t="shared" si="33"/>
        <v>-0.5586644444</v>
      </c>
      <c r="G65" s="68">
        <f t="shared" si="33"/>
        <v>-0.233652968</v>
      </c>
      <c r="H65" s="114"/>
    </row>
    <row r="66" ht="15.75" customHeight="1">
      <c r="A66" s="60" t="s">
        <v>73</v>
      </c>
      <c r="B66" s="68">
        <f t="shared" ref="B66:G66" si="34">B56/B23</f>
        <v>-8.192869012</v>
      </c>
      <c r="C66" s="68">
        <f t="shared" si="34"/>
        <v>-16.38573802</v>
      </c>
      <c r="D66" s="68">
        <f t="shared" si="34"/>
        <v>-50.61958402</v>
      </c>
      <c r="E66" s="68">
        <f t="shared" si="34"/>
        <v>0.3556302895</v>
      </c>
      <c r="F66" s="68">
        <f t="shared" si="34"/>
        <v>0</v>
      </c>
      <c r="G66" s="68">
        <f t="shared" si="34"/>
        <v>0</v>
      </c>
      <c r="H66" s="114"/>
    </row>
    <row r="67" ht="15.75" customHeight="1">
      <c r="A67" s="60" t="s">
        <v>74</v>
      </c>
      <c r="B67" s="115">
        <f t="shared" ref="B67:G67" si="35">B20/B21</f>
        <v>1.375</v>
      </c>
      <c r="C67" s="115">
        <f t="shared" si="35"/>
        <v>1.375</v>
      </c>
      <c r="D67" s="115">
        <f t="shared" si="35"/>
        <v>1.25</v>
      </c>
      <c r="E67" s="115">
        <f t="shared" si="35"/>
        <v>1.444444444</v>
      </c>
      <c r="F67" s="115">
        <f t="shared" si="35"/>
        <v>1.285714286</v>
      </c>
      <c r="G67" s="115">
        <f t="shared" si="35"/>
        <v>1.416666667</v>
      </c>
      <c r="H67" s="116"/>
    </row>
    <row r="68" ht="15.75" customHeight="1">
      <c r="A68" s="60"/>
      <c r="B68" s="92">
        <f t="shared" ref="B68:B84" si="36">SUM(D68:G68)</f>
        <v>0</v>
      </c>
      <c r="C68" s="92" t="str">
        <f t="shared" ref="C68:C166" si="37">AVERAGE(D68:G68)</f>
        <v>#DIV/0!</v>
      </c>
      <c r="D68" s="60"/>
      <c r="E68" s="60"/>
      <c r="F68" s="106"/>
      <c r="G68" s="60"/>
      <c r="H68" s="102"/>
    </row>
    <row r="69" ht="15.75" customHeight="1">
      <c r="A69" s="60" t="s">
        <v>64</v>
      </c>
      <c r="B69" s="92">
        <f t="shared" si="36"/>
        <v>0</v>
      </c>
      <c r="C69" s="92" t="str">
        <f t="shared" si="37"/>
        <v>#DIV/0!</v>
      </c>
      <c r="D69" s="60"/>
      <c r="E69" s="60"/>
      <c r="F69" s="106"/>
      <c r="G69" s="60"/>
      <c r="H69" s="102"/>
    </row>
    <row r="70" ht="15.75" customHeight="1">
      <c r="A70" s="60" t="s">
        <v>75</v>
      </c>
      <c r="B70" s="92">
        <f t="shared" si="36"/>
        <v>0</v>
      </c>
      <c r="C70" s="92" t="str">
        <f t="shared" si="37"/>
        <v>#DIV/0!</v>
      </c>
      <c r="D70" s="60"/>
      <c r="E70" s="60"/>
      <c r="F70" s="106"/>
      <c r="G70" s="60"/>
      <c r="H70" s="102"/>
    </row>
    <row r="71" ht="15.75" customHeight="1">
      <c r="A71" s="60"/>
      <c r="B71" s="92">
        <f t="shared" si="36"/>
        <v>0</v>
      </c>
      <c r="C71" s="92" t="str">
        <f t="shared" si="37"/>
        <v>#DIV/0!</v>
      </c>
      <c r="D71" s="60"/>
      <c r="E71" s="60"/>
      <c r="F71" s="106"/>
      <c r="G71" s="60"/>
      <c r="H71" s="102"/>
    </row>
    <row r="72" ht="15.75" customHeight="1">
      <c r="A72" s="56" t="s">
        <v>76</v>
      </c>
      <c r="B72" s="56">
        <f t="shared" si="36"/>
        <v>0</v>
      </c>
      <c r="C72" s="56" t="str">
        <f t="shared" si="37"/>
        <v>#DIV/0!</v>
      </c>
      <c r="D72" s="57"/>
      <c r="E72" s="57"/>
      <c r="F72" s="58"/>
      <c r="G72" s="56"/>
      <c r="H72" s="59"/>
    </row>
    <row r="73" ht="15.75" customHeight="1">
      <c r="A73" s="60" t="s">
        <v>77</v>
      </c>
      <c r="B73" s="92">
        <f t="shared" si="36"/>
        <v>302</v>
      </c>
      <c r="C73" s="92">
        <f t="shared" si="37"/>
        <v>75.5</v>
      </c>
      <c r="D73" s="65">
        <v>169.0</v>
      </c>
      <c r="E73" s="65">
        <v>44.0</v>
      </c>
      <c r="F73" s="64">
        <v>39.0</v>
      </c>
      <c r="G73" s="65">
        <v>50.0</v>
      </c>
      <c r="H73" s="66"/>
    </row>
    <row r="74" ht="15.75" customHeight="1">
      <c r="A74" s="60" t="s">
        <v>78</v>
      </c>
      <c r="B74" s="92">
        <f t="shared" si="36"/>
        <v>34</v>
      </c>
      <c r="C74" s="92">
        <f t="shared" si="37"/>
        <v>8.5</v>
      </c>
      <c r="D74" s="65">
        <v>17.0</v>
      </c>
      <c r="E74" s="65">
        <v>4.0</v>
      </c>
      <c r="F74" s="64">
        <v>5.0</v>
      </c>
      <c r="G74" s="65">
        <v>8.0</v>
      </c>
      <c r="H74" s="66"/>
    </row>
    <row r="75" ht="15.75" customHeight="1">
      <c r="A75" s="65" t="s">
        <v>79</v>
      </c>
      <c r="B75" s="92">
        <f t="shared" si="36"/>
        <v>8</v>
      </c>
      <c r="C75" s="92">
        <f t="shared" si="37"/>
        <v>2</v>
      </c>
      <c r="D75" s="65">
        <v>6.0</v>
      </c>
      <c r="E75" s="65">
        <v>1.0</v>
      </c>
      <c r="F75" s="64">
        <v>0.0</v>
      </c>
      <c r="G75" s="65">
        <v>1.0</v>
      </c>
      <c r="H75" s="66"/>
    </row>
    <row r="76" ht="15.75" customHeight="1">
      <c r="A76" s="60" t="s">
        <v>80</v>
      </c>
      <c r="B76" s="92">
        <f t="shared" si="36"/>
        <v>0</v>
      </c>
      <c r="C76" s="92" t="str">
        <f t="shared" si="37"/>
        <v>#DIV/0!</v>
      </c>
      <c r="D76" s="65"/>
      <c r="E76" s="60"/>
      <c r="F76" s="106"/>
      <c r="G76" s="60"/>
      <c r="H76" s="102"/>
    </row>
    <row r="77" ht="15.75" customHeight="1">
      <c r="A77" s="60" t="s">
        <v>81</v>
      </c>
      <c r="B77" s="92">
        <f t="shared" si="36"/>
        <v>0</v>
      </c>
      <c r="C77" s="92" t="str">
        <f t="shared" si="37"/>
        <v>#DIV/0!</v>
      </c>
      <c r="D77" s="60"/>
      <c r="E77" s="60"/>
      <c r="F77" s="106"/>
      <c r="G77" s="60"/>
      <c r="H77" s="102"/>
    </row>
    <row r="78" ht="15.75" customHeight="1">
      <c r="A78" s="60" t="s">
        <v>84</v>
      </c>
      <c r="B78" s="92">
        <f t="shared" si="36"/>
        <v>0</v>
      </c>
      <c r="C78" s="92" t="str">
        <f t="shared" si="37"/>
        <v>#DIV/0!</v>
      </c>
      <c r="D78" s="60"/>
      <c r="E78" s="60"/>
      <c r="F78" s="106"/>
      <c r="G78" s="60"/>
      <c r="H78" s="102"/>
    </row>
    <row r="79" ht="15.75" customHeight="1">
      <c r="A79" s="60" t="s">
        <v>85</v>
      </c>
      <c r="B79" s="92">
        <f t="shared" si="36"/>
        <v>0</v>
      </c>
      <c r="C79" s="92" t="str">
        <f t="shared" si="37"/>
        <v>#DIV/0!</v>
      </c>
      <c r="D79" s="60"/>
      <c r="E79" s="60"/>
      <c r="F79" s="106"/>
      <c r="G79" s="60"/>
      <c r="H79" s="102"/>
    </row>
    <row r="80" ht="15.75" customHeight="1">
      <c r="A80" s="60" t="s">
        <v>86</v>
      </c>
      <c r="B80" s="92">
        <f t="shared" si="36"/>
        <v>0</v>
      </c>
      <c r="C80" s="92" t="str">
        <f t="shared" si="37"/>
        <v>#DIV/0!</v>
      </c>
      <c r="D80" s="60"/>
      <c r="E80" s="60"/>
      <c r="F80" s="106"/>
      <c r="G80" s="60"/>
      <c r="H80" s="102"/>
    </row>
    <row r="81" ht="15.75" customHeight="1">
      <c r="A81" s="60" t="s">
        <v>87</v>
      </c>
      <c r="B81" s="92">
        <f t="shared" si="36"/>
        <v>0</v>
      </c>
      <c r="C81" s="92" t="str">
        <f t="shared" si="37"/>
        <v>#DIV/0!</v>
      </c>
      <c r="D81" s="60"/>
      <c r="E81" s="60"/>
      <c r="F81" s="106"/>
      <c r="G81" s="60"/>
      <c r="H81" s="102"/>
    </row>
    <row r="82" ht="15.75" customHeight="1">
      <c r="A82" s="60" t="s">
        <v>88</v>
      </c>
      <c r="B82" s="108">
        <f t="shared" si="36"/>
        <v>71000</v>
      </c>
      <c r="C82" s="108">
        <f t="shared" si="37"/>
        <v>35500</v>
      </c>
      <c r="D82" s="104">
        <v>65000.0</v>
      </c>
      <c r="E82" s="11"/>
      <c r="F82" s="117"/>
      <c r="G82" s="104">
        <v>6000.0</v>
      </c>
      <c r="H82" s="66"/>
    </row>
    <row r="83" ht="15.75" customHeight="1">
      <c r="A83" s="60" t="s">
        <v>89</v>
      </c>
      <c r="B83" s="108">
        <f t="shared" si="36"/>
        <v>5405266</v>
      </c>
      <c r="C83" s="108">
        <f t="shared" si="37"/>
        <v>1351316.5</v>
      </c>
      <c r="D83" s="104">
        <v>4955266.0</v>
      </c>
      <c r="E83" s="104">
        <v>0.0</v>
      </c>
      <c r="F83" s="104">
        <v>0.0</v>
      </c>
      <c r="G83" s="104">
        <v>450000.0</v>
      </c>
      <c r="H83" s="102"/>
    </row>
    <row r="84" ht="15.75" customHeight="1">
      <c r="A84" s="60" t="s">
        <v>90</v>
      </c>
      <c r="B84" s="92">
        <f t="shared" si="36"/>
        <v>0</v>
      </c>
      <c r="C84" s="92" t="str">
        <f t="shared" si="37"/>
        <v>#DIV/0!</v>
      </c>
      <c r="D84" s="60"/>
      <c r="E84" s="60"/>
      <c r="F84" s="106"/>
      <c r="G84" s="60"/>
      <c r="H84" s="102"/>
    </row>
    <row r="85" ht="15.75" customHeight="1">
      <c r="A85" s="60" t="s">
        <v>91</v>
      </c>
      <c r="B85" s="109">
        <v>1740.0</v>
      </c>
      <c r="C85" s="108">
        <f t="shared" si="37"/>
        <v>1740</v>
      </c>
      <c r="D85" s="109">
        <v>1740.0</v>
      </c>
      <c r="E85" s="60"/>
      <c r="F85" s="106"/>
      <c r="G85" s="60"/>
      <c r="H85" s="102"/>
    </row>
    <row r="86" ht="15.75" customHeight="1">
      <c r="A86" s="11" t="s">
        <v>92</v>
      </c>
      <c r="B86" s="108">
        <f t="shared" ref="B86:B166" si="39">SUM(D86:G86)</f>
        <v>5407006</v>
      </c>
      <c r="C86" s="108">
        <f t="shared" si="37"/>
        <v>1351751.5</v>
      </c>
      <c r="D86" s="104">
        <f t="shared" ref="D86:G86" si="38">SUM(D83:D85)</f>
        <v>4957006</v>
      </c>
      <c r="E86" s="104">
        <f t="shared" si="38"/>
        <v>0</v>
      </c>
      <c r="F86" s="104">
        <f t="shared" si="38"/>
        <v>0</v>
      </c>
      <c r="G86" s="104">
        <f t="shared" si="38"/>
        <v>450000</v>
      </c>
      <c r="H86" s="118"/>
    </row>
    <row r="87" ht="15.75" customHeight="1">
      <c r="A87" s="60" t="s">
        <v>93</v>
      </c>
      <c r="B87" s="92">
        <f t="shared" si="39"/>
        <v>0</v>
      </c>
      <c r="C87" s="92" t="str">
        <f t="shared" si="37"/>
        <v>#DIV/0!</v>
      </c>
      <c r="D87" s="60"/>
      <c r="E87" s="60"/>
      <c r="F87" s="106"/>
      <c r="G87" s="60"/>
      <c r="H87" s="102"/>
    </row>
    <row r="88" ht="15.75" customHeight="1">
      <c r="A88" s="60" t="s">
        <v>94</v>
      </c>
      <c r="B88" s="68">
        <f t="shared" si="39"/>
        <v>0.4797059351</v>
      </c>
      <c r="C88" s="68">
        <f t="shared" si="37"/>
        <v>0.1199264838</v>
      </c>
      <c r="D88" s="12">
        <f t="shared" ref="D88:G88" si="40">D74/D73</f>
        <v>0.100591716</v>
      </c>
      <c r="E88" s="12">
        <f t="shared" si="40"/>
        <v>0.09090909091</v>
      </c>
      <c r="F88" s="12">
        <f t="shared" si="40"/>
        <v>0.1282051282</v>
      </c>
      <c r="G88" s="12">
        <f t="shared" si="40"/>
        <v>0.16</v>
      </c>
      <c r="H88" s="119"/>
    </row>
    <row r="89" ht="15.75" customHeight="1">
      <c r="A89" s="60" t="s">
        <v>95</v>
      </c>
      <c r="B89" s="92">
        <f t="shared" si="39"/>
        <v>0</v>
      </c>
      <c r="C89" s="92" t="str">
        <f t="shared" si="37"/>
        <v>#DIV/0!</v>
      </c>
      <c r="D89" s="60"/>
      <c r="E89" s="60"/>
      <c r="F89" s="106"/>
      <c r="G89" s="60"/>
      <c r="H89" s="102"/>
    </row>
    <row r="90" ht="15.75" customHeight="1">
      <c r="A90" s="60" t="s">
        <v>75</v>
      </c>
      <c r="B90" s="92">
        <f t="shared" si="39"/>
        <v>0</v>
      </c>
      <c r="C90" s="92" t="str">
        <f t="shared" si="37"/>
        <v>#DIV/0!</v>
      </c>
      <c r="D90" s="60"/>
      <c r="E90" s="60"/>
      <c r="F90" s="106"/>
      <c r="G90" s="60"/>
      <c r="H90" s="102"/>
    </row>
    <row r="91" ht="15.75" customHeight="1">
      <c r="A91" s="60"/>
      <c r="B91" s="92">
        <f t="shared" si="39"/>
        <v>0</v>
      </c>
      <c r="C91" s="92" t="str">
        <f t="shared" si="37"/>
        <v>#DIV/0!</v>
      </c>
      <c r="D91" s="60"/>
      <c r="E91" s="60"/>
      <c r="F91" s="106"/>
      <c r="G91" s="60"/>
      <c r="H91" s="102"/>
    </row>
    <row r="92" ht="15.75" customHeight="1">
      <c r="A92" s="56" t="s">
        <v>96</v>
      </c>
      <c r="B92" s="56">
        <f t="shared" si="39"/>
        <v>0</v>
      </c>
      <c r="C92" s="56" t="str">
        <f t="shared" si="37"/>
        <v>#DIV/0!</v>
      </c>
      <c r="D92" s="57"/>
      <c r="E92" s="57"/>
      <c r="F92" s="58"/>
      <c r="G92" s="56"/>
      <c r="H92" s="59"/>
    </row>
    <row r="93" ht="15.75" customHeight="1">
      <c r="A93" s="60" t="s">
        <v>97</v>
      </c>
      <c r="B93" s="81">
        <f t="shared" si="39"/>
        <v>565098.5</v>
      </c>
      <c r="C93" s="81">
        <f t="shared" si="37"/>
        <v>141274.625</v>
      </c>
      <c r="D93" s="120">
        <v>395163.0</v>
      </c>
      <c r="E93" s="120">
        <v>5104.5</v>
      </c>
      <c r="F93" s="62">
        <v>34833.0</v>
      </c>
      <c r="G93" s="121">
        <v>129998.0</v>
      </c>
      <c r="H93" s="122"/>
    </row>
    <row r="94" ht="15.75" customHeight="1">
      <c r="A94" s="60" t="s">
        <v>98</v>
      </c>
      <c r="B94" s="81">
        <f t="shared" si="39"/>
        <v>542962.1</v>
      </c>
      <c r="C94" s="81">
        <f t="shared" si="37"/>
        <v>135740.525</v>
      </c>
      <c r="D94" s="120">
        <v>264634.6</v>
      </c>
      <c r="E94" s="120">
        <v>48330.0</v>
      </c>
      <c r="F94" s="62">
        <v>24213.8</v>
      </c>
      <c r="G94" s="121">
        <v>205783.7</v>
      </c>
      <c r="H94" s="122"/>
    </row>
    <row r="95" ht="15.75" customHeight="1">
      <c r="A95" s="60" t="s">
        <v>99</v>
      </c>
      <c r="B95" s="61">
        <f t="shared" si="39"/>
        <v>18</v>
      </c>
      <c r="C95" s="61">
        <f t="shared" si="37"/>
        <v>4.5</v>
      </c>
      <c r="D95" s="123">
        <v>8.0</v>
      </c>
      <c r="E95" s="123">
        <v>1.0</v>
      </c>
      <c r="F95" s="124">
        <v>2.0</v>
      </c>
      <c r="G95" s="124">
        <v>7.0</v>
      </c>
      <c r="H95" s="125"/>
    </row>
    <row r="96" ht="15.75" customHeight="1">
      <c r="A96" s="60" t="s">
        <v>100</v>
      </c>
      <c r="B96" s="61">
        <f t="shared" si="39"/>
        <v>53</v>
      </c>
      <c r="C96" s="61">
        <f t="shared" si="37"/>
        <v>13.25</v>
      </c>
      <c r="D96" s="126">
        <v>3.0</v>
      </c>
      <c r="E96" s="126">
        <v>4.0</v>
      </c>
      <c r="F96" s="124">
        <v>15.0</v>
      </c>
      <c r="G96" s="124">
        <v>31.0</v>
      </c>
      <c r="H96" s="125"/>
    </row>
    <row r="97" ht="15.75" customHeight="1">
      <c r="A97" s="60" t="s">
        <v>101</v>
      </c>
      <c r="B97" s="81">
        <f t="shared" si="39"/>
        <v>0</v>
      </c>
      <c r="C97" s="81">
        <f t="shared" si="37"/>
        <v>0</v>
      </c>
      <c r="D97" s="120">
        <v>0.0</v>
      </c>
      <c r="E97" s="120">
        <v>0.0</v>
      </c>
      <c r="F97" s="120">
        <v>0.0</v>
      </c>
      <c r="G97" s="120">
        <v>0.0</v>
      </c>
      <c r="H97" s="127"/>
    </row>
    <row r="98" ht="15.75" customHeight="1">
      <c r="A98" s="60" t="s">
        <v>102</v>
      </c>
      <c r="B98" s="81">
        <f t="shared" si="39"/>
        <v>0</v>
      </c>
      <c r="C98" s="81">
        <f t="shared" si="37"/>
        <v>0</v>
      </c>
      <c r="D98" s="120">
        <v>0.0</v>
      </c>
      <c r="E98" s="120">
        <v>0.0</v>
      </c>
      <c r="F98" s="120">
        <v>0.0</v>
      </c>
      <c r="G98" s="120">
        <v>0.0</v>
      </c>
      <c r="H98" s="127"/>
    </row>
    <row r="99" ht="15.75" customHeight="1">
      <c r="A99" s="60" t="s">
        <v>103</v>
      </c>
      <c r="B99" s="61">
        <f t="shared" si="39"/>
        <v>0</v>
      </c>
      <c r="C99" s="61">
        <f t="shared" si="37"/>
        <v>0</v>
      </c>
      <c r="D99" s="123">
        <v>0.0</v>
      </c>
      <c r="E99" s="123">
        <v>0.0</v>
      </c>
      <c r="F99" s="123">
        <v>0.0</v>
      </c>
      <c r="G99" s="123">
        <v>0.0</v>
      </c>
      <c r="H99" s="128"/>
    </row>
    <row r="100" ht="15.75" customHeight="1">
      <c r="A100" s="60" t="s">
        <v>104</v>
      </c>
      <c r="B100" s="61">
        <f t="shared" si="39"/>
        <v>0</v>
      </c>
      <c r="C100" s="61">
        <f t="shared" si="37"/>
        <v>0</v>
      </c>
      <c r="D100" s="123">
        <v>0.0</v>
      </c>
      <c r="E100" s="123">
        <v>0.0</v>
      </c>
      <c r="F100" s="123">
        <v>0.0</v>
      </c>
      <c r="G100" s="123">
        <v>0.0</v>
      </c>
      <c r="H100" s="128"/>
    </row>
    <row r="101" ht="15.75" customHeight="1">
      <c r="A101" s="60" t="s">
        <v>105</v>
      </c>
      <c r="B101" s="61">
        <f t="shared" si="39"/>
        <v>18</v>
      </c>
      <c r="C101" s="61">
        <f t="shared" si="37"/>
        <v>4.5</v>
      </c>
      <c r="D101" s="123">
        <f t="shared" ref="D101:G101" si="41">D95+D99</f>
        <v>8</v>
      </c>
      <c r="E101" s="123">
        <f t="shared" si="41"/>
        <v>1</v>
      </c>
      <c r="F101" s="123">
        <f t="shared" si="41"/>
        <v>2</v>
      </c>
      <c r="G101" s="123">
        <f t="shared" si="41"/>
        <v>7</v>
      </c>
      <c r="H101" s="128"/>
    </row>
    <row r="102" ht="15.75" customHeight="1">
      <c r="A102" s="60" t="s">
        <v>106</v>
      </c>
      <c r="B102" s="81">
        <f t="shared" si="39"/>
        <v>565098.5</v>
      </c>
      <c r="C102" s="81">
        <f t="shared" si="37"/>
        <v>141274.625</v>
      </c>
      <c r="D102" s="120">
        <f t="shared" ref="D102:G102" si="42">D93+D97</f>
        <v>395163</v>
      </c>
      <c r="E102" s="120">
        <f t="shared" si="42"/>
        <v>5104.5</v>
      </c>
      <c r="F102" s="120">
        <f t="shared" si="42"/>
        <v>34833</v>
      </c>
      <c r="G102" s="120">
        <f t="shared" si="42"/>
        <v>129998</v>
      </c>
      <c r="H102" s="127"/>
    </row>
    <row r="103" ht="15.75" customHeight="1">
      <c r="A103" s="60" t="s">
        <v>107</v>
      </c>
      <c r="B103" s="81">
        <f t="shared" si="39"/>
        <v>542962.1</v>
      </c>
      <c r="C103" s="81">
        <f t="shared" si="37"/>
        <v>135740.525</v>
      </c>
      <c r="D103" s="120">
        <f t="shared" ref="D103:G103" si="43">D94+D98</f>
        <v>264634.6</v>
      </c>
      <c r="E103" s="120">
        <f t="shared" si="43"/>
        <v>48330</v>
      </c>
      <c r="F103" s="120">
        <f t="shared" si="43"/>
        <v>24213.8</v>
      </c>
      <c r="G103" s="120">
        <f t="shared" si="43"/>
        <v>205783.7</v>
      </c>
      <c r="H103" s="127"/>
    </row>
    <row r="104" ht="15.75" customHeight="1">
      <c r="A104" s="60" t="s">
        <v>40</v>
      </c>
      <c r="B104" s="68">
        <f t="shared" si="39"/>
        <v>12.41591659</v>
      </c>
      <c r="C104" s="68">
        <f t="shared" si="37"/>
        <v>3.103979147</v>
      </c>
      <c r="D104" s="129">
        <f t="shared" ref="D104:G104" si="44">D103/D102</f>
        <v>0.6696846618</v>
      </c>
      <c r="E104" s="129">
        <f t="shared" si="44"/>
        <v>9.468116368</v>
      </c>
      <c r="F104" s="129">
        <f t="shared" si="44"/>
        <v>0.6951396664</v>
      </c>
      <c r="G104" s="129">
        <f t="shared" si="44"/>
        <v>1.582975892</v>
      </c>
      <c r="H104" s="130"/>
    </row>
    <row r="105" ht="15.75" customHeight="1">
      <c r="A105" s="60" t="s">
        <v>43</v>
      </c>
      <c r="B105" s="81">
        <f t="shared" si="39"/>
        <v>22136.4</v>
      </c>
      <c r="C105" s="81">
        <f t="shared" si="37"/>
        <v>5534.1</v>
      </c>
      <c r="D105" s="120">
        <f t="shared" ref="D105:G105" si="45">D102-D103</f>
        <v>130528.4</v>
      </c>
      <c r="E105" s="120">
        <f t="shared" si="45"/>
        <v>-43225.5</v>
      </c>
      <c r="F105" s="120">
        <f t="shared" si="45"/>
        <v>10619.2</v>
      </c>
      <c r="G105" s="120">
        <f t="shared" si="45"/>
        <v>-75785.7</v>
      </c>
      <c r="H105" s="127"/>
    </row>
    <row r="106" ht="15.75" customHeight="1">
      <c r="A106" s="60" t="s">
        <v>108</v>
      </c>
      <c r="B106" s="81">
        <f t="shared" si="39"/>
        <v>0</v>
      </c>
      <c r="C106" s="81">
        <f t="shared" si="37"/>
        <v>0</v>
      </c>
      <c r="D106" s="120">
        <v>0.0</v>
      </c>
      <c r="E106" s="120">
        <v>0.0</v>
      </c>
      <c r="F106" s="120">
        <v>0.0</v>
      </c>
      <c r="G106" s="120">
        <v>0.0</v>
      </c>
      <c r="H106" s="127"/>
    </row>
    <row r="107" ht="15.75" customHeight="1">
      <c r="A107" s="60" t="s">
        <v>62</v>
      </c>
      <c r="B107" s="92">
        <f t="shared" si="39"/>
        <v>0</v>
      </c>
      <c r="C107" s="92" t="str">
        <f t="shared" si="37"/>
        <v>#DIV/0!</v>
      </c>
      <c r="D107" s="60"/>
      <c r="E107" s="60"/>
      <c r="F107" s="106"/>
      <c r="G107" s="106"/>
      <c r="H107" s="107"/>
    </row>
    <row r="108" ht="15.75" customHeight="1">
      <c r="A108" s="60" t="s">
        <v>64</v>
      </c>
      <c r="B108" s="92">
        <f t="shared" si="39"/>
        <v>0</v>
      </c>
      <c r="C108" s="92" t="str">
        <f t="shared" si="37"/>
        <v>#DIV/0!</v>
      </c>
      <c r="D108" s="60"/>
      <c r="E108" s="60"/>
      <c r="F108" s="106"/>
      <c r="G108" s="60"/>
      <c r="H108" s="102"/>
    </row>
    <row r="109" ht="15.75" customHeight="1">
      <c r="A109" s="60" t="s">
        <v>75</v>
      </c>
      <c r="B109" s="92">
        <f t="shared" si="39"/>
        <v>0</v>
      </c>
      <c r="C109" s="92" t="str">
        <f t="shared" si="37"/>
        <v>#DIV/0!</v>
      </c>
      <c r="D109" s="60"/>
      <c r="E109" s="60"/>
      <c r="F109" s="106"/>
      <c r="G109" s="60"/>
      <c r="H109" s="102"/>
    </row>
    <row r="110" ht="15.75" customHeight="1">
      <c r="A110" s="60"/>
      <c r="B110" s="92">
        <f t="shared" si="39"/>
        <v>0</v>
      </c>
      <c r="C110" s="92" t="str">
        <f t="shared" si="37"/>
        <v>#DIV/0!</v>
      </c>
      <c r="D110" s="60"/>
      <c r="E110" s="60"/>
      <c r="F110" s="106"/>
      <c r="G110" s="60"/>
      <c r="H110" s="102"/>
    </row>
    <row r="111" ht="15.75" customHeight="1">
      <c r="A111" s="56" t="s">
        <v>109</v>
      </c>
      <c r="B111" s="56">
        <f t="shared" si="39"/>
        <v>0</v>
      </c>
      <c r="C111" s="56" t="str">
        <f t="shared" si="37"/>
        <v>#DIV/0!</v>
      </c>
      <c r="D111" s="57"/>
      <c r="E111" s="57"/>
      <c r="F111" s="58"/>
      <c r="G111" s="56"/>
      <c r="H111" s="59"/>
    </row>
    <row r="112" ht="15.75" customHeight="1">
      <c r="A112" s="60" t="s">
        <v>97</v>
      </c>
      <c r="B112" s="81">
        <f t="shared" si="39"/>
        <v>709339.5</v>
      </c>
      <c r="C112" s="81">
        <f t="shared" si="37"/>
        <v>177334.875</v>
      </c>
      <c r="D112" s="120">
        <v>2310.0</v>
      </c>
      <c r="E112" s="120">
        <v>0.0</v>
      </c>
      <c r="F112" s="131">
        <v>289209.5</v>
      </c>
      <c r="G112" s="132">
        <v>417820.0</v>
      </c>
      <c r="H112" s="133"/>
    </row>
    <row r="113" ht="15.75" customHeight="1">
      <c r="A113" s="60" t="s">
        <v>98</v>
      </c>
      <c r="B113" s="81">
        <f t="shared" si="39"/>
        <v>875201.2</v>
      </c>
      <c r="C113" s="81">
        <f t="shared" si="37"/>
        <v>218800.3</v>
      </c>
      <c r="D113" s="120">
        <v>0.0</v>
      </c>
      <c r="E113" s="120">
        <v>0.0</v>
      </c>
      <c r="F113" s="131">
        <v>385197.7</v>
      </c>
      <c r="G113" s="134">
        <v>490003.5</v>
      </c>
      <c r="H113" s="134"/>
    </row>
    <row r="114" ht="15.75" customHeight="1">
      <c r="A114" s="60" t="s">
        <v>99</v>
      </c>
      <c r="B114" s="61">
        <f t="shared" si="39"/>
        <v>9</v>
      </c>
      <c r="C114" s="61">
        <f t="shared" si="37"/>
        <v>2.25</v>
      </c>
      <c r="D114" s="123">
        <v>2.0</v>
      </c>
      <c r="E114" s="123">
        <v>0.0</v>
      </c>
      <c r="F114" s="124">
        <v>2.0</v>
      </c>
      <c r="G114" s="65">
        <v>5.0</v>
      </c>
      <c r="H114" s="66"/>
    </row>
    <row r="115" ht="15.75" customHeight="1">
      <c r="A115" s="60" t="s">
        <v>100</v>
      </c>
      <c r="B115" s="61">
        <f t="shared" si="39"/>
        <v>30</v>
      </c>
      <c r="C115" s="61">
        <f t="shared" si="37"/>
        <v>7.5</v>
      </c>
      <c r="D115" s="126">
        <v>0.0</v>
      </c>
      <c r="E115" s="126">
        <v>0.0</v>
      </c>
      <c r="F115" s="124">
        <v>11.0</v>
      </c>
      <c r="G115" s="65">
        <v>19.0</v>
      </c>
      <c r="H115" s="66"/>
    </row>
    <row r="116" ht="15.75" customHeight="1">
      <c r="A116" s="60" t="s">
        <v>101</v>
      </c>
      <c r="B116" s="81">
        <f t="shared" si="39"/>
        <v>0</v>
      </c>
      <c r="C116" s="81">
        <f t="shared" si="37"/>
        <v>0</v>
      </c>
      <c r="D116" s="120">
        <v>0.0</v>
      </c>
      <c r="E116" s="120">
        <v>0.0</v>
      </c>
      <c r="F116" s="120">
        <v>0.0</v>
      </c>
      <c r="G116" s="60"/>
      <c r="H116" s="102"/>
    </row>
    <row r="117" ht="15.75" customHeight="1">
      <c r="A117" s="60" t="s">
        <v>102</v>
      </c>
      <c r="B117" s="81">
        <f t="shared" si="39"/>
        <v>0</v>
      </c>
      <c r="C117" s="81">
        <f t="shared" si="37"/>
        <v>0</v>
      </c>
      <c r="D117" s="120">
        <v>0.0</v>
      </c>
      <c r="E117" s="120">
        <v>0.0</v>
      </c>
      <c r="F117" s="120">
        <v>0.0</v>
      </c>
      <c r="G117" s="60"/>
      <c r="H117" s="102"/>
    </row>
    <row r="118" ht="15.75" customHeight="1">
      <c r="A118" s="60" t="s">
        <v>103</v>
      </c>
      <c r="B118" s="61">
        <f t="shared" si="39"/>
        <v>0</v>
      </c>
      <c r="C118" s="61">
        <f t="shared" si="37"/>
        <v>0</v>
      </c>
      <c r="D118" s="123">
        <v>0.0</v>
      </c>
      <c r="E118" s="123">
        <v>0.0</v>
      </c>
      <c r="F118" s="123">
        <v>0.0</v>
      </c>
      <c r="G118" s="60"/>
      <c r="H118" s="102"/>
    </row>
    <row r="119" ht="15.75" customHeight="1">
      <c r="A119" s="60" t="s">
        <v>104</v>
      </c>
      <c r="B119" s="61">
        <f t="shared" si="39"/>
        <v>0</v>
      </c>
      <c r="C119" s="61">
        <f t="shared" si="37"/>
        <v>0</v>
      </c>
      <c r="D119" s="123">
        <v>0.0</v>
      </c>
      <c r="E119" s="123">
        <v>0.0</v>
      </c>
      <c r="F119" s="123">
        <v>0.0</v>
      </c>
      <c r="G119" s="60"/>
      <c r="H119" s="102"/>
    </row>
    <row r="120" ht="15.75" customHeight="1">
      <c r="A120" s="60" t="s">
        <v>105</v>
      </c>
      <c r="B120" s="61">
        <f t="shared" si="39"/>
        <v>2</v>
      </c>
      <c r="C120" s="61">
        <f t="shared" si="37"/>
        <v>0.6666666667</v>
      </c>
      <c r="D120" s="123">
        <f>D114+D118</f>
        <v>2</v>
      </c>
      <c r="E120" s="123">
        <v>0.0</v>
      </c>
      <c r="F120" s="123">
        <v>0.0</v>
      </c>
      <c r="G120" s="60"/>
      <c r="H120" s="102"/>
    </row>
    <row r="121" ht="15.75" customHeight="1">
      <c r="A121" s="60" t="s">
        <v>106</v>
      </c>
      <c r="B121" s="81">
        <f t="shared" si="39"/>
        <v>709339.5</v>
      </c>
      <c r="C121" s="81">
        <f t="shared" si="37"/>
        <v>177334.875</v>
      </c>
      <c r="D121" s="120">
        <f t="shared" ref="D121:G121" si="46">D112+D116</f>
        <v>2310</v>
      </c>
      <c r="E121" s="120">
        <f t="shared" si="46"/>
        <v>0</v>
      </c>
      <c r="F121" s="120">
        <f t="shared" si="46"/>
        <v>289209.5</v>
      </c>
      <c r="G121" s="120">
        <f t="shared" si="46"/>
        <v>417820</v>
      </c>
      <c r="H121" s="127"/>
    </row>
    <row r="122" ht="15.75" customHeight="1">
      <c r="A122" s="60" t="s">
        <v>107</v>
      </c>
      <c r="B122" s="81">
        <f t="shared" si="39"/>
        <v>875201.2</v>
      </c>
      <c r="C122" s="81">
        <f t="shared" si="37"/>
        <v>218800.3</v>
      </c>
      <c r="D122" s="120">
        <f t="shared" ref="D122:G122" si="47">D113+D117</f>
        <v>0</v>
      </c>
      <c r="E122" s="120">
        <f t="shared" si="47"/>
        <v>0</v>
      </c>
      <c r="F122" s="120">
        <f t="shared" si="47"/>
        <v>385197.7</v>
      </c>
      <c r="G122" s="120">
        <f t="shared" si="47"/>
        <v>490003.5</v>
      </c>
      <c r="H122" s="127"/>
    </row>
    <row r="123" ht="15.75" customHeight="1">
      <c r="A123" s="60" t="s">
        <v>40</v>
      </c>
      <c r="B123" s="68">
        <f t="shared" si="39"/>
        <v>0</v>
      </c>
      <c r="C123" s="68">
        <f t="shared" si="37"/>
        <v>0</v>
      </c>
      <c r="D123" s="129">
        <f>D122/D121</f>
        <v>0</v>
      </c>
      <c r="E123" s="129">
        <v>0.0</v>
      </c>
      <c r="F123" s="129">
        <v>0.0</v>
      </c>
      <c r="G123" s="129">
        <v>0.0</v>
      </c>
      <c r="H123" s="130"/>
    </row>
    <row r="124" ht="15.75" customHeight="1">
      <c r="A124" s="60" t="s">
        <v>43</v>
      </c>
      <c r="B124" s="81">
        <f t="shared" si="39"/>
        <v>-165861.7</v>
      </c>
      <c r="C124" s="81">
        <f t="shared" si="37"/>
        <v>-41465.425</v>
      </c>
      <c r="D124" s="120">
        <f t="shared" ref="D124:G124" si="48">D121-D122</f>
        <v>2310</v>
      </c>
      <c r="E124" s="120">
        <f t="shared" si="48"/>
        <v>0</v>
      </c>
      <c r="F124" s="120">
        <f t="shared" si="48"/>
        <v>-95988.2</v>
      </c>
      <c r="G124" s="120">
        <f t="shared" si="48"/>
        <v>-72183.5</v>
      </c>
      <c r="H124" s="127"/>
    </row>
    <row r="125" ht="15.75" customHeight="1">
      <c r="A125" s="60" t="s">
        <v>110</v>
      </c>
      <c r="B125" s="81">
        <f t="shared" si="39"/>
        <v>0</v>
      </c>
      <c r="C125" s="81">
        <f t="shared" si="37"/>
        <v>0</v>
      </c>
      <c r="D125" s="120">
        <v>0.0</v>
      </c>
      <c r="E125" s="120">
        <v>0.0</v>
      </c>
      <c r="F125" s="120">
        <v>0.0</v>
      </c>
      <c r="G125" s="120">
        <v>0.0</v>
      </c>
      <c r="H125" s="127"/>
    </row>
    <row r="126" ht="15.75" customHeight="1">
      <c r="A126" s="60" t="s">
        <v>62</v>
      </c>
      <c r="B126" s="92">
        <f t="shared" si="39"/>
        <v>0</v>
      </c>
      <c r="C126" s="92" t="str">
        <f t="shared" si="37"/>
        <v>#DIV/0!</v>
      </c>
      <c r="D126" s="60"/>
      <c r="E126" s="60"/>
      <c r="F126" s="106"/>
      <c r="G126" s="60"/>
      <c r="H126" s="102"/>
    </row>
    <row r="127" ht="15.75" customHeight="1">
      <c r="A127" s="60" t="s">
        <v>64</v>
      </c>
      <c r="B127" s="92">
        <f t="shared" si="39"/>
        <v>0</v>
      </c>
      <c r="C127" s="92" t="str">
        <f t="shared" si="37"/>
        <v>#DIV/0!</v>
      </c>
      <c r="D127" s="60"/>
      <c r="E127" s="60"/>
      <c r="F127" s="106"/>
      <c r="G127" s="60"/>
      <c r="H127" s="102"/>
    </row>
    <row r="128" ht="15.75" customHeight="1">
      <c r="A128" s="60" t="s">
        <v>75</v>
      </c>
      <c r="B128" s="92">
        <f t="shared" si="39"/>
        <v>0</v>
      </c>
      <c r="C128" s="92" t="str">
        <f t="shared" si="37"/>
        <v>#DIV/0!</v>
      </c>
      <c r="D128" s="60"/>
      <c r="E128" s="60"/>
      <c r="F128" s="106"/>
      <c r="G128" s="60"/>
      <c r="H128" s="102"/>
    </row>
    <row r="129" ht="15.75" customHeight="1">
      <c r="A129" s="60"/>
      <c r="B129" s="92">
        <f t="shared" si="39"/>
        <v>0</v>
      </c>
      <c r="C129" s="92" t="str">
        <f t="shared" si="37"/>
        <v>#DIV/0!</v>
      </c>
      <c r="D129" s="60"/>
      <c r="E129" s="60"/>
      <c r="F129" s="106"/>
      <c r="G129" s="60"/>
      <c r="H129" s="102"/>
    </row>
    <row r="130" ht="15.75" customHeight="1">
      <c r="A130" s="56" t="s">
        <v>111</v>
      </c>
      <c r="B130" s="56">
        <f t="shared" si="39"/>
        <v>0</v>
      </c>
      <c r="C130" s="56" t="str">
        <f t="shared" si="37"/>
        <v>#DIV/0!</v>
      </c>
      <c r="D130" s="57"/>
      <c r="E130" s="57"/>
      <c r="F130" s="58"/>
      <c r="G130" s="56"/>
      <c r="H130" s="59"/>
    </row>
    <row r="131" ht="15.75" customHeight="1">
      <c r="A131" s="60" t="s">
        <v>97</v>
      </c>
      <c r="B131" s="81">
        <f t="shared" si="39"/>
        <v>1270337.3</v>
      </c>
      <c r="C131" s="81">
        <f t="shared" si="37"/>
        <v>317584.325</v>
      </c>
      <c r="D131" s="120">
        <v>395163.0</v>
      </c>
      <c r="E131" s="120">
        <v>153789.0</v>
      </c>
      <c r="F131" s="135">
        <v>186806.8</v>
      </c>
      <c r="G131" s="132">
        <v>534578.5</v>
      </c>
      <c r="H131" s="133"/>
    </row>
    <row r="132" ht="15.75" customHeight="1">
      <c r="A132" s="60" t="s">
        <v>98</v>
      </c>
      <c r="B132" s="81">
        <f t="shared" si="39"/>
        <v>880387.7</v>
      </c>
      <c r="C132" s="81">
        <f t="shared" si="37"/>
        <v>220096.925</v>
      </c>
      <c r="D132" s="120">
        <v>264634.6</v>
      </c>
      <c r="E132" s="120">
        <v>250173.0</v>
      </c>
      <c r="F132" s="135">
        <v>121742.2</v>
      </c>
      <c r="G132" s="132">
        <v>243837.9</v>
      </c>
      <c r="H132" s="133"/>
    </row>
    <row r="133" ht="15.75" customHeight="1">
      <c r="A133" s="60" t="s">
        <v>99</v>
      </c>
      <c r="B133" s="61">
        <f t="shared" si="39"/>
        <v>34</v>
      </c>
      <c r="C133" s="61">
        <f t="shared" si="37"/>
        <v>8.5</v>
      </c>
      <c r="D133" s="123">
        <v>8.0</v>
      </c>
      <c r="E133" s="123">
        <v>7.0</v>
      </c>
      <c r="F133" s="64">
        <v>6.0</v>
      </c>
      <c r="G133" s="65">
        <v>13.0</v>
      </c>
      <c r="H133" s="66"/>
    </row>
    <row r="134" ht="15.75" customHeight="1">
      <c r="A134" s="60" t="s">
        <v>100</v>
      </c>
      <c r="B134" s="61">
        <f t="shared" si="39"/>
        <v>110</v>
      </c>
      <c r="C134" s="61">
        <f t="shared" si="37"/>
        <v>27.5</v>
      </c>
      <c r="D134" s="126">
        <v>29.0</v>
      </c>
      <c r="E134" s="126">
        <v>15.0</v>
      </c>
      <c r="F134" s="64">
        <v>15.0</v>
      </c>
      <c r="G134" s="65">
        <v>51.0</v>
      </c>
      <c r="H134" s="66"/>
    </row>
    <row r="135" ht="15.75" customHeight="1">
      <c r="A135" s="60" t="s">
        <v>101</v>
      </c>
      <c r="B135" s="81">
        <f t="shared" si="39"/>
        <v>0</v>
      </c>
      <c r="C135" s="81">
        <f t="shared" si="37"/>
        <v>0</v>
      </c>
      <c r="D135" s="120">
        <v>0.0</v>
      </c>
      <c r="E135" s="120">
        <v>0.0</v>
      </c>
      <c r="F135" s="136">
        <v>0.0</v>
      </c>
      <c r="G135" s="60"/>
      <c r="H135" s="102"/>
    </row>
    <row r="136" ht="15.75" customHeight="1">
      <c r="A136" s="60" t="s">
        <v>102</v>
      </c>
      <c r="B136" s="81">
        <f t="shared" si="39"/>
        <v>0</v>
      </c>
      <c r="C136" s="81">
        <f t="shared" si="37"/>
        <v>0</v>
      </c>
      <c r="D136" s="120">
        <v>0.0</v>
      </c>
      <c r="E136" s="120">
        <v>0.0</v>
      </c>
      <c r="F136" s="136">
        <v>0.0</v>
      </c>
      <c r="G136" s="60"/>
      <c r="H136" s="102"/>
    </row>
    <row r="137" ht="15.75" customHeight="1">
      <c r="A137" s="60" t="s">
        <v>103</v>
      </c>
      <c r="B137" s="61">
        <f t="shared" si="39"/>
        <v>0</v>
      </c>
      <c r="C137" s="61">
        <f t="shared" si="37"/>
        <v>0</v>
      </c>
      <c r="D137" s="123">
        <v>0.0</v>
      </c>
      <c r="E137" s="123">
        <v>0.0</v>
      </c>
      <c r="F137" s="64">
        <v>0.0</v>
      </c>
      <c r="G137" s="60"/>
      <c r="H137" s="102"/>
    </row>
    <row r="138" ht="15.75" customHeight="1">
      <c r="A138" s="60" t="s">
        <v>104</v>
      </c>
      <c r="B138" s="61">
        <f t="shared" si="39"/>
        <v>0</v>
      </c>
      <c r="C138" s="61">
        <f t="shared" si="37"/>
        <v>0</v>
      </c>
      <c r="D138" s="123">
        <v>0.0</v>
      </c>
      <c r="E138" s="123">
        <v>0.0</v>
      </c>
      <c r="F138" s="64">
        <v>0.0</v>
      </c>
      <c r="G138" s="60"/>
      <c r="H138" s="102"/>
    </row>
    <row r="139" ht="15.75" customHeight="1">
      <c r="A139" s="60" t="s">
        <v>105</v>
      </c>
      <c r="B139" s="61">
        <f t="shared" si="39"/>
        <v>21</v>
      </c>
      <c r="C139" s="61">
        <f t="shared" si="37"/>
        <v>7</v>
      </c>
      <c r="D139" s="123">
        <f t="shared" ref="D139:F139" si="49">D133+D137</f>
        <v>8</v>
      </c>
      <c r="E139" s="123">
        <f t="shared" si="49"/>
        <v>7</v>
      </c>
      <c r="F139" s="123">
        <f t="shared" si="49"/>
        <v>6</v>
      </c>
      <c r="G139" s="60"/>
      <c r="H139" s="102"/>
    </row>
    <row r="140" ht="15.75" customHeight="1">
      <c r="A140" s="60" t="s">
        <v>106</v>
      </c>
      <c r="B140" s="81">
        <f t="shared" si="39"/>
        <v>1270337.3</v>
      </c>
      <c r="C140" s="81">
        <f t="shared" si="37"/>
        <v>317584.325</v>
      </c>
      <c r="D140" s="120">
        <f t="shared" ref="D140:G140" si="50">D131+D135</f>
        <v>395163</v>
      </c>
      <c r="E140" s="120">
        <f t="shared" si="50"/>
        <v>153789</v>
      </c>
      <c r="F140" s="120">
        <f t="shared" si="50"/>
        <v>186806.8</v>
      </c>
      <c r="G140" s="120">
        <f t="shared" si="50"/>
        <v>534578.5</v>
      </c>
      <c r="H140" s="127"/>
    </row>
    <row r="141" ht="15.75" customHeight="1">
      <c r="A141" s="60" t="s">
        <v>107</v>
      </c>
      <c r="B141" s="81">
        <f t="shared" si="39"/>
        <v>880387.7</v>
      </c>
      <c r="C141" s="81">
        <f t="shared" si="37"/>
        <v>220096.925</v>
      </c>
      <c r="D141" s="120">
        <f t="shared" ref="D141:G141" si="51">D132+D136</f>
        <v>264634.6</v>
      </c>
      <c r="E141" s="120">
        <f t="shared" si="51"/>
        <v>250173</v>
      </c>
      <c r="F141" s="120">
        <f t="shared" si="51"/>
        <v>121742.2</v>
      </c>
      <c r="G141" s="120">
        <f t="shared" si="51"/>
        <v>243837.9</v>
      </c>
      <c r="H141" s="127"/>
    </row>
    <row r="142" ht="15.75" customHeight="1">
      <c r="A142" s="60" t="s">
        <v>40</v>
      </c>
      <c r="B142" s="68">
        <f t="shared" si="39"/>
        <v>3.404245746</v>
      </c>
      <c r="C142" s="68">
        <f t="shared" si="37"/>
        <v>0.8510614365</v>
      </c>
      <c r="D142" s="129">
        <f t="shared" ref="D142:G142" si="52">D141/D140</f>
        <v>0.6696846618</v>
      </c>
      <c r="E142" s="129">
        <f t="shared" si="52"/>
        <v>1.62672883</v>
      </c>
      <c r="F142" s="129">
        <f t="shared" si="52"/>
        <v>0.6517011158</v>
      </c>
      <c r="G142" s="129">
        <f t="shared" si="52"/>
        <v>0.4561311388</v>
      </c>
      <c r="H142" s="130"/>
    </row>
    <row r="143" ht="15.75" customHeight="1">
      <c r="A143" s="60" t="s">
        <v>43</v>
      </c>
      <c r="B143" s="81">
        <f t="shared" si="39"/>
        <v>389949.6</v>
      </c>
      <c r="C143" s="81">
        <f t="shared" si="37"/>
        <v>97487.4</v>
      </c>
      <c r="D143" s="120">
        <f t="shared" ref="D143:G143" si="53">D140-D141</f>
        <v>130528.4</v>
      </c>
      <c r="E143" s="120">
        <f t="shared" si="53"/>
        <v>-96384</v>
      </c>
      <c r="F143" s="120">
        <f t="shared" si="53"/>
        <v>65064.6</v>
      </c>
      <c r="G143" s="120">
        <f t="shared" si="53"/>
        <v>290740.6</v>
      </c>
      <c r="H143" s="127"/>
    </row>
    <row r="144" ht="15.75" customHeight="1">
      <c r="A144" s="60" t="s">
        <v>112</v>
      </c>
      <c r="B144" s="81">
        <f t="shared" si="39"/>
        <v>0</v>
      </c>
      <c r="C144" s="81">
        <f t="shared" si="37"/>
        <v>0</v>
      </c>
      <c r="D144" s="120">
        <v>0.0</v>
      </c>
      <c r="E144" s="120">
        <v>0.0</v>
      </c>
      <c r="F144" s="106"/>
      <c r="G144" s="60"/>
      <c r="H144" s="102"/>
    </row>
    <row r="145" ht="15.75" customHeight="1">
      <c r="A145" s="60" t="s">
        <v>62</v>
      </c>
      <c r="B145" s="92">
        <f t="shared" si="39"/>
        <v>0</v>
      </c>
      <c r="C145" s="92" t="str">
        <f t="shared" si="37"/>
        <v>#DIV/0!</v>
      </c>
      <c r="D145" s="60"/>
      <c r="E145" s="60"/>
      <c r="F145" s="106"/>
      <c r="G145" s="60"/>
      <c r="H145" s="102"/>
    </row>
    <row r="146" ht="15.75" customHeight="1">
      <c r="A146" s="60" t="s">
        <v>64</v>
      </c>
      <c r="B146" s="92">
        <f t="shared" si="39"/>
        <v>0</v>
      </c>
      <c r="C146" s="92" t="str">
        <f t="shared" si="37"/>
        <v>#DIV/0!</v>
      </c>
      <c r="D146" s="60"/>
      <c r="E146" s="60"/>
      <c r="F146" s="106"/>
      <c r="G146" s="60"/>
      <c r="H146" s="102"/>
    </row>
    <row r="147" ht="15.75" customHeight="1">
      <c r="A147" s="60" t="s">
        <v>75</v>
      </c>
      <c r="B147" s="92">
        <f t="shared" si="39"/>
        <v>0</v>
      </c>
      <c r="C147" s="92" t="str">
        <f t="shared" si="37"/>
        <v>#DIV/0!</v>
      </c>
      <c r="D147" s="60"/>
      <c r="E147" s="60"/>
      <c r="F147" s="106"/>
      <c r="G147" s="60"/>
      <c r="H147" s="102"/>
    </row>
    <row r="148" ht="15.75" customHeight="1">
      <c r="A148" s="60"/>
      <c r="B148" s="92">
        <f t="shared" si="39"/>
        <v>0</v>
      </c>
      <c r="C148" s="92" t="str">
        <f t="shared" si="37"/>
        <v>#DIV/0!</v>
      </c>
      <c r="D148" s="60"/>
      <c r="E148" s="60"/>
      <c r="F148" s="106"/>
      <c r="G148" s="60"/>
      <c r="H148" s="102"/>
    </row>
    <row r="149" ht="15.75" customHeight="1">
      <c r="A149" s="56" t="s">
        <v>113</v>
      </c>
      <c r="B149" s="56">
        <f t="shared" si="39"/>
        <v>0</v>
      </c>
      <c r="C149" s="56" t="str">
        <f t="shared" si="37"/>
        <v>#DIV/0!</v>
      </c>
      <c r="D149" s="57"/>
      <c r="E149" s="57"/>
      <c r="F149" s="58"/>
      <c r="G149" s="56"/>
      <c r="H149" s="59"/>
    </row>
    <row r="150" ht="15.75" customHeight="1">
      <c r="A150" s="60" t="s">
        <v>97</v>
      </c>
      <c r="B150" s="81">
        <f t="shared" si="39"/>
        <v>3664837</v>
      </c>
      <c r="C150" s="81">
        <f t="shared" si="37"/>
        <v>916209.25</v>
      </c>
      <c r="D150" s="120">
        <v>894901.0</v>
      </c>
      <c r="E150" s="120">
        <v>524140.0</v>
      </c>
      <c r="F150" s="131">
        <v>656400.0</v>
      </c>
      <c r="G150" s="121">
        <v>1589396.0</v>
      </c>
      <c r="H150" s="122"/>
    </row>
    <row r="151" ht="15.75" customHeight="1">
      <c r="A151" s="60" t="s">
        <v>98</v>
      </c>
      <c r="B151" s="81">
        <f t="shared" si="39"/>
        <v>3420545</v>
      </c>
      <c r="C151" s="81">
        <f t="shared" si="37"/>
        <v>855136.25</v>
      </c>
      <c r="D151" s="120">
        <v>786800.0</v>
      </c>
      <c r="E151" s="120">
        <v>556375.0</v>
      </c>
      <c r="F151" s="131">
        <v>714860.0</v>
      </c>
      <c r="G151" s="121">
        <v>1362510.0</v>
      </c>
      <c r="H151" s="122"/>
    </row>
    <row r="152" ht="15.75" customHeight="1">
      <c r="A152" s="60" t="s">
        <v>99</v>
      </c>
      <c r="B152" s="61">
        <f t="shared" si="39"/>
        <v>34</v>
      </c>
      <c r="C152" s="61">
        <f t="shared" si="37"/>
        <v>8.5</v>
      </c>
      <c r="D152" s="123">
        <v>6.0</v>
      </c>
      <c r="E152" s="123">
        <v>8.0</v>
      </c>
      <c r="F152" s="124">
        <v>5.0</v>
      </c>
      <c r="G152" s="124">
        <v>15.0</v>
      </c>
      <c r="H152" s="125"/>
    </row>
    <row r="153" ht="15.75" customHeight="1">
      <c r="A153" s="60" t="s">
        <v>100</v>
      </c>
      <c r="B153" s="61">
        <f t="shared" si="39"/>
        <v>136</v>
      </c>
      <c r="C153" s="61">
        <f t="shared" si="37"/>
        <v>34</v>
      </c>
      <c r="D153" s="126">
        <v>14.0</v>
      </c>
      <c r="E153" s="126">
        <v>29.0</v>
      </c>
      <c r="F153" s="124">
        <v>21.0</v>
      </c>
      <c r="G153" s="124">
        <v>72.0</v>
      </c>
      <c r="H153" s="125"/>
    </row>
    <row r="154" ht="15.75" customHeight="1">
      <c r="A154" s="60" t="s">
        <v>101</v>
      </c>
      <c r="B154" s="81">
        <f t="shared" si="39"/>
        <v>0</v>
      </c>
      <c r="C154" s="81">
        <f t="shared" si="37"/>
        <v>0</v>
      </c>
      <c r="D154" s="120">
        <v>0.0</v>
      </c>
      <c r="E154" s="120">
        <v>0.0</v>
      </c>
      <c r="F154" s="120">
        <v>0.0</v>
      </c>
      <c r="G154" s="120">
        <v>0.0</v>
      </c>
      <c r="H154" s="127"/>
    </row>
    <row r="155" ht="15.75" customHeight="1">
      <c r="A155" s="60" t="s">
        <v>102</v>
      </c>
      <c r="B155" s="81">
        <f t="shared" si="39"/>
        <v>0</v>
      </c>
      <c r="C155" s="81">
        <f t="shared" si="37"/>
        <v>0</v>
      </c>
      <c r="D155" s="120">
        <v>0.0</v>
      </c>
      <c r="E155" s="120">
        <v>0.0</v>
      </c>
      <c r="F155" s="120">
        <v>0.0</v>
      </c>
      <c r="G155" s="120">
        <v>0.0</v>
      </c>
      <c r="H155" s="127"/>
    </row>
    <row r="156" ht="15.75" customHeight="1">
      <c r="A156" s="60" t="s">
        <v>103</v>
      </c>
      <c r="B156" s="61">
        <f t="shared" si="39"/>
        <v>0</v>
      </c>
      <c r="C156" s="61">
        <f t="shared" si="37"/>
        <v>0</v>
      </c>
      <c r="D156" s="123">
        <v>0.0</v>
      </c>
      <c r="E156" s="123">
        <v>0.0</v>
      </c>
      <c r="F156" s="123">
        <v>0.0</v>
      </c>
      <c r="G156" s="123">
        <v>0.0</v>
      </c>
      <c r="H156" s="128"/>
    </row>
    <row r="157" ht="15.75" customHeight="1">
      <c r="A157" s="60" t="s">
        <v>104</v>
      </c>
      <c r="B157" s="61">
        <f t="shared" si="39"/>
        <v>0</v>
      </c>
      <c r="C157" s="61">
        <f t="shared" si="37"/>
        <v>0</v>
      </c>
      <c r="D157" s="123">
        <v>0.0</v>
      </c>
      <c r="E157" s="123">
        <v>0.0</v>
      </c>
      <c r="F157" s="123">
        <v>0.0</v>
      </c>
      <c r="G157" s="123">
        <v>0.0</v>
      </c>
      <c r="H157" s="128"/>
    </row>
    <row r="158" ht="15.75" customHeight="1">
      <c r="A158" s="60" t="s">
        <v>105</v>
      </c>
      <c r="B158" s="61">
        <f t="shared" si="39"/>
        <v>34</v>
      </c>
      <c r="C158" s="61">
        <f t="shared" si="37"/>
        <v>8.5</v>
      </c>
      <c r="D158" s="123">
        <f t="shared" ref="D158:G158" si="54">D152+D156</f>
        <v>6</v>
      </c>
      <c r="E158" s="123">
        <f t="shared" si="54"/>
        <v>8</v>
      </c>
      <c r="F158" s="123">
        <f t="shared" si="54"/>
        <v>5</v>
      </c>
      <c r="G158" s="123">
        <f t="shared" si="54"/>
        <v>15</v>
      </c>
      <c r="H158" s="128"/>
    </row>
    <row r="159" ht="15.75" customHeight="1">
      <c r="A159" s="60" t="s">
        <v>106</v>
      </c>
      <c r="B159" s="81">
        <f t="shared" si="39"/>
        <v>3664837</v>
      </c>
      <c r="C159" s="81">
        <f t="shared" si="37"/>
        <v>916209.25</v>
      </c>
      <c r="D159" s="120">
        <f t="shared" ref="D159:G159" si="55">D150+D154</f>
        <v>894901</v>
      </c>
      <c r="E159" s="120">
        <f t="shared" si="55"/>
        <v>524140</v>
      </c>
      <c r="F159" s="120">
        <f t="shared" si="55"/>
        <v>656400</v>
      </c>
      <c r="G159" s="120">
        <f t="shared" si="55"/>
        <v>1589396</v>
      </c>
      <c r="H159" s="127"/>
    </row>
    <row r="160" ht="15.75" customHeight="1">
      <c r="A160" s="60" t="s">
        <v>107</v>
      </c>
      <c r="B160" s="81">
        <f t="shared" si="39"/>
        <v>3420545</v>
      </c>
      <c r="C160" s="81">
        <f t="shared" si="37"/>
        <v>855136.25</v>
      </c>
      <c r="D160" s="120">
        <f t="shared" ref="D160:G160" si="56">D151+D155</f>
        <v>786800</v>
      </c>
      <c r="E160" s="120">
        <f t="shared" si="56"/>
        <v>556375</v>
      </c>
      <c r="F160" s="120">
        <f t="shared" si="56"/>
        <v>714860</v>
      </c>
      <c r="G160" s="120">
        <f t="shared" si="56"/>
        <v>1362510</v>
      </c>
      <c r="H160" s="127"/>
    </row>
    <row r="161" ht="15.75" customHeight="1">
      <c r="A161" s="60" t="s">
        <v>40</v>
      </c>
      <c r="B161" s="68">
        <f t="shared" si="39"/>
        <v>3.887015865</v>
      </c>
      <c r="C161" s="68">
        <f t="shared" si="37"/>
        <v>0.9717539663</v>
      </c>
      <c r="D161" s="129">
        <f t="shared" ref="D161:G161" si="57">D160/D159</f>
        <v>0.8792033979</v>
      </c>
      <c r="E161" s="129">
        <f t="shared" si="57"/>
        <v>1.061500744</v>
      </c>
      <c r="F161" s="129">
        <f t="shared" si="57"/>
        <v>1.089061548</v>
      </c>
      <c r="G161" s="129">
        <f t="shared" si="57"/>
        <v>0.8572501755</v>
      </c>
      <c r="H161" s="130"/>
    </row>
    <row r="162" ht="15.75" customHeight="1">
      <c r="A162" s="60" t="s">
        <v>43</v>
      </c>
      <c r="B162" s="81">
        <f t="shared" si="39"/>
        <v>244292</v>
      </c>
      <c r="C162" s="81">
        <f t="shared" si="37"/>
        <v>61073</v>
      </c>
      <c r="D162" s="120">
        <f t="shared" ref="D162:G162" si="58">D159-D160</f>
        <v>108101</v>
      </c>
      <c r="E162" s="120">
        <f t="shared" si="58"/>
        <v>-32235</v>
      </c>
      <c r="F162" s="120">
        <f t="shared" si="58"/>
        <v>-58460</v>
      </c>
      <c r="G162" s="120">
        <f t="shared" si="58"/>
        <v>226886</v>
      </c>
      <c r="H162" s="127"/>
    </row>
    <row r="163" ht="15.75" customHeight="1">
      <c r="A163" s="60" t="s">
        <v>114</v>
      </c>
      <c r="B163" s="81">
        <f t="shared" si="39"/>
        <v>0</v>
      </c>
      <c r="C163" s="81">
        <f t="shared" si="37"/>
        <v>0</v>
      </c>
      <c r="D163" s="120">
        <v>0.0</v>
      </c>
      <c r="E163" s="120">
        <v>0.0</v>
      </c>
      <c r="F163" s="120">
        <v>0.0</v>
      </c>
      <c r="G163" s="120">
        <v>0.0</v>
      </c>
      <c r="H163" s="127"/>
    </row>
    <row r="164" ht="15.75" customHeight="1">
      <c r="A164" s="60" t="s">
        <v>62</v>
      </c>
      <c r="B164" s="92">
        <f t="shared" si="39"/>
        <v>0</v>
      </c>
      <c r="C164" s="92" t="str">
        <f t="shared" si="37"/>
        <v>#DIV/0!</v>
      </c>
      <c r="D164" s="60"/>
      <c r="E164" s="60"/>
      <c r="F164" s="106"/>
      <c r="G164" s="60"/>
      <c r="H164" s="102"/>
    </row>
    <row r="165" ht="15.75" customHeight="1">
      <c r="A165" s="60" t="s">
        <v>64</v>
      </c>
      <c r="B165" s="92">
        <f t="shared" si="39"/>
        <v>0</v>
      </c>
      <c r="C165" s="92" t="str">
        <f t="shared" si="37"/>
        <v>#DIV/0!</v>
      </c>
      <c r="D165" s="60"/>
      <c r="E165" s="60"/>
      <c r="F165" s="106"/>
      <c r="G165" s="60"/>
      <c r="H165" s="102"/>
    </row>
    <row r="166" ht="15.75" customHeight="1">
      <c r="A166" s="60" t="s">
        <v>75</v>
      </c>
      <c r="B166" s="92">
        <f t="shared" si="39"/>
        <v>0</v>
      </c>
      <c r="C166" s="92" t="str">
        <f t="shared" si="37"/>
        <v>#DIV/0!</v>
      </c>
      <c r="D166" s="60"/>
      <c r="E166" s="60"/>
      <c r="F166" s="106"/>
      <c r="G166" s="60"/>
      <c r="H166" s="102"/>
    </row>
    <row r="167" ht="15.75" customHeight="1">
      <c r="F167" s="137"/>
    </row>
    <row r="168" ht="15.75" customHeight="1">
      <c r="F168" s="137"/>
    </row>
    <row r="169" ht="15.75" customHeight="1">
      <c r="A169" s="18" t="s">
        <v>115</v>
      </c>
      <c r="B169" s="18" t="s">
        <v>233</v>
      </c>
      <c r="C169" s="18" t="s">
        <v>234</v>
      </c>
      <c r="D169" s="18" t="s">
        <v>235</v>
      </c>
      <c r="E169" s="18" t="s">
        <v>236</v>
      </c>
      <c r="F169" s="18" t="s">
        <v>237</v>
      </c>
      <c r="G169" s="18" t="s">
        <v>238</v>
      </c>
      <c r="H169" s="18" t="s">
        <v>235</v>
      </c>
    </row>
    <row r="170" ht="15.75" customHeight="1">
      <c r="A170" s="18" t="s">
        <v>116</v>
      </c>
      <c r="B170" s="138">
        <f>SUM(B171:B175)</f>
        <v>560134</v>
      </c>
      <c r="C170" s="18">
        <f>SUM(C171:C1175)</f>
        <v>67</v>
      </c>
      <c r="D170" s="138">
        <f t="shared" ref="D170:D175" si="59">B170/C170</f>
        <v>8360.208955</v>
      </c>
      <c r="E170" s="18"/>
      <c r="F170" s="47"/>
      <c r="G170" s="18"/>
      <c r="H170" s="138"/>
    </row>
    <row r="171" ht="15.75" customHeight="1">
      <c r="A171" s="18" t="s">
        <v>117</v>
      </c>
      <c r="B171" s="52">
        <v>21000.0</v>
      </c>
      <c r="C171" s="139">
        <v>2.0</v>
      </c>
      <c r="D171" s="138">
        <f t="shared" si="59"/>
        <v>10500</v>
      </c>
      <c r="E171" s="18"/>
      <c r="F171" s="47"/>
      <c r="G171" s="18"/>
      <c r="H171" s="138"/>
    </row>
    <row r="172" ht="15.75" customHeight="1">
      <c r="A172" s="18" t="s">
        <v>118</v>
      </c>
      <c r="B172" s="52">
        <v>54634.0</v>
      </c>
      <c r="C172" s="139">
        <v>5.0</v>
      </c>
      <c r="D172" s="138">
        <f t="shared" si="59"/>
        <v>10926.8</v>
      </c>
      <c r="E172" s="18"/>
      <c r="F172" s="47"/>
      <c r="G172" s="18"/>
      <c r="H172" s="138"/>
    </row>
    <row r="173" ht="15.75" customHeight="1">
      <c r="A173" s="18" t="s">
        <v>119</v>
      </c>
      <c r="B173" s="52">
        <v>80000.0</v>
      </c>
      <c r="C173" s="139">
        <v>4.0</v>
      </c>
      <c r="D173" s="138">
        <f t="shared" si="59"/>
        <v>20000</v>
      </c>
      <c r="E173" s="138"/>
      <c r="F173" s="47"/>
      <c r="G173" s="18"/>
      <c r="H173" s="138"/>
    </row>
    <row r="174" ht="15.75" customHeight="1">
      <c r="A174" s="18" t="s">
        <v>120</v>
      </c>
      <c r="B174" s="52">
        <v>10000.0</v>
      </c>
      <c r="C174" s="139">
        <v>1.0</v>
      </c>
      <c r="D174" s="138">
        <f t="shared" si="59"/>
        <v>10000</v>
      </c>
      <c r="E174" s="138"/>
      <c r="F174" s="47"/>
      <c r="G174" s="18"/>
      <c r="H174" s="140"/>
    </row>
    <row r="175" ht="15.75" customHeight="1">
      <c r="A175" s="18" t="s">
        <v>121</v>
      </c>
      <c r="B175" s="52">
        <v>394500.0</v>
      </c>
      <c r="C175" s="139">
        <v>31.0</v>
      </c>
      <c r="D175" s="138">
        <f t="shared" si="59"/>
        <v>12725.80645</v>
      </c>
      <c r="E175" s="138"/>
      <c r="F175" s="47"/>
      <c r="G175" s="18"/>
      <c r="H175" s="140"/>
    </row>
    <row r="176" ht="15.75" customHeight="1">
      <c r="A176" s="18"/>
      <c r="B176" s="18"/>
      <c r="C176" s="18"/>
      <c r="D176" s="18"/>
      <c r="E176" s="138"/>
      <c r="F176" s="18"/>
      <c r="G176" s="18"/>
      <c r="H176" s="18"/>
    </row>
    <row r="177" ht="15.75" customHeight="1">
      <c r="A177" s="18" t="s">
        <v>122</v>
      </c>
      <c r="B177" s="18" t="s">
        <v>233</v>
      </c>
      <c r="C177" s="18" t="s">
        <v>234</v>
      </c>
      <c r="D177" s="18" t="s">
        <v>235</v>
      </c>
      <c r="E177" s="18" t="s">
        <v>236</v>
      </c>
      <c r="F177" s="18" t="s">
        <v>237</v>
      </c>
      <c r="G177" s="18" t="s">
        <v>238</v>
      </c>
      <c r="H177" s="18" t="s">
        <v>235</v>
      </c>
    </row>
    <row r="178" ht="15.75" customHeight="1">
      <c r="A178" s="18" t="s">
        <v>116</v>
      </c>
      <c r="B178" s="52">
        <v>518463.0</v>
      </c>
      <c r="C178" s="139">
        <v>12.0</v>
      </c>
      <c r="D178" s="138">
        <f t="shared" ref="D178:D182" si="60">B178/C178</f>
        <v>43205.25</v>
      </c>
      <c r="E178" s="138"/>
      <c r="F178" s="47"/>
      <c r="G178" s="18"/>
      <c r="H178" s="138"/>
    </row>
    <row r="179" ht="15.75" customHeight="1">
      <c r="A179" s="18" t="s">
        <v>117</v>
      </c>
      <c r="B179" s="52">
        <v>0.0</v>
      </c>
      <c r="C179" s="139">
        <v>0.0</v>
      </c>
      <c r="D179" s="138" t="str">
        <f t="shared" si="60"/>
        <v>#DIV/0!</v>
      </c>
      <c r="E179" s="138"/>
      <c r="F179" s="47"/>
      <c r="G179" s="18"/>
      <c r="H179" s="138"/>
    </row>
    <row r="180" ht="15.75" customHeight="1">
      <c r="A180" s="18" t="s">
        <v>118</v>
      </c>
      <c r="B180" s="52">
        <v>8000.0</v>
      </c>
      <c r="C180" s="139">
        <v>1.0</v>
      </c>
      <c r="D180" s="138">
        <f t="shared" si="60"/>
        <v>8000</v>
      </c>
      <c r="E180" s="138"/>
      <c r="F180" s="47"/>
      <c r="G180" s="18"/>
      <c r="H180" s="138"/>
    </row>
    <row r="181" ht="15.75" customHeight="1">
      <c r="A181" s="18" t="s">
        <v>119</v>
      </c>
      <c r="B181" s="52">
        <v>100000.0</v>
      </c>
      <c r="C181" s="139">
        <v>1.0</v>
      </c>
      <c r="D181" s="138">
        <f t="shared" si="60"/>
        <v>100000</v>
      </c>
      <c r="E181" s="138"/>
      <c r="F181" s="47"/>
      <c r="G181" s="18"/>
      <c r="H181" s="138"/>
    </row>
    <row r="182" ht="15.75" customHeight="1">
      <c r="A182" s="18" t="s">
        <v>121</v>
      </c>
      <c r="B182" s="52">
        <v>410463.0</v>
      </c>
      <c r="C182" s="139">
        <v>10.0</v>
      </c>
      <c r="D182" s="138">
        <f t="shared" si="60"/>
        <v>41046.3</v>
      </c>
      <c r="E182" s="138"/>
      <c r="F182" s="47"/>
      <c r="G182" s="18"/>
      <c r="H182" s="140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</row>
    <row r="184" ht="15.75" customHeight="1">
      <c r="A184" s="18" t="s">
        <v>123</v>
      </c>
      <c r="B184" s="139" t="s">
        <v>239</v>
      </c>
      <c r="C184" s="19"/>
      <c r="D184" s="19"/>
      <c r="E184" s="19"/>
      <c r="F184" s="19"/>
      <c r="G184" s="19"/>
      <c r="H184" s="19"/>
    </row>
    <row r="185" ht="15.75" customHeight="1">
      <c r="A185" s="18" t="s">
        <v>213</v>
      </c>
      <c r="B185" s="139" t="s">
        <v>239</v>
      </c>
      <c r="C185" s="19"/>
      <c r="D185" s="19"/>
      <c r="E185" s="19"/>
      <c r="F185" s="19"/>
      <c r="G185" s="19"/>
      <c r="H185" s="19"/>
    </row>
    <row r="186" ht="15.75" customHeight="1">
      <c r="F186" s="137"/>
    </row>
    <row r="187" ht="15.75" customHeight="1">
      <c r="F187" s="137"/>
    </row>
    <row r="188" ht="15.75" customHeight="1">
      <c r="F188" s="137"/>
    </row>
    <row r="189" ht="15.75" customHeight="1">
      <c r="F189" s="137"/>
    </row>
    <row r="190" ht="15.75" customHeight="1">
      <c r="F190" s="137"/>
    </row>
    <row r="191" ht="15.75" customHeight="1">
      <c r="F191" s="137"/>
    </row>
    <row r="192" ht="15.75" customHeight="1">
      <c r="F192" s="137"/>
    </row>
    <row r="193" ht="15.75" customHeight="1">
      <c r="F193" s="137"/>
    </row>
    <row r="194" ht="15.75" customHeight="1">
      <c r="F194" s="137"/>
    </row>
    <row r="195" ht="15.75" customHeight="1">
      <c r="F195" s="137"/>
    </row>
    <row r="196" ht="15.75" customHeight="1">
      <c r="F196" s="137"/>
    </row>
    <row r="197" ht="15.75" customHeight="1">
      <c r="F197" s="137"/>
    </row>
    <row r="198" ht="15.75" customHeight="1">
      <c r="F198" s="137"/>
    </row>
    <row r="199" ht="15.75" customHeight="1">
      <c r="F199" s="137"/>
    </row>
    <row r="200" ht="15.75" customHeight="1">
      <c r="F200" s="137"/>
    </row>
    <row r="201" ht="15.75" customHeight="1">
      <c r="F201" s="137"/>
    </row>
    <row r="202" ht="15.75" customHeight="1">
      <c r="F202" s="137"/>
    </row>
    <row r="203" ht="15.75" customHeight="1">
      <c r="F203" s="137"/>
    </row>
    <row r="204" ht="15.75" customHeight="1">
      <c r="F204" s="137"/>
    </row>
    <row r="205" ht="15.75" customHeight="1">
      <c r="F205" s="137"/>
    </row>
    <row r="206" ht="15.75" customHeight="1">
      <c r="F206" s="137"/>
    </row>
    <row r="207" ht="15.75" customHeight="1">
      <c r="F207" s="137"/>
    </row>
    <row r="208" ht="15.75" customHeight="1">
      <c r="F208" s="137"/>
    </row>
    <row r="209" ht="15.75" customHeight="1">
      <c r="F209" s="137"/>
    </row>
    <row r="210" ht="15.75" customHeight="1">
      <c r="F210" s="137"/>
    </row>
    <row r="211" ht="15.75" customHeight="1">
      <c r="F211" s="137"/>
    </row>
    <row r="212" ht="15.75" customHeight="1">
      <c r="F212" s="137"/>
    </row>
    <row r="213" ht="15.75" customHeight="1">
      <c r="F213" s="137"/>
    </row>
    <row r="214" ht="15.75" customHeight="1">
      <c r="F214" s="137"/>
    </row>
    <row r="215" ht="15.75" customHeight="1">
      <c r="F215" s="137"/>
    </row>
    <row r="216" ht="15.75" customHeight="1">
      <c r="F216" s="137"/>
    </row>
    <row r="217" ht="15.75" customHeight="1">
      <c r="F217" s="137"/>
    </row>
    <row r="218" ht="15.75" customHeight="1">
      <c r="F218" s="137"/>
    </row>
    <row r="219" ht="15.75" customHeight="1">
      <c r="F219" s="137"/>
    </row>
    <row r="220" ht="15.75" customHeight="1">
      <c r="F220" s="137"/>
    </row>
    <row r="221" ht="15.75" customHeight="1">
      <c r="F221" s="137"/>
    </row>
    <row r="222" ht="15.75" customHeight="1">
      <c r="F222" s="137"/>
    </row>
    <row r="223" ht="15.75" customHeight="1">
      <c r="F223" s="137"/>
    </row>
    <row r="224" ht="15.75" customHeight="1">
      <c r="F224" s="137"/>
    </row>
    <row r="225" ht="15.75" customHeight="1">
      <c r="F225" s="137"/>
    </row>
    <row r="226" ht="15.75" customHeight="1">
      <c r="F226" s="137"/>
    </row>
    <row r="227" ht="15.75" customHeight="1">
      <c r="F227" s="137"/>
    </row>
    <row r="228" ht="15.75" customHeight="1">
      <c r="F228" s="137"/>
    </row>
    <row r="229" ht="15.75" customHeight="1">
      <c r="F229" s="137"/>
    </row>
    <row r="230" ht="15.75" customHeight="1">
      <c r="F230" s="137"/>
    </row>
    <row r="231" ht="15.75" customHeight="1">
      <c r="F231" s="137"/>
    </row>
    <row r="232" ht="15.75" customHeight="1">
      <c r="F232" s="137"/>
    </row>
    <row r="233" ht="15.75" customHeight="1">
      <c r="F233" s="137"/>
    </row>
    <row r="234" ht="15.75" customHeight="1">
      <c r="F234" s="137"/>
    </row>
    <row r="235" ht="15.75" customHeight="1">
      <c r="F235" s="137"/>
    </row>
    <row r="236" ht="15.75" customHeight="1">
      <c r="F236" s="137"/>
    </row>
    <row r="237" ht="15.75" customHeight="1">
      <c r="F237" s="137"/>
    </row>
    <row r="238" ht="15.75" customHeight="1">
      <c r="F238" s="137"/>
    </row>
    <row r="239" ht="15.75" customHeight="1">
      <c r="F239" s="137"/>
    </row>
    <row r="240" ht="15.75" customHeight="1">
      <c r="F240" s="137"/>
    </row>
    <row r="241" ht="15.75" customHeight="1">
      <c r="F241" s="137"/>
    </row>
    <row r="242" ht="15.75" customHeight="1">
      <c r="F242" s="137"/>
    </row>
    <row r="243" ht="15.75" customHeight="1">
      <c r="F243" s="137"/>
    </row>
    <row r="244" ht="15.75" customHeight="1">
      <c r="F244" s="137"/>
    </row>
    <row r="245" ht="15.75" customHeight="1">
      <c r="F245" s="137"/>
    </row>
    <row r="246" ht="15.75" customHeight="1">
      <c r="F246" s="137"/>
    </row>
    <row r="247" ht="15.75" customHeight="1">
      <c r="F247" s="137"/>
    </row>
    <row r="248" ht="15.75" customHeight="1">
      <c r="F248" s="137"/>
    </row>
    <row r="249" ht="15.75" customHeight="1">
      <c r="F249" s="137"/>
    </row>
    <row r="250" ht="15.75" customHeight="1">
      <c r="F250" s="137"/>
    </row>
    <row r="251" ht="15.75" customHeight="1">
      <c r="F251" s="137"/>
    </row>
    <row r="252" ht="15.75" customHeight="1">
      <c r="F252" s="137"/>
    </row>
    <row r="253" ht="15.75" customHeight="1">
      <c r="F253" s="137"/>
    </row>
    <row r="254" ht="15.75" customHeight="1">
      <c r="F254" s="137"/>
    </row>
    <row r="255" ht="15.75" customHeight="1">
      <c r="F255" s="137"/>
    </row>
    <row r="256" ht="15.75" customHeight="1">
      <c r="F256" s="137"/>
    </row>
    <row r="257" ht="15.75" customHeight="1">
      <c r="F257" s="137"/>
    </row>
    <row r="258" ht="15.75" customHeight="1">
      <c r="F258" s="137"/>
    </row>
    <row r="259" ht="15.75" customHeight="1">
      <c r="F259" s="137"/>
    </row>
    <row r="260" ht="15.75" customHeight="1">
      <c r="F260" s="137"/>
    </row>
    <row r="261" ht="15.75" customHeight="1">
      <c r="F261" s="137"/>
    </row>
    <row r="262" ht="15.75" customHeight="1">
      <c r="F262" s="137"/>
    </row>
    <row r="263" ht="15.75" customHeight="1">
      <c r="F263" s="137"/>
    </row>
    <row r="264" ht="15.75" customHeight="1">
      <c r="F264" s="137"/>
    </row>
    <row r="265" ht="15.75" customHeight="1">
      <c r="F265" s="137"/>
    </row>
    <row r="266" ht="15.75" customHeight="1">
      <c r="F266" s="137"/>
    </row>
    <row r="267" ht="15.75" customHeight="1">
      <c r="F267" s="137"/>
    </row>
    <row r="268" ht="15.75" customHeight="1">
      <c r="F268" s="137"/>
    </row>
    <row r="269" ht="15.75" customHeight="1">
      <c r="F269" s="137"/>
    </row>
    <row r="270" ht="15.75" customHeight="1">
      <c r="F270" s="137"/>
    </row>
    <row r="271" ht="15.75" customHeight="1">
      <c r="F271" s="137"/>
    </row>
    <row r="272" ht="15.75" customHeight="1">
      <c r="F272" s="137"/>
    </row>
    <row r="273" ht="15.75" customHeight="1">
      <c r="F273" s="137"/>
    </row>
    <row r="274" ht="15.75" customHeight="1">
      <c r="F274" s="137"/>
    </row>
    <row r="275" ht="15.75" customHeight="1">
      <c r="F275" s="137"/>
    </row>
    <row r="276" ht="15.75" customHeight="1">
      <c r="F276" s="137"/>
    </row>
    <row r="277" ht="15.75" customHeight="1">
      <c r="F277" s="137"/>
    </row>
    <row r="278" ht="15.75" customHeight="1">
      <c r="F278" s="137"/>
    </row>
    <row r="279" ht="15.75" customHeight="1">
      <c r="F279" s="137"/>
    </row>
    <row r="280" ht="15.75" customHeight="1">
      <c r="F280" s="137"/>
    </row>
    <row r="281" ht="15.75" customHeight="1">
      <c r="F281" s="137"/>
    </row>
    <row r="282" ht="15.75" customHeight="1">
      <c r="F282" s="137"/>
    </row>
    <row r="283" ht="15.75" customHeight="1">
      <c r="F283" s="137"/>
    </row>
    <row r="284" ht="15.75" customHeight="1">
      <c r="F284" s="137"/>
    </row>
    <row r="285" ht="15.75" customHeight="1">
      <c r="F285" s="137"/>
    </row>
    <row r="286" ht="15.75" customHeight="1">
      <c r="F286" s="137"/>
    </row>
    <row r="287" ht="15.75" customHeight="1">
      <c r="F287" s="137"/>
    </row>
    <row r="288" ht="15.75" customHeight="1">
      <c r="F288" s="137"/>
    </row>
    <row r="289" ht="15.75" customHeight="1">
      <c r="F289" s="137"/>
    </row>
    <row r="290" ht="15.75" customHeight="1">
      <c r="F290" s="137"/>
    </row>
    <row r="291" ht="15.75" customHeight="1">
      <c r="F291" s="137"/>
    </row>
    <row r="292" ht="15.75" customHeight="1">
      <c r="F292" s="137"/>
    </row>
    <row r="293" ht="15.75" customHeight="1">
      <c r="F293" s="137"/>
    </row>
    <row r="294" ht="15.75" customHeight="1">
      <c r="F294" s="137"/>
    </row>
    <row r="295" ht="15.75" customHeight="1">
      <c r="F295" s="137"/>
    </row>
    <row r="296" ht="15.75" customHeight="1">
      <c r="F296" s="137"/>
    </row>
    <row r="297" ht="15.75" customHeight="1">
      <c r="F297" s="137"/>
    </row>
    <row r="298" ht="15.75" customHeight="1">
      <c r="F298" s="137"/>
    </row>
    <row r="299" ht="15.75" customHeight="1">
      <c r="F299" s="137"/>
    </row>
    <row r="300" ht="15.75" customHeight="1">
      <c r="F300" s="137"/>
    </row>
    <row r="301" ht="15.75" customHeight="1">
      <c r="F301" s="137"/>
    </row>
    <row r="302" ht="15.75" customHeight="1">
      <c r="F302" s="137"/>
    </row>
    <row r="303" ht="15.75" customHeight="1">
      <c r="F303" s="137"/>
    </row>
    <row r="304" ht="15.75" customHeight="1">
      <c r="F304" s="137"/>
    </row>
    <row r="305" ht="15.75" customHeight="1">
      <c r="F305" s="137"/>
    </row>
    <row r="306" ht="15.75" customHeight="1">
      <c r="F306" s="137"/>
    </row>
    <row r="307" ht="15.75" customHeight="1">
      <c r="F307" s="137"/>
    </row>
    <row r="308" ht="15.75" customHeight="1">
      <c r="F308" s="137"/>
    </row>
    <row r="309" ht="15.75" customHeight="1">
      <c r="F309" s="137"/>
    </row>
    <row r="310" ht="15.75" customHeight="1">
      <c r="F310" s="137"/>
    </row>
    <row r="311" ht="15.75" customHeight="1">
      <c r="F311" s="137"/>
    </row>
    <row r="312" ht="15.75" customHeight="1">
      <c r="F312" s="137"/>
    </row>
    <row r="313" ht="15.75" customHeight="1">
      <c r="F313" s="137"/>
    </row>
    <row r="314" ht="15.75" customHeight="1">
      <c r="F314" s="137"/>
    </row>
    <row r="315" ht="15.75" customHeight="1">
      <c r="F315" s="137"/>
    </row>
    <row r="316" ht="15.75" customHeight="1">
      <c r="F316" s="137"/>
    </row>
    <row r="317" ht="15.75" customHeight="1">
      <c r="F317" s="137"/>
    </row>
    <row r="318" ht="15.75" customHeight="1">
      <c r="F318" s="137"/>
    </row>
    <row r="319" ht="15.75" customHeight="1">
      <c r="F319" s="137"/>
    </row>
    <row r="320" ht="15.75" customHeight="1">
      <c r="F320" s="137"/>
    </row>
    <row r="321" ht="15.75" customHeight="1">
      <c r="F321" s="137"/>
    </row>
    <row r="322" ht="15.75" customHeight="1">
      <c r="F322" s="137"/>
    </row>
    <row r="323" ht="15.75" customHeight="1">
      <c r="F323" s="137"/>
    </row>
    <row r="324" ht="15.75" customHeight="1">
      <c r="F324" s="137"/>
    </row>
    <row r="325" ht="15.75" customHeight="1">
      <c r="F325" s="137"/>
    </row>
    <row r="326" ht="15.75" customHeight="1">
      <c r="F326" s="137"/>
    </row>
    <row r="327" ht="15.75" customHeight="1">
      <c r="F327" s="137"/>
    </row>
    <row r="328" ht="15.75" customHeight="1">
      <c r="F328" s="137"/>
    </row>
    <row r="329" ht="15.75" customHeight="1">
      <c r="F329" s="137"/>
    </row>
    <row r="330" ht="15.75" customHeight="1">
      <c r="F330" s="137"/>
    </row>
    <row r="331" ht="15.75" customHeight="1">
      <c r="F331" s="137"/>
    </row>
    <row r="332" ht="15.75" customHeight="1">
      <c r="F332" s="137"/>
    </row>
    <row r="333" ht="15.75" customHeight="1">
      <c r="F333" s="137"/>
    </row>
    <row r="334" ht="15.75" customHeight="1">
      <c r="F334" s="137"/>
    </row>
    <row r="335" ht="15.75" customHeight="1">
      <c r="F335" s="137"/>
    </row>
    <row r="336" ht="15.75" customHeight="1">
      <c r="F336" s="137"/>
    </row>
    <row r="337" ht="15.75" customHeight="1">
      <c r="F337" s="137"/>
    </row>
    <row r="338" ht="15.75" customHeight="1">
      <c r="F338" s="137"/>
    </row>
    <row r="339" ht="15.75" customHeight="1">
      <c r="F339" s="137"/>
    </row>
    <row r="340" ht="15.75" customHeight="1">
      <c r="F340" s="137"/>
    </row>
    <row r="341" ht="15.75" customHeight="1">
      <c r="F341" s="137"/>
    </row>
    <row r="342" ht="15.75" customHeight="1">
      <c r="F342" s="137"/>
    </row>
    <row r="343" ht="15.75" customHeight="1">
      <c r="F343" s="137"/>
    </row>
    <row r="344" ht="15.75" customHeight="1">
      <c r="F344" s="137"/>
    </row>
    <row r="345" ht="15.75" customHeight="1">
      <c r="F345" s="137"/>
    </row>
    <row r="346" ht="15.75" customHeight="1">
      <c r="F346" s="137"/>
    </row>
    <row r="347" ht="15.75" customHeight="1">
      <c r="F347" s="137"/>
    </row>
    <row r="348" ht="15.75" customHeight="1">
      <c r="F348" s="137"/>
    </row>
    <row r="349" ht="15.75" customHeight="1">
      <c r="F349" s="137"/>
    </row>
    <row r="350" ht="15.75" customHeight="1">
      <c r="F350" s="137"/>
    </row>
    <row r="351" ht="15.75" customHeight="1">
      <c r="F351" s="137"/>
    </row>
    <row r="352" ht="15.75" customHeight="1">
      <c r="F352" s="137"/>
    </row>
    <row r="353" ht="15.75" customHeight="1">
      <c r="F353" s="137"/>
    </row>
    <row r="354" ht="15.75" customHeight="1">
      <c r="F354" s="137"/>
    </row>
    <row r="355" ht="15.75" customHeight="1">
      <c r="F355" s="137"/>
    </row>
    <row r="356" ht="15.75" customHeight="1">
      <c r="F356" s="137"/>
    </row>
    <row r="357" ht="15.75" customHeight="1">
      <c r="F357" s="137"/>
    </row>
    <row r="358" ht="15.75" customHeight="1">
      <c r="F358" s="137"/>
    </row>
    <row r="359" ht="15.75" customHeight="1">
      <c r="F359" s="137"/>
    </row>
    <row r="360" ht="15.75" customHeight="1">
      <c r="F360" s="137"/>
    </row>
    <row r="361" ht="15.75" customHeight="1">
      <c r="F361" s="137"/>
    </row>
    <row r="362" ht="15.75" customHeight="1">
      <c r="F362" s="137"/>
    </row>
    <row r="363" ht="15.75" customHeight="1">
      <c r="F363" s="137"/>
    </row>
    <row r="364" ht="15.75" customHeight="1">
      <c r="F364" s="137"/>
    </row>
    <row r="365" ht="15.75" customHeight="1">
      <c r="F365" s="137"/>
    </row>
    <row r="366" ht="15.75" customHeight="1">
      <c r="F366" s="137"/>
    </row>
    <row r="367" ht="15.75" customHeight="1">
      <c r="F367" s="137"/>
    </row>
    <row r="368" ht="15.75" customHeight="1">
      <c r="F368" s="137"/>
    </row>
    <row r="369" ht="15.75" customHeight="1">
      <c r="F369" s="137"/>
    </row>
    <row r="370" ht="15.75" customHeight="1">
      <c r="F370" s="137"/>
    </row>
    <row r="371" ht="15.75" customHeight="1">
      <c r="F371" s="137"/>
    </row>
    <row r="372" ht="15.75" customHeight="1">
      <c r="F372" s="137"/>
    </row>
    <row r="373" ht="15.75" customHeight="1">
      <c r="F373" s="137"/>
    </row>
    <row r="374" ht="15.75" customHeight="1">
      <c r="F374" s="137"/>
    </row>
    <row r="375" ht="15.75" customHeight="1">
      <c r="F375" s="137"/>
    </row>
    <row r="376" ht="15.75" customHeight="1">
      <c r="F376" s="137"/>
    </row>
    <row r="377" ht="15.75" customHeight="1">
      <c r="F377" s="137"/>
    </row>
    <row r="378" ht="15.75" customHeight="1">
      <c r="F378" s="137"/>
    </row>
    <row r="379" ht="15.75" customHeight="1">
      <c r="F379" s="137"/>
    </row>
    <row r="380" ht="15.75" customHeight="1">
      <c r="F380" s="137"/>
    </row>
    <row r="381" ht="15.75" customHeight="1">
      <c r="F381" s="137"/>
    </row>
    <row r="382" ht="15.75" customHeight="1">
      <c r="F382" s="137"/>
    </row>
    <row r="383" ht="15.75" customHeight="1">
      <c r="F383" s="137"/>
    </row>
    <row r="384" ht="15.75" customHeight="1">
      <c r="F384" s="137"/>
    </row>
    <row r="385" ht="15.75" customHeight="1">
      <c r="F385" s="137"/>
    </row>
    <row r="386" ht="15.75" customHeight="1">
      <c r="F386" s="137"/>
    </row>
    <row r="387" ht="15.75" customHeight="1">
      <c r="F387" s="137"/>
    </row>
    <row r="388" ht="15.75" customHeight="1">
      <c r="F388" s="137"/>
    </row>
    <row r="389" ht="15.75" customHeight="1">
      <c r="F389" s="137"/>
    </row>
    <row r="390" ht="15.75" customHeight="1">
      <c r="F390" s="137"/>
    </row>
    <row r="391" ht="15.75" customHeight="1">
      <c r="F391" s="137"/>
    </row>
    <row r="392" ht="15.75" customHeight="1">
      <c r="F392" s="137"/>
    </row>
    <row r="393" ht="15.75" customHeight="1">
      <c r="F393" s="137"/>
    </row>
    <row r="394" ht="15.75" customHeight="1">
      <c r="F394" s="137"/>
    </row>
    <row r="395" ht="15.75" customHeight="1">
      <c r="F395" s="137"/>
    </row>
    <row r="396" ht="15.75" customHeight="1">
      <c r="F396" s="137"/>
    </row>
    <row r="397" ht="15.75" customHeight="1">
      <c r="F397" s="137"/>
    </row>
    <row r="398" ht="15.75" customHeight="1">
      <c r="F398" s="137"/>
    </row>
    <row r="399" ht="15.75" customHeight="1">
      <c r="F399" s="137"/>
    </row>
    <row r="400" ht="15.75" customHeight="1">
      <c r="F400" s="137"/>
    </row>
    <row r="401" ht="15.75" customHeight="1">
      <c r="F401" s="137"/>
    </row>
    <row r="402" ht="15.75" customHeight="1">
      <c r="F402" s="137"/>
    </row>
    <row r="403" ht="15.75" customHeight="1">
      <c r="F403" s="137"/>
    </row>
    <row r="404" ht="15.75" customHeight="1">
      <c r="F404" s="137"/>
    </row>
    <row r="405" ht="15.75" customHeight="1">
      <c r="F405" s="137"/>
    </row>
    <row r="406" ht="15.75" customHeight="1">
      <c r="F406" s="137"/>
    </row>
    <row r="407" ht="15.75" customHeight="1">
      <c r="F407" s="137"/>
    </row>
    <row r="408" ht="15.75" customHeight="1">
      <c r="F408" s="137"/>
    </row>
    <row r="409" ht="15.75" customHeight="1">
      <c r="F409" s="137"/>
    </row>
    <row r="410" ht="15.75" customHeight="1">
      <c r="F410" s="137"/>
    </row>
    <row r="411" ht="15.75" customHeight="1">
      <c r="F411" s="137"/>
    </row>
    <row r="412" ht="15.75" customHeight="1">
      <c r="F412" s="137"/>
    </row>
    <row r="413" ht="15.75" customHeight="1">
      <c r="F413" s="137"/>
    </row>
    <row r="414" ht="15.75" customHeight="1">
      <c r="F414" s="137"/>
    </row>
    <row r="415" ht="15.75" customHeight="1">
      <c r="F415" s="137"/>
    </row>
    <row r="416" ht="15.75" customHeight="1">
      <c r="F416" s="137"/>
    </row>
    <row r="417" ht="15.75" customHeight="1">
      <c r="F417" s="137"/>
    </row>
    <row r="418" ht="15.75" customHeight="1">
      <c r="F418" s="137"/>
    </row>
    <row r="419" ht="15.75" customHeight="1">
      <c r="F419" s="137"/>
    </row>
    <row r="420" ht="15.75" customHeight="1">
      <c r="F420" s="137"/>
    </row>
    <row r="421" ht="15.75" customHeight="1">
      <c r="F421" s="137"/>
    </row>
    <row r="422" ht="15.75" customHeight="1">
      <c r="F422" s="137"/>
    </row>
    <row r="423" ht="15.75" customHeight="1">
      <c r="F423" s="137"/>
    </row>
    <row r="424" ht="15.75" customHeight="1">
      <c r="F424" s="137"/>
    </row>
    <row r="425" ht="15.75" customHeight="1">
      <c r="F425" s="137"/>
    </row>
    <row r="426" ht="15.75" customHeight="1">
      <c r="F426" s="137"/>
    </row>
    <row r="427" ht="15.75" customHeight="1">
      <c r="F427" s="137"/>
    </row>
    <row r="428" ht="15.75" customHeight="1">
      <c r="F428" s="137"/>
    </row>
    <row r="429" ht="15.75" customHeight="1">
      <c r="F429" s="137"/>
    </row>
    <row r="430" ht="15.75" customHeight="1">
      <c r="F430" s="137"/>
    </row>
    <row r="431" ht="15.75" customHeight="1">
      <c r="F431" s="137"/>
    </row>
    <row r="432" ht="15.75" customHeight="1">
      <c r="F432" s="137"/>
    </row>
    <row r="433" ht="15.75" customHeight="1">
      <c r="F433" s="137"/>
    </row>
    <row r="434" ht="15.75" customHeight="1">
      <c r="F434" s="137"/>
    </row>
    <row r="435" ht="15.75" customHeight="1">
      <c r="F435" s="137"/>
    </row>
    <row r="436" ht="15.75" customHeight="1">
      <c r="F436" s="137"/>
    </row>
    <row r="437" ht="15.75" customHeight="1">
      <c r="F437" s="137"/>
    </row>
    <row r="438" ht="15.75" customHeight="1">
      <c r="F438" s="137"/>
    </row>
    <row r="439" ht="15.75" customHeight="1">
      <c r="F439" s="137"/>
    </row>
    <row r="440" ht="15.75" customHeight="1">
      <c r="F440" s="137"/>
    </row>
    <row r="441" ht="15.75" customHeight="1">
      <c r="F441" s="137"/>
    </row>
    <row r="442" ht="15.75" customHeight="1">
      <c r="F442" s="137"/>
    </row>
    <row r="443" ht="15.75" customHeight="1">
      <c r="F443" s="137"/>
    </row>
    <row r="444" ht="15.75" customHeight="1">
      <c r="F444" s="137"/>
    </row>
    <row r="445" ht="15.75" customHeight="1">
      <c r="F445" s="137"/>
    </row>
    <row r="446" ht="15.75" customHeight="1">
      <c r="F446" s="137"/>
    </row>
    <row r="447" ht="15.75" customHeight="1">
      <c r="F447" s="137"/>
    </row>
    <row r="448" ht="15.75" customHeight="1">
      <c r="F448" s="137"/>
    </row>
    <row r="449" ht="15.75" customHeight="1">
      <c r="F449" s="137"/>
    </row>
    <row r="450" ht="15.75" customHeight="1">
      <c r="F450" s="137"/>
    </row>
    <row r="451" ht="15.75" customHeight="1">
      <c r="F451" s="137"/>
    </row>
    <row r="452" ht="15.75" customHeight="1">
      <c r="F452" s="137"/>
    </row>
    <row r="453" ht="15.75" customHeight="1">
      <c r="F453" s="137"/>
    </row>
    <row r="454" ht="15.75" customHeight="1">
      <c r="F454" s="137"/>
    </row>
    <row r="455" ht="15.75" customHeight="1">
      <c r="F455" s="137"/>
    </row>
    <row r="456" ht="15.75" customHeight="1">
      <c r="F456" s="137"/>
    </row>
    <row r="457" ht="15.75" customHeight="1">
      <c r="F457" s="137"/>
    </row>
    <row r="458" ht="15.75" customHeight="1">
      <c r="F458" s="137"/>
    </row>
    <row r="459" ht="15.75" customHeight="1">
      <c r="F459" s="137"/>
    </row>
    <row r="460" ht="15.75" customHeight="1">
      <c r="F460" s="137"/>
    </row>
    <row r="461" ht="15.75" customHeight="1">
      <c r="F461" s="137"/>
    </row>
    <row r="462" ht="15.75" customHeight="1">
      <c r="F462" s="137"/>
    </row>
    <row r="463" ht="15.75" customHeight="1">
      <c r="F463" s="137"/>
    </row>
    <row r="464" ht="15.75" customHeight="1">
      <c r="F464" s="137"/>
    </row>
    <row r="465" ht="15.75" customHeight="1">
      <c r="F465" s="137"/>
    </row>
    <row r="466" ht="15.75" customHeight="1">
      <c r="F466" s="137"/>
    </row>
    <row r="467" ht="15.75" customHeight="1">
      <c r="F467" s="137"/>
    </row>
    <row r="468" ht="15.75" customHeight="1">
      <c r="F468" s="137"/>
    </row>
    <row r="469" ht="15.75" customHeight="1">
      <c r="F469" s="137"/>
    </row>
    <row r="470" ht="15.75" customHeight="1">
      <c r="F470" s="137"/>
    </row>
    <row r="471" ht="15.75" customHeight="1">
      <c r="F471" s="137"/>
    </row>
    <row r="472" ht="15.75" customHeight="1">
      <c r="F472" s="137"/>
    </row>
    <row r="473" ht="15.75" customHeight="1">
      <c r="F473" s="137"/>
    </row>
    <row r="474" ht="15.75" customHeight="1">
      <c r="F474" s="137"/>
    </row>
    <row r="475" ht="15.75" customHeight="1">
      <c r="F475" s="137"/>
    </row>
    <row r="476" ht="15.75" customHeight="1">
      <c r="F476" s="137"/>
    </row>
    <row r="477" ht="15.75" customHeight="1">
      <c r="F477" s="137"/>
    </row>
    <row r="478" ht="15.75" customHeight="1">
      <c r="F478" s="137"/>
    </row>
    <row r="479" ht="15.75" customHeight="1">
      <c r="F479" s="137"/>
    </row>
    <row r="480" ht="15.75" customHeight="1">
      <c r="F480" s="137"/>
    </row>
    <row r="481" ht="15.75" customHeight="1">
      <c r="F481" s="137"/>
    </row>
    <row r="482" ht="15.75" customHeight="1">
      <c r="F482" s="137"/>
    </row>
    <row r="483" ht="15.75" customHeight="1">
      <c r="F483" s="137"/>
    </row>
    <row r="484" ht="15.75" customHeight="1">
      <c r="F484" s="137"/>
    </row>
    <row r="485" ht="15.75" customHeight="1">
      <c r="F485" s="137"/>
    </row>
    <row r="486" ht="15.75" customHeight="1">
      <c r="F486" s="137"/>
    </row>
    <row r="487" ht="15.75" customHeight="1">
      <c r="F487" s="137"/>
    </row>
    <row r="488" ht="15.75" customHeight="1">
      <c r="F488" s="137"/>
    </row>
    <row r="489" ht="15.75" customHeight="1">
      <c r="F489" s="137"/>
    </row>
    <row r="490" ht="15.75" customHeight="1">
      <c r="F490" s="137"/>
    </row>
    <row r="491" ht="15.75" customHeight="1">
      <c r="F491" s="137"/>
    </row>
    <row r="492" ht="15.75" customHeight="1">
      <c r="F492" s="137"/>
    </row>
    <row r="493" ht="15.75" customHeight="1">
      <c r="F493" s="137"/>
    </row>
    <row r="494" ht="15.75" customHeight="1">
      <c r="F494" s="137"/>
    </row>
    <row r="495" ht="15.75" customHeight="1">
      <c r="F495" s="137"/>
    </row>
    <row r="496" ht="15.75" customHeight="1">
      <c r="F496" s="137"/>
    </row>
    <row r="497" ht="15.75" customHeight="1">
      <c r="F497" s="137"/>
    </row>
    <row r="498" ht="15.75" customHeight="1">
      <c r="F498" s="137"/>
    </row>
    <row r="499" ht="15.75" customHeight="1">
      <c r="F499" s="137"/>
    </row>
    <row r="500" ht="15.75" customHeight="1">
      <c r="F500" s="137"/>
    </row>
    <row r="501" ht="15.75" customHeight="1">
      <c r="F501" s="137"/>
    </row>
    <row r="502" ht="15.75" customHeight="1">
      <c r="F502" s="137"/>
    </row>
    <row r="503" ht="15.75" customHeight="1">
      <c r="F503" s="137"/>
    </row>
    <row r="504" ht="15.75" customHeight="1">
      <c r="F504" s="137"/>
    </row>
    <row r="505" ht="15.75" customHeight="1">
      <c r="F505" s="137"/>
    </row>
    <row r="506" ht="15.75" customHeight="1">
      <c r="F506" s="137"/>
    </row>
    <row r="507" ht="15.75" customHeight="1">
      <c r="F507" s="137"/>
    </row>
    <row r="508" ht="15.75" customHeight="1">
      <c r="F508" s="137"/>
    </row>
    <row r="509" ht="15.75" customHeight="1">
      <c r="F509" s="137"/>
    </row>
    <row r="510" ht="15.75" customHeight="1">
      <c r="F510" s="137"/>
    </row>
    <row r="511" ht="15.75" customHeight="1">
      <c r="F511" s="137"/>
    </row>
    <row r="512" ht="15.75" customHeight="1">
      <c r="F512" s="137"/>
    </row>
    <row r="513" ht="15.75" customHeight="1">
      <c r="F513" s="137"/>
    </row>
    <row r="514" ht="15.75" customHeight="1">
      <c r="F514" s="137"/>
    </row>
    <row r="515" ht="15.75" customHeight="1">
      <c r="F515" s="137"/>
    </row>
    <row r="516" ht="15.75" customHeight="1">
      <c r="F516" s="137"/>
    </row>
    <row r="517" ht="15.75" customHeight="1">
      <c r="F517" s="137"/>
    </row>
    <row r="518" ht="15.75" customHeight="1">
      <c r="F518" s="137"/>
    </row>
    <row r="519" ht="15.75" customHeight="1">
      <c r="F519" s="137"/>
    </row>
    <row r="520" ht="15.75" customHeight="1">
      <c r="F520" s="137"/>
    </row>
    <row r="521" ht="15.75" customHeight="1">
      <c r="F521" s="137"/>
    </row>
    <row r="522" ht="15.75" customHeight="1">
      <c r="F522" s="137"/>
    </row>
    <row r="523" ht="15.75" customHeight="1">
      <c r="F523" s="137"/>
    </row>
    <row r="524" ht="15.75" customHeight="1">
      <c r="F524" s="137"/>
    </row>
    <row r="525" ht="15.75" customHeight="1">
      <c r="F525" s="137"/>
    </row>
    <row r="526" ht="15.75" customHeight="1">
      <c r="F526" s="137"/>
    </row>
    <row r="527" ht="15.75" customHeight="1">
      <c r="F527" s="137"/>
    </row>
    <row r="528" ht="15.75" customHeight="1">
      <c r="F528" s="137"/>
    </row>
    <row r="529" ht="15.75" customHeight="1">
      <c r="F529" s="137"/>
    </row>
    <row r="530" ht="15.75" customHeight="1">
      <c r="F530" s="137"/>
    </row>
    <row r="531" ht="15.75" customHeight="1">
      <c r="F531" s="137"/>
    </row>
    <row r="532" ht="15.75" customHeight="1">
      <c r="F532" s="137"/>
    </row>
    <row r="533" ht="15.75" customHeight="1">
      <c r="F533" s="137"/>
    </row>
    <row r="534" ht="15.75" customHeight="1">
      <c r="F534" s="137"/>
    </row>
    <row r="535" ht="15.75" customHeight="1">
      <c r="F535" s="137"/>
    </row>
    <row r="536" ht="15.75" customHeight="1">
      <c r="F536" s="137"/>
    </row>
    <row r="537" ht="15.75" customHeight="1">
      <c r="F537" s="137"/>
    </row>
    <row r="538" ht="15.75" customHeight="1">
      <c r="F538" s="137"/>
    </row>
    <row r="539" ht="15.75" customHeight="1">
      <c r="F539" s="137"/>
    </row>
    <row r="540" ht="15.75" customHeight="1">
      <c r="F540" s="137"/>
    </row>
    <row r="541" ht="15.75" customHeight="1">
      <c r="F541" s="137"/>
    </row>
    <row r="542" ht="15.75" customHeight="1">
      <c r="F542" s="137"/>
    </row>
    <row r="543" ht="15.75" customHeight="1">
      <c r="F543" s="137"/>
    </row>
    <row r="544" ht="15.75" customHeight="1">
      <c r="F544" s="137"/>
    </row>
    <row r="545" ht="15.75" customHeight="1">
      <c r="F545" s="137"/>
    </row>
    <row r="546" ht="15.75" customHeight="1">
      <c r="F546" s="137"/>
    </row>
    <row r="547" ht="15.75" customHeight="1">
      <c r="F547" s="137"/>
    </row>
    <row r="548" ht="15.75" customHeight="1">
      <c r="F548" s="137"/>
    </row>
    <row r="549" ht="15.75" customHeight="1">
      <c r="F549" s="137"/>
    </row>
    <row r="550" ht="15.75" customHeight="1">
      <c r="F550" s="137"/>
    </row>
    <row r="551" ht="15.75" customHeight="1">
      <c r="F551" s="137"/>
    </row>
    <row r="552" ht="15.75" customHeight="1">
      <c r="F552" s="137"/>
    </row>
    <row r="553" ht="15.75" customHeight="1">
      <c r="F553" s="137"/>
    </row>
    <row r="554" ht="15.75" customHeight="1">
      <c r="F554" s="137"/>
    </row>
    <row r="555" ht="15.75" customHeight="1">
      <c r="F555" s="137"/>
    </row>
    <row r="556" ht="15.75" customHeight="1">
      <c r="F556" s="137"/>
    </row>
    <row r="557" ht="15.75" customHeight="1">
      <c r="F557" s="137"/>
    </row>
    <row r="558" ht="15.75" customHeight="1">
      <c r="F558" s="137"/>
    </row>
    <row r="559" ht="15.75" customHeight="1">
      <c r="F559" s="137"/>
    </row>
    <row r="560" ht="15.75" customHeight="1">
      <c r="F560" s="137"/>
    </row>
    <row r="561" ht="15.75" customHeight="1">
      <c r="F561" s="137"/>
    </row>
    <row r="562" ht="15.75" customHeight="1">
      <c r="F562" s="137"/>
    </row>
    <row r="563" ht="15.75" customHeight="1">
      <c r="F563" s="137"/>
    </row>
    <row r="564" ht="15.75" customHeight="1">
      <c r="F564" s="137"/>
    </row>
    <row r="565" ht="15.75" customHeight="1">
      <c r="F565" s="137"/>
    </row>
    <row r="566" ht="15.75" customHeight="1">
      <c r="F566" s="137"/>
    </row>
    <row r="567" ht="15.75" customHeight="1">
      <c r="F567" s="137"/>
    </row>
    <row r="568" ht="15.75" customHeight="1">
      <c r="F568" s="137"/>
    </row>
    <row r="569" ht="15.75" customHeight="1">
      <c r="F569" s="137"/>
    </row>
    <row r="570" ht="15.75" customHeight="1">
      <c r="F570" s="137"/>
    </row>
    <row r="571" ht="15.75" customHeight="1">
      <c r="F571" s="137"/>
    </row>
    <row r="572" ht="15.75" customHeight="1">
      <c r="F572" s="137"/>
    </row>
    <row r="573" ht="15.75" customHeight="1">
      <c r="F573" s="137"/>
    </row>
    <row r="574" ht="15.75" customHeight="1">
      <c r="F574" s="137"/>
    </row>
    <row r="575" ht="15.75" customHeight="1">
      <c r="F575" s="137"/>
    </row>
    <row r="576" ht="15.75" customHeight="1">
      <c r="F576" s="137"/>
    </row>
    <row r="577" ht="15.75" customHeight="1">
      <c r="F577" s="137"/>
    </row>
    <row r="578" ht="15.75" customHeight="1">
      <c r="F578" s="137"/>
    </row>
    <row r="579" ht="15.75" customHeight="1">
      <c r="F579" s="137"/>
    </row>
    <row r="580" ht="15.75" customHeight="1">
      <c r="F580" s="137"/>
    </row>
    <row r="581" ht="15.75" customHeight="1">
      <c r="F581" s="137"/>
    </row>
    <row r="582" ht="15.75" customHeight="1">
      <c r="F582" s="137"/>
    </row>
    <row r="583" ht="15.75" customHeight="1">
      <c r="F583" s="137"/>
    </row>
    <row r="584" ht="15.75" customHeight="1">
      <c r="F584" s="137"/>
    </row>
    <row r="585" ht="15.75" customHeight="1">
      <c r="F585" s="137"/>
    </row>
    <row r="586" ht="15.75" customHeight="1">
      <c r="F586" s="137"/>
    </row>
    <row r="587" ht="15.75" customHeight="1">
      <c r="F587" s="137"/>
    </row>
    <row r="588" ht="15.75" customHeight="1">
      <c r="F588" s="137"/>
    </row>
    <row r="589" ht="15.75" customHeight="1">
      <c r="F589" s="137"/>
    </row>
    <row r="590" ht="15.75" customHeight="1">
      <c r="F590" s="137"/>
    </row>
    <row r="591" ht="15.75" customHeight="1">
      <c r="F591" s="137"/>
    </row>
    <row r="592" ht="15.75" customHeight="1">
      <c r="F592" s="137"/>
    </row>
    <row r="593" ht="15.75" customHeight="1">
      <c r="F593" s="137"/>
    </row>
    <row r="594" ht="15.75" customHeight="1">
      <c r="F594" s="137"/>
    </row>
    <row r="595" ht="15.75" customHeight="1">
      <c r="F595" s="137"/>
    </row>
    <row r="596" ht="15.75" customHeight="1">
      <c r="F596" s="137"/>
    </row>
    <row r="597" ht="15.75" customHeight="1">
      <c r="F597" s="137"/>
    </row>
    <row r="598" ht="15.75" customHeight="1">
      <c r="F598" s="137"/>
    </row>
    <row r="599" ht="15.75" customHeight="1">
      <c r="F599" s="137"/>
    </row>
    <row r="600" ht="15.75" customHeight="1">
      <c r="F600" s="137"/>
    </row>
    <row r="601" ht="15.75" customHeight="1">
      <c r="F601" s="137"/>
    </row>
    <row r="602" ht="15.75" customHeight="1">
      <c r="F602" s="137"/>
    </row>
    <row r="603" ht="15.75" customHeight="1">
      <c r="F603" s="137"/>
    </row>
    <row r="604" ht="15.75" customHeight="1">
      <c r="F604" s="137"/>
    </row>
    <row r="605" ht="15.75" customHeight="1">
      <c r="F605" s="137"/>
    </row>
    <row r="606" ht="15.75" customHeight="1">
      <c r="F606" s="137"/>
    </row>
    <row r="607" ht="15.75" customHeight="1">
      <c r="F607" s="137"/>
    </row>
    <row r="608" ht="15.75" customHeight="1">
      <c r="F608" s="137"/>
    </row>
    <row r="609" ht="15.75" customHeight="1">
      <c r="F609" s="137"/>
    </row>
    <row r="610" ht="15.75" customHeight="1">
      <c r="F610" s="137"/>
    </row>
    <row r="611" ht="15.75" customHeight="1">
      <c r="F611" s="137"/>
    </row>
    <row r="612" ht="15.75" customHeight="1">
      <c r="F612" s="137"/>
    </row>
    <row r="613" ht="15.75" customHeight="1">
      <c r="F613" s="137"/>
    </row>
    <row r="614" ht="15.75" customHeight="1">
      <c r="F614" s="137"/>
    </row>
    <row r="615" ht="15.75" customHeight="1">
      <c r="F615" s="137"/>
    </row>
    <row r="616" ht="15.75" customHeight="1">
      <c r="F616" s="137"/>
    </row>
    <row r="617" ht="15.75" customHeight="1">
      <c r="F617" s="137"/>
    </row>
    <row r="618" ht="15.75" customHeight="1">
      <c r="F618" s="137"/>
    </row>
    <row r="619" ht="15.75" customHeight="1">
      <c r="F619" s="137"/>
    </row>
    <row r="620" ht="15.75" customHeight="1">
      <c r="F620" s="137"/>
    </row>
    <row r="621" ht="15.75" customHeight="1">
      <c r="F621" s="137"/>
    </row>
    <row r="622" ht="15.75" customHeight="1">
      <c r="F622" s="137"/>
    </row>
    <row r="623" ht="15.75" customHeight="1">
      <c r="F623" s="137"/>
    </row>
    <row r="624" ht="15.75" customHeight="1">
      <c r="F624" s="137"/>
    </row>
    <row r="625" ht="15.75" customHeight="1">
      <c r="F625" s="137"/>
    </row>
    <row r="626" ht="15.75" customHeight="1">
      <c r="F626" s="137"/>
    </row>
    <row r="627" ht="15.75" customHeight="1">
      <c r="F627" s="137"/>
    </row>
    <row r="628" ht="15.75" customHeight="1">
      <c r="F628" s="137"/>
    </row>
    <row r="629" ht="15.75" customHeight="1">
      <c r="F629" s="137"/>
    </row>
    <row r="630" ht="15.75" customHeight="1">
      <c r="F630" s="137"/>
    </row>
    <row r="631" ht="15.75" customHeight="1">
      <c r="F631" s="137"/>
    </row>
    <row r="632" ht="15.75" customHeight="1">
      <c r="F632" s="137"/>
    </row>
    <row r="633" ht="15.75" customHeight="1">
      <c r="F633" s="137"/>
    </row>
    <row r="634" ht="15.75" customHeight="1">
      <c r="F634" s="137"/>
    </row>
    <row r="635" ht="15.75" customHeight="1">
      <c r="F635" s="137"/>
    </row>
    <row r="636" ht="15.75" customHeight="1">
      <c r="F636" s="137"/>
    </row>
    <row r="637" ht="15.75" customHeight="1">
      <c r="F637" s="137"/>
    </row>
    <row r="638" ht="15.75" customHeight="1">
      <c r="F638" s="137"/>
    </row>
    <row r="639" ht="15.75" customHeight="1">
      <c r="F639" s="137"/>
    </row>
    <row r="640" ht="15.75" customHeight="1">
      <c r="F640" s="137"/>
    </row>
    <row r="641" ht="15.75" customHeight="1">
      <c r="F641" s="137"/>
    </row>
    <row r="642" ht="15.75" customHeight="1">
      <c r="F642" s="137"/>
    </row>
    <row r="643" ht="15.75" customHeight="1">
      <c r="F643" s="137"/>
    </row>
    <row r="644" ht="15.75" customHeight="1">
      <c r="F644" s="137"/>
    </row>
    <row r="645" ht="15.75" customHeight="1">
      <c r="F645" s="137"/>
    </row>
    <row r="646" ht="15.75" customHeight="1">
      <c r="F646" s="137"/>
    </row>
    <row r="647" ht="15.75" customHeight="1">
      <c r="F647" s="137"/>
    </row>
    <row r="648" ht="15.75" customHeight="1">
      <c r="F648" s="137"/>
    </row>
    <row r="649" ht="15.75" customHeight="1">
      <c r="F649" s="137"/>
    </row>
    <row r="650" ht="15.75" customHeight="1">
      <c r="F650" s="137"/>
    </row>
    <row r="651" ht="15.75" customHeight="1">
      <c r="F651" s="137"/>
    </row>
    <row r="652" ht="15.75" customHeight="1">
      <c r="F652" s="137"/>
    </row>
    <row r="653" ht="15.75" customHeight="1">
      <c r="F653" s="137"/>
    </row>
    <row r="654" ht="15.75" customHeight="1">
      <c r="F654" s="137"/>
    </row>
    <row r="655" ht="15.75" customHeight="1">
      <c r="F655" s="137"/>
    </row>
    <row r="656" ht="15.75" customHeight="1">
      <c r="F656" s="137"/>
    </row>
    <row r="657" ht="15.75" customHeight="1">
      <c r="F657" s="137"/>
    </row>
    <row r="658" ht="15.75" customHeight="1">
      <c r="F658" s="137"/>
    </row>
    <row r="659" ht="15.75" customHeight="1">
      <c r="F659" s="137"/>
    </row>
    <row r="660" ht="15.75" customHeight="1">
      <c r="F660" s="137"/>
    </row>
    <row r="661" ht="15.75" customHeight="1">
      <c r="F661" s="137"/>
    </row>
    <row r="662" ht="15.75" customHeight="1">
      <c r="F662" s="137"/>
    </row>
    <row r="663" ht="15.75" customHeight="1">
      <c r="F663" s="137"/>
    </row>
    <row r="664" ht="15.75" customHeight="1">
      <c r="F664" s="137"/>
    </row>
    <row r="665" ht="15.75" customHeight="1">
      <c r="F665" s="137"/>
    </row>
    <row r="666" ht="15.75" customHeight="1">
      <c r="F666" s="137"/>
    </row>
    <row r="667" ht="15.75" customHeight="1">
      <c r="F667" s="137"/>
    </row>
    <row r="668" ht="15.75" customHeight="1">
      <c r="F668" s="137"/>
    </row>
    <row r="669" ht="15.75" customHeight="1">
      <c r="F669" s="137"/>
    </row>
    <row r="670" ht="15.75" customHeight="1">
      <c r="F670" s="137"/>
    </row>
    <row r="671" ht="15.75" customHeight="1">
      <c r="F671" s="137"/>
    </row>
    <row r="672" ht="15.75" customHeight="1">
      <c r="F672" s="137"/>
    </row>
    <row r="673" ht="15.75" customHeight="1">
      <c r="F673" s="137"/>
    </row>
    <row r="674" ht="15.75" customHeight="1">
      <c r="F674" s="137"/>
    </row>
    <row r="675" ht="15.75" customHeight="1">
      <c r="F675" s="137"/>
    </row>
    <row r="676" ht="15.75" customHeight="1">
      <c r="F676" s="137"/>
    </row>
    <row r="677" ht="15.75" customHeight="1">
      <c r="F677" s="137"/>
    </row>
    <row r="678" ht="15.75" customHeight="1">
      <c r="F678" s="137"/>
    </row>
    <row r="679" ht="15.75" customHeight="1">
      <c r="F679" s="137"/>
    </row>
    <row r="680" ht="15.75" customHeight="1">
      <c r="F680" s="137"/>
    </row>
    <row r="681" ht="15.75" customHeight="1">
      <c r="F681" s="137"/>
    </row>
    <row r="682" ht="15.75" customHeight="1">
      <c r="F682" s="137"/>
    </row>
    <row r="683" ht="15.75" customHeight="1">
      <c r="F683" s="137"/>
    </row>
    <row r="684" ht="15.75" customHeight="1">
      <c r="F684" s="137"/>
    </row>
    <row r="685" ht="15.75" customHeight="1">
      <c r="F685" s="137"/>
    </row>
    <row r="686" ht="15.75" customHeight="1">
      <c r="F686" s="137"/>
    </row>
    <row r="687" ht="15.75" customHeight="1">
      <c r="F687" s="137"/>
    </row>
    <row r="688" ht="15.75" customHeight="1">
      <c r="F688" s="137"/>
    </row>
    <row r="689" ht="15.75" customHeight="1">
      <c r="F689" s="137"/>
    </row>
    <row r="690" ht="15.75" customHeight="1">
      <c r="F690" s="137"/>
    </row>
    <row r="691" ht="15.75" customHeight="1">
      <c r="F691" s="137"/>
    </row>
    <row r="692" ht="15.75" customHeight="1">
      <c r="F692" s="137"/>
    </row>
    <row r="693" ht="15.75" customHeight="1">
      <c r="F693" s="137"/>
    </row>
    <row r="694" ht="15.75" customHeight="1">
      <c r="F694" s="137"/>
    </row>
    <row r="695" ht="15.75" customHeight="1">
      <c r="F695" s="137"/>
    </row>
    <row r="696" ht="15.75" customHeight="1">
      <c r="F696" s="137"/>
    </row>
    <row r="697" ht="15.75" customHeight="1">
      <c r="F697" s="137"/>
    </row>
    <row r="698" ht="15.75" customHeight="1">
      <c r="F698" s="137"/>
    </row>
    <row r="699" ht="15.75" customHeight="1">
      <c r="F699" s="137"/>
    </row>
    <row r="700" ht="15.75" customHeight="1">
      <c r="F700" s="137"/>
    </row>
    <row r="701" ht="15.75" customHeight="1">
      <c r="F701" s="137"/>
    </row>
    <row r="702" ht="15.75" customHeight="1">
      <c r="F702" s="137"/>
    </row>
    <row r="703" ht="15.75" customHeight="1">
      <c r="F703" s="137"/>
    </row>
    <row r="704" ht="15.75" customHeight="1">
      <c r="F704" s="137"/>
    </row>
    <row r="705" ht="15.75" customHeight="1">
      <c r="F705" s="137"/>
    </row>
    <row r="706" ht="15.75" customHeight="1">
      <c r="F706" s="137"/>
    </row>
    <row r="707" ht="15.75" customHeight="1">
      <c r="F707" s="137"/>
    </row>
    <row r="708" ht="15.75" customHeight="1">
      <c r="F708" s="137"/>
    </row>
    <row r="709" ht="15.75" customHeight="1">
      <c r="F709" s="137"/>
    </row>
    <row r="710" ht="15.75" customHeight="1">
      <c r="F710" s="137"/>
    </row>
    <row r="711" ht="15.75" customHeight="1">
      <c r="F711" s="137"/>
    </row>
    <row r="712" ht="15.75" customHeight="1">
      <c r="F712" s="137"/>
    </row>
    <row r="713" ht="15.75" customHeight="1">
      <c r="F713" s="137"/>
    </row>
    <row r="714" ht="15.75" customHeight="1">
      <c r="F714" s="137"/>
    </row>
    <row r="715" ht="15.75" customHeight="1">
      <c r="F715" s="137"/>
    </row>
    <row r="716" ht="15.75" customHeight="1">
      <c r="F716" s="137"/>
    </row>
    <row r="717" ht="15.75" customHeight="1">
      <c r="F717" s="137"/>
    </row>
    <row r="718" ht="15.75" customHeight="1">
      <c r="F718" s="137"/>
    </row>
    <row r="719" ht="15.75" customHeight="1">
      <c r="F719" s="137"/>
    </row>
    <row r="720" ht="15.75" customHeight="1">
      <c r="F720" s="137"/>
    </row>
    <row r="721" ht="15.75" customHeight="1">
      <c r="F721" s="137"/>
    </row>
    <row r="722" ht="15.75" customHeight="1">
      <c r="F722" s="137"/>
    </row>
    <row r="723" ht="15.75" customHeight="1">
      <c r="F723" s="137"/>
    </row>
    <row r="724" ht="15.75" customHeight="1">
      <c r="F724" s="137"/>
    </row>
    <row r="725" ht="15.75" customHeight="1">
      <c r="F725" s="137"/>
    </row>
    <row r="726" ht="15.75" customHeight="1">
      <c r="F726" s="137"/>
    </row>
    <row r="727" ht="15.75" customHeight="1">
      <c r="F727" s="137"/>
    </row>
    <row r="728" ht="15.75" customHeight="1">
      <c r="F728" s="137"/>
    </row>
    <row r="729" ht="15.75" customHeight="1">
      <c r="F729" s="137"/>
    </row>
    <row r="730" ht="15.75" customHeight="1">
      <c r="F730" s="137"/>
    </row>
    <row r="731" ht="15.75" customHeight="1">
      <c r="F731" s="137"/>
    </row>
    <row r="732" ht="15.75" customHeight="1">
      <c r="F732" s="137"/>
    </row>
    <row r="733" ht="15.75" customHeight="1">
      <c r="F733" s="137"/>
    </row>
    <row r="734" ht="15.75" customHeight="1">
      <c r="F734" s="137"/>
    </row>
    <row r="735" ht="15.75" customHeight="1">
      <c r="F735" s="137"/>
    </row>
    <row r="736" ht="15.75" customHeight="1">
      <c r="F736" s="137"/>
    </row>
    <row r="737" ht="15.75" customHeight="1">
      <c r="F737" s="137"/>
    </row>
    <row r="738" ht="15.75" customHeight="1">
      <c r="F738" s="137"/>
    </row>
    <row r="739" ht="15.75" customHeight="1">
      <c r="F739" s="137"/>
    </row>
    <row r="740" ht="15.75" customHeight="1">
      <c r="F740" s="137"/>
    </row>
    <row r="741" ht="15.75" customHeight="1">
      <c r="F741" s="137"/>
    </row>
    <row r="742" ht="15.75" customHeight="1">
      <c r="F742" s="137"/>
    </row>
    <row r="743" ht="15.75" customHeight="1">
      <c r="F743" s="137"/>
    </row>
    <row r="744" ht="15.75" customHeight="1">
      <c r="F744" s="137"/>
    </row>
    <row r="745" ht="15.75" customHeight="1">
      <c r="F745" s="137"/>
    </row>
    <row r="746" ht="15.75" customHeight="1">
      <c r="F746" s="137"/>
    </row>
    <row r="747" ht="15.75" customHeight="1">
      <c r="F747" s="137"/>
    </row>
    <row r="748" ht="15.75" customHeight="1">
      <c r="F748" s="137"/>
    </row>
    <row r="749" ht="15.75" customHeight="1">
      <c r="F749" s="137"/>
    </row>
    <row r="750" ht="15.75" customHeight="1">
      <c r="F750" s="137"/>
    </row>
    <row r="751" ht="15.75" customHeight="1">
      <c r="F751" s="137"/>
    </row>
    <row r="752" ht="15.75" customHeight="1">
      <c r="F752" s="137"/>
    </row>
    <row r="753" ht="15.75" customHeight="1">
      <c r="F753" s="137"/>
    </row>
    <row r="754" ht="15.75" customHeight="1">
      <c r="F754" s="137"/>
    </row>
    <row r="755" ht="15.75" customHeight="1">
      <c r="F755" s="137"/>
    </row>
    <row r="756" ht="15.75" customHeight="1">
      <c r="F756" s="137"/>
    </row>
    <row r="757" ht="15.75" customHeight="1">
      <c r="F757" s="137"/>
    </row>
    <row r="758" ht="15.75" customHeight="1">
      <c r="F758" s="137"/>
    </row>
    <row r="759" ht="15.75" customHeight="1">
      <c r="F759" s="137"/>
    </row>
    <row r="760" ht="15.75" customHeight="1">
      <c r="F760" s="137"/>
    </row>
    <row r="761" ht="15.75" customHeight="1">
      <c r="F761" s="137"/>
    </row>
    <row r="762" ht="15.75" customHeight="1">
      <c r="F762" s="137"/>
    </row>
    <row r="763" ht="15.75" customHeight="1">
      <c r="F763" s="137"/>
    </row>
    <row r="764" ht="15.75" customHeight="1">
      <c r="F764" s="137"/>
    </row>
    <row r="765" ht="15.75" customHeight="1">
      <c r="F765" s="137"/>
    </row>
    <row r="766" ht="15.75" customHeight="1">
      <c r="F766" s="137"/>
    </row>
    <row r="767" ht="15.75" customHeight="1">
      <c r="F767" s="137"/>
    </row>
    <row r="768" ht="15.75" customHeight="1">
      <c r="F768" s="137"/>
    </row>
    <row r="769" ht="15.75" customHeight="1">
      <c r="F769" s="137"/>
    </row>
    <row r="770" ht="15.75" customHeight="1">
      <c r="F770" s="137"/>
    </row>
    <row r="771" ht="15.75" customHeight="1">
      <c r="F771" s="137"/>
    </row>
    <row r="772" ht="15.75" customHeight="1">
      <c r="F772" s="137"/>
    </row>
    <row r="773" ht="15.75" customHeight="1">
      <c r="F773" s="137"/>
    </row>
    <row r="774" ht="15.75" customHeight="1">
      <c r="F774" s="137"/>
    </row>
    <row r="775" ht="15.75" customHeight="1">
      <c r="F775" s="137"/>
    </row>
    <row r="776" ht="15.75" customHeight="1">
      <c r="F776" s="137"/>
    </row>
    <row r="777" ht="15.75" customHeight="1">
      <c r="F777" s="137"/>
    </row>
    <row r="778" ht="15.75" customHeight="1">
      <c r="F778" s="137"/>
    </row>
    <row r="779" ht="15.75" customHeight="1">
      <c r="F779" s="137"/>
    </row>
    <row r="780" ht="15.75" customHeight="1">
      <c r="F780" s="137"/>
    </row>
    <row r="781" ht="15.75" customHeight="1">
      <c r="F781" s="137"/>
    </row>
    <row r="782" ht="15.75" customHeight="1">
      <c r="F782" s="137"/>
    </row>
    <row r="783" ht="15.75" customHeight="1">
      <c r="F783" s="137"/>
    </row>
    <row r="784" ht="15.75" customHeight="1">
      <c r="F784" s="137"/>
    </row>
    <row r="785" ht="15.75" customHeight="1">
      <c r="F785" s="137"/>
    </row>
    <row r="786" ht="15.75" customHeight="1">
      <c r="F786" s="137"/>
    </row>
    <row r="787" ht="15.75" customHeight="1">
      <c r="F787" s="137"/>
    </row>
    <row r="788" ht="15.75" customHeight="1">
      <c r="F788" s="137"/>
    </row>
    <row r="789" ht="15.75" customHeight="1">
      <c r="F789" s="137"/>
    </row>
    <row r="790" ht="15.75" customHeight="1">
      <c r="F790" s="137"/>
    </row>
    <row r="791" ht="15.75" customHeight="1">
      <c r="F791" s="137"/>
    </row>
    <row r="792" ht="15.75" customHeight="1">
      <c r="F792" s="137"/>
    </row>
    <row r="793" ht="15.75" customHeight="1">
      <c r="F793" s="137"/>
    </row>
    <row r="794" ht="15.75" customHeight="1">
      <c r="F794" s="137"/>
    </row>
    <row r="795" ht="15.75" customHeight="1">
      <c r="F795" s="137"/>
    </row>
    <row r="796" ht="15.75" customHeight="1">
      <c r="F796" s="137"/>
    </row>
    <row r="797" ht="15.75" customHeight="1">
      <c r="F797" s="137"/>
    </row>
    <row r="798" ht="15.75" customHeight="1">
      <c r="F798" s="137"/>
    </row>
    <row r="799" ht="15.75" customHeight="1">
      <c r="F799" s="137"/>
    </row>
    <row r="800" ht="15.75" customHeight="1">
      <c r="F800" s="137"/>
    </row>
    <row r="801" ht="15.75" customHeight="1">
      <c r="F801" s="137"/>
    </row>
    <row r="802" ht="15.75" customHeight="1">
      <c r="F802" s="137"/>
    </row>
    <row r="803" ht="15.75" customHeight="1">
      <c r="F803" s="137"/>
    </row>
    <row r="804" ht="15.75" customHeight="1">
      <c r="F804" s="137"/>
    </row>
    <row r="805" ht="15.75" customHeight="1">
      <c r="F805" s="137"/>
    </row>
    <row r="806" ht="15.75" customHeight="1">
      <c r="F806" s="137"/>
    </row>
    <row r="807" ht="15.75" customHeight="1">
      <c r="F807" s="137"/>
    </row>
    <row r="808" ht="15.75" customHeight="1">
      <c r="F808" s="137"/>
    </row>
    <row r="809" ht="15.75" customHeight="1">
      <c r="F809" s="137"/>
    </row>
    <row r="810" ht="15.75" customHeight="1">
      <c r="F810" s="137"/>
    </row>
    <row r="811" ht="15.75" customHeight="1">
      <c r="F811" s="137"/>
    </row>
    <row r="812" ht="15.75" customHeight="1">
      <c r="F812" s="137"/>
    </row>
    <row r="813" ht="15.75" customHeight="1">
      <c r="F813" s="137"/>
    </row>
    <row r="814" ht="15.75" customHeight="1">
      <c r="F814" s="137"/>
    </row>
    <row r="815" ht="15.75" customHeight="1">
      <c r="F815" s="137"/>
    </row>
    <row r="816" ht="15.75" customHeight="1">
      <c r="F816" s="137"/>
    </row>
    <row r="817" ht="15.75" customHeight="1">
      <c r="F817" s="137"/>
    </row>
    <row r="818" ht="15.75" customHeight="1">
      <c r="F818" s="137"/>
    </row>
    <row r="819" ht="15.75" customHeight="1">
      <c r="F819" s="137"/>
    </row>
    <row r="820" ht="15.75" customHeight="1">
      <c r="F820" s="137"/>
    </row>
    <row r="821" ht="15.75" customHeight="1">
      <c r="F821" s="137"/>
    </row>
    <row r="822" ht="15.75" customHeight="1">
      <c r="F822" s="137"/>
    </row>
    <row r="823" ht="15.75" customHeight="1">
      <c r="F823" s="137"/>
    </row>
    <row r="824" ht="15.75" customHeight="1">
      <c r="F824" s="137"/>
    </row>
    <row r="825" ht="15.75" customHeight="1">
      <c r="F825" s="137"/>
    </row>
    <row r="826" ht="15.75" customHeight="1">
      <c r="F826" s="137"/>
    </row>
    <row r="827" ht="15.75" customHeight="1">
      <c r="F827" s="137"/>
    </row>
    <row r="828" ht="15.75" customHeight="1">
      <c r="F828" s="137"/>
    </row>
    <row r="829" ht="15.75" customHeight="1">
      <c r="F829" s="137"/>
    </row>
    <row r="830" ht="15.75" customHeight="1">
      <c r="F830" s="137"/>
    </row>
    <row r="831" ht="15.75" customHeight="1">
      <c r="F831" s="137"/>
    </row>
    <row r="832" ht="15.75" customHeight="1">
      <c r="F832" s="137"/>
    </row>
    <row r="833" ht="15.75" customHeight="1">
      <c r="F833" s="137"/>
    </row>
    <row r="834" ht="15.75" customHeight="1">
      <c r="F834" s="137"/>
    </row>
    <row r="835" ht="15.75" customHeight="1">
      <c r="F835" s="137"/>
    </row>
    <row r="836" ht="15.75" customHeight="1">
      <c r="F836" s="137"/>
    </row>
    <row r="837" ht="15.75" customHeight="1">
      <c r="F837" s="137"/>
    </row>
    <row r="838" ht="15.75" customHeight="1">
      <c r="F838" s="137"/>
    </row>
    <row r="839" ht="15.75" customHeight="1">
      <c r="F839" s="137"/>
    </row>
    <row r="840" ht="15.75" customHeight="1">
      <c r="F840" s="137"/>
    </row>
    <row r="841" ht="15.75" customHeight="1">
      <c r="F841" s="137"/>
    </row>
    <row r="842" ht="15.75" customHeight="1">
      <c r="F842" s="137"/>
    </row>
    <row r="843" ht="15.75" customHeight="1">
      <c r="F843" s="137"/>
    </row>
    <row r="844" ht="15.75" customHeight="1">
      <c r="F844" s="137"/>
    </row>
    <row r="845" ht="15.75" customHeight="1">
      <c r="F845" s="137"/>
    </row>
    <row r="846" ht="15.75" customHeight="1">
      <c r="F846" s="137"/>
    </row>
    <row r="847" ht="15.75" customHeight="1">
      <c r="F847" s="137"/>
    </row>
    <row r="848" ht="15.75" customHeight="1">
      <c r="F848" s="137"/>
    </row>
    <row r="849" ht="15.75" customHeight="1">
      <c r="F849" s="137"/>
    </row>
    <row r="850" ht="15.75" customHeight="1">
      <c r="F850" s="137"/>
    </row>
    <row r="851" ht="15.75" customHeight="1">
      <c r="F851" s="137"/>
    </row>
    <row r="852" ht="15.75" customHeight="1">
      <c r="F852" s="137"/>
    </row>
    <row r="853" ht="15.75" customHeight="1">
      <c r="F853" s="137"/>
    </row>
    <row r="854" ht="15.75" customHeight="1">
      <c r="F854" s="137"/>
    </row>
    <row r="855" ht="15.75" customHeight="1">
      <c r="F855" s="137"/>
    </row>
    <row r="856" ht="15.75" customHeight="1">
      <c r="F856" s="137"/>
    </row>
    <row r="857" ht="15.75" customHeight="1">
      <c r="F857" s="137"/>
    </row>
    <row r="858" ht="15.75" customHeight="1">
      <c r="F858" s="137"/>
    </row>
    <row r="859" ht="15.75" customHeight="1">
      <c r="F859" s="137"/>
    </row>
    <row r="860" ht="15.75" customHeight="1">
      <c r="F860" s="137"/>
    </row>
    <row r="861" ht="15.75" customHeight="1">
      <c r="F861" s="137"/>
    </row>
    <row r="862" ht="15.75" customHeight="1">
      <c r="F862" s="137"/>
    </row>
    <row r="863" ht="15.75" customHeight="1">
      <c r="F863" s="137"/>
    </row>
    <row r="864" ht="15.75" customHeight="1">
      <c r="F864" s="137"/>
    </row>
    <row r="865" ht="15.75" customHeight="1">
      <c r="F865" s="137"/>
    </row>
    <row r="866" ht="15.75" customHeight="1">
      <c r="F866" s="137"/>
    </row>
    <row r="867" ht="15.75" customHeight="1">
      <c r="F867" s="137"/>
    </row>
    <row r="868" ht="15.75" customHeight="1">
      <c r="F868" s="137"/>
    </row>
    <row r="869" ht="15.75" customHeight="1">
      <c r="F869" s="137"/>
    </row>
    <row r="870" ht="15.75" customHeight="1">
      <c r="F870" s="137"/>
    </row>
    <row r="871" ht="15.75" customHeight="1">
      <c r="F871" s="137"/>
    </row>
    <row r="872" ht="15.75" customHeight="1">
      <c r="F872" s="137"/>
    </row>
    <row r="873" ht="15.75" customHeight="1">
      <c r="F873" s="137"/>
    </row>
    <row r="874" ht="15.75" customHeight="1">
      <c r="F874" s="137"/>
    </row>
    <row r="875" ht="15.75" customHeight="1">
      <c r="F875" s="137"/>
    </row>
    <row r="876" ht="15.75" customHeight="1">
      <c r="F876" s="137"/>
    </row>
    <row r="877" ht="15.75" customHeight="1">
      <c r="F877" s="137"/>
    </row>
    <row r="878" ht="15.75" customHeight="1">
      <c r="F878" s="137"/>
    </row>
    <row r="879" ht="15.75" customHeight="1">
      <c r="F879" s="137"/>
    </row>
    <row r="880" ht="15.75" customHeight="1">
      <c r="F880" s="137"/>
    </row>
    <row r="881" ht="15.75" customHeight="1">
      <c r="F881" s="137"/>
    </row>
    <row r="882" ht="15.75" customHeight="1">
      <c r="F882" s="137"/>
    </row>
    <row r="883" ht="15.75" customHeight="1">
      <c r="F883" s="137"/>
    </row>
    <row r="884" ht="15.75" customHeight="1">
      <c r="F884" s="137"/>
    </row>
    <row r="885" ht="15.75" customHeight="1">
      <c r="F885" s="137"/>
    </row>
    <row r="886" ht="15.75" customHeight="1">
      <c r="F886" s="137"/>
    </row>
    <row r="887" ht="15.75" customHeight="1">
      <c r="F887" s="137"/>
    </row>
    <row r="888" ht="15.75" customHeight="1">
      <c r="F888" s="137"/>
    </row>
    <row r="889" ht="15.75" customHeight="1">
      <c r="F889" s="137"/>
    </row>
    <row r="890" ht="15.75" customHeight="1">
      <c r="F890" s="137"/>
    </row>
    <row r="891" ht="15.75" customHeight="1">
      <c r="F891" s="137"/>
    </row>
    <row r="892" ht="15.75" customHeight="1">
      <c r="F892" s="137"/>
    </row>
    <row r="893" ht="15.75" customHeight="1">
      <c r="F893" s="137"/>
    </row>
    <row r="894" ht="15.75" customHeight="1">
      <c r="F894" s="137"/>
    </row>
    <row r="895" ht="15.75" customHeight="1">
      <c r="F895" s="137"/>
    </row>
    <row r="896" ht="15.75" customHeight="1">
      <c r="F896" s="137"/>
    </row>
    <row r="897" ht="15.75" customHeight="1">
      <c r="F897" s="137"/>
    </row>
    <row r="898" ht="15.75" customHeight="1">
      <c r="F898" s="137"/>
    </row>
    <row r="899" ht="15.75" customHeight="1">
      <c r="F899" s="137"/>
    </row>
    <row r="900" ht="15.75" customHeight="1">
      <c r="F900" s="137"/>
    </row>
    <row r="901" ht="15.75" customHeight="1">
      <c r="F901" s="137"/>
    </row>
    <row r="902" ht="15.75" customHeight="1">
      <c r="F902" s="137"/>
    </row>
    <row r="903" ht="15.75" customHeight="1">
      <c r="F903" s="137"/>
    </row>
    <row r="904" ht="15.75" customHeight="1">
      <c r="F904" s="137"/>
    </row>
    <row r="905" ht="15.75" customHeight="1">
      <c r="F905" s="137"/>
    </row>
    <row r="906" ht="15.75" customHeight="1">
      <c r="F906" s="137"/>
    </row>
    <row r="907" ht="15.75" customHeight="1">
      <c r="F907" s="137"/>
    </row>
    <row r="908" ht="15.75" customHeight="1">
      <c r="F908" s="137"/>
    </row>
    <row r="909" ht="15.75" customHeight="1">
      <c r="F909" s="137"/>
    </row>
    <row r="910" ht="15.75" customHeight="1">
      <c r="F910" s="137"/>
    </row>
    <row r="911" ht="15.75" customHeight="1">
      <c r="F911" s="137"/>
    </row>
    <row r="912" ht="15.75" customHeight="1">
      <c r="F912" s="137"/>
    </row>
    <row r="913" ht="15.75" customHeight="1">
      <c r="F913" s="137"/>
    </row>
    <row r="914" ht="15.75" customHeight="1">
      <c r="F914" s="137"/>
    </row>
    <row r="915" ht="15.75" customHeight="1">
      <c r="F915" s="137"/>
    </row>
    <row r="916" ht="15.75" customHeight="1">
      <c r="F916" s="137"/>
    </row>
    <row r="917" ht="15.75" customHeight="1">
      <c r="F917" s="137"/>
    </row>
    <row r="918" ht="15.75" customHeight="1">
      <c r="F918" s="137"/>
    </row>
    <row r="919" ht="15.75" customHeight="1">
      <c r="F919" s="137"/>
    </row>
    <row r="920" ht="15.75" customHeight="1">
      <c r="F920" s="137"/>
    </row>
    <row r="921" ht="15.75" customHeight="1">
      <c r="F921" s="137"/>
    </row>
    <row r="922" ht="15.75" customHeight="1">
      <c r="F922" s="137"/>
    </row>
    <row r="923" ht="15.75" customHeight="1">
      <c r="F923" s="137"/>
    </row>
    <row r="924" ht="15.75" customHeight="1">
      <c r="F924" s="137"/>
    </row>
    <row r="925" ht="15.75" customHeight="1">
      <c r="F925" s="137"/>
    </row>
    <row r="926" ht="15.75" customHeight="1">
      <c r="F926" s="137"/>
    </row>
    <row r="927" ht="15.75" customHeight="1">
      <c r="F927" s="137"/>
    </row>
    <row r="928" ht="15.75" customHeight="1">
      <c r="F928" s="137"/>
    </row>
    <row r="929" ht="15.75" customHeight="1">
      <c r="F929" s="137"/>
    </row>
    <row r="930" ht="15.75" customHeight="1">
      <c r="F930" s="137"/>
    </row>
    <row r="931" ht="15.75" customHeight="1">
      <c r="F931" s="137"/>
    </row>
    <row r="932" ht="15.75" customHeight="1">
      <c r="F932" s="137"/>
    </row>
    <row r="933" ht="15.75" customHeight="1">
      <c r="F933" s="137"/>
    </row>
    <row r="934" ht="15.75" customHeight="1">
      <c r="F934" s="137"/>
    </row>
    <row r="935" ht="15.75" customHeight="1">
      <c r="F935" s="137"/>
    </row>
    <row r="936" ht="15.75" customHeight="1">
      <c r="F936" s="137"/>
    </row>
    <row r="937" ht="15.75" customHeight="1">
      <c r="F937" s="137"/>
    </row>
    <row r="938" ht="15.75" customHeight="1">
      <c r="F938" s="137"/>
    </row>
    <row r="939" ht="15.75" customHeight="1">
      <c r="F939" s="137"/>
    </row>
    <row r="940" ht="15.75" customHeight="1">
      <c r="F940" s="137"/>
    </row>
    <row r="941" ht="15.75" customHeight="1">
      <c r="F941" s="137"/>
    </row>
    <row r="942" ht="15.75" customHeight="1">
      <c r="F942" s="137"/>
    </row>
    <row r="943" ht="15.75" customHeight="1">
      <c r="F943" s="137"/>
    </row>
    <row r="944" ht="15.75" customHeight="1">
      <c r="F944" s="137"/>
    </row>
    <row r="945" ht="15.75" customHeight="1">
      <c r="F945" s="137"/>
    </row>
    <row r="946" ht="15.75" customHeight="1">
      <c r="F946" s="137"/>
    </row>
    <row r="947" ht="15.75" customHeight="1">
      <c r="F947" s="137"/>
    </row>
    <row r="948" ht="15.75" customHeight="1">
      <c r="F948" s="137"/>
    </row>
    <row r="949" ht="15.75" customHeight="1">
      <c r="F949" s="137"/>
    </row>
    <row r="950" ht="15.75" customHeight="1">
      <c r="F950" s="137"/>
    </row>
    <row r="951" ht="15.75" customHeight="1">
      <c r="F951" s="137"/>
    </row>
    <row r="952" ht="15.75" customHeight="1">
      <c r="F952" s="137"/>
    </row>
    <row r="953" ht="15.75" customHeight="1">
      <c r="F953" s="137"/>
    </row>
    <row r="954" ht="15.75" customHeight="1">
      <c r="F954" s="137"/>
    </row>
    <row r="955" ht="15.75" customHeight="1">
      <c r="F955" s="137"/>
    </row>
    <row r="956" ht="15.75" customHeight="1">
      <c r="F956" s="137"/>
    </row>
    <row r="957" ht="15.75" customHeight="1">
      <c r="F957" s="137"/>
    </row>
    <row r="958" ht="15.75" customHeight="1">
      <c r="F958" s="137"/>
    </row>
    <row r="959" ht="15.75" customHeight="1">
      <c r="F959" s="137"/>
    </row>
    <row r="960" ht="15.75" customHeight="1">
      <c r="F960" s="137"/>
    </row>
    <row r="961" ht="15.75" customHeight="1">
      <c r="F961" s="137"/>
    </row>
    <row r="962" ht="15.75" customHeight="1">
      <c r="F962" s="137"/>
    </row>
    <row r="963" ht="15.75" customHeight="1">
      <c r="F963" s="137"/>
    </row>
    <row r="964" ht="15.75" customHeight="1">
      <c r="F964" s="137"/>
    </row>
    <row r="965" ht="15.75" customHeight="1">
      <c r="F965" s="137"/>
    </row>
    <row r="966" ht="15.75" customHeight="1">
      <c r="F966" s="137"/>
    </row>
    <row r="967" ht="15.75" customHeight="1">
      <c r="F967" s="137"/>
    </row>
    <row r="968" ht="15.75" customHeight="1">
      <c r="F968" s="137"/>
    </row>
    <row r="969" ht="15.75" customHeight="1">
      <c r="F969" s="137"/>
    </row>
    <row r="970" ht="15.75" customHeight="1">
      <c r="F970" s="137"/>
    </row>
    <row r="971" ht="15.75" customHeight="1">
      <c r="F971" s="137"/>
    </row>
    <row r="972" ht="15.75" customHeight="1">
      <c r="F972" s="137"/>
    </row>
    <row r="973" ht="15.75" customHeight="1">
      <c r="F973" s="137"/>
    </row>
    <row r="974" ht="15.75" customHeight="1">
      <c r="F974" s="137"/>
    </row>
    <row r="975" ht="15.75" customHeight="1">
      <c r="F975" s="137"/>
    </row>
    <row r="976" ht="15.75" customHeight="1">
      <c r="F976" s="137"/>
    </row>
    <row r="977" ht="15.75" customHeight="1">
      <c r="F977" s="137"/>
    </row>
    <row r="978" ht="15.75" customHeight="1">
      <c r="F978" s="137"/>
    </row>
    <row r="979" ht="15.75" customHeight="1">
      <c r="F979" s="137"/>
    </row>
    <row r="980" ht="15.75" customHeight="1">
      <c r="F980" s="137"/>
    </row>
    <row r="981" ht="15.75" customHeight="1">
      <c r="F981" s="137"/>
    </row>
    <row r="982" ht="15.75" customHeight="1">
      <c r="F982" s="137"/>
    </row>
    <row r="983" ht="15.75" customHeight="1">
      <c r="F983" s="137"/>
    </row>
    <row r="984" ht="15.75" customHeight="1">
      <c r="F984" s="137"/>
    </row>
    <row r="985" ht="15.75" customHeight="1">
      <c r="F985" s="137"/>
    </row>
    <row r="986" ht="15.75" customHeight="1">
      <c r="F986" s="137"/>
    </row>
    <row r="987" ht="15.75" customHeight="1">
      <c r="F987" s="137"/>
    </row>
    <row r="988" ht="15.75" customHeight="1">
      <c r="F988" s="137"/>
    </row>
    <row r="989" ht="15.75" customHeight="1">
      <c r="F989" s="137"/>
    </row>
    <row r="990" ht="15.75" customHeight="1">
      <c r="F990" s="137"/>
    </row>
    <row r="991" ht="15.75" customHeight="1">
      <c r="F991" s="137"/>
    </row>
    <row r="992" ht="15.75" customHeight="1">
      <c r="F992" s="137"/>
    </row>
    <row r="993" ht="15.75" customHeight="1">
      <c r="F993" s="137"/>
    </row>
    <row r="994" ht="15.75" customHeight="1">
      <c r="F994" s="137"/>
    </row>
    <row r="995" ht="15.75" customHeight="1">
      <c r="F995" s="137"/>
    </row>
    <row r="996" ht="15.75" customHeight="1">
      <c r="F996" s="137"/>
    </row>
    <row r="997" ht="15.75" customHeight="1">
      <c r="F997" s="137"/>
    </row>
    <row r="998" ht="15.75" customHeight="1">
      <c r="F998" s="137"/>
    </row>
    <row r="999" ht="15.75" customHeight="1">
      <c r="F999" s="137"/>
    </row>
    <row r="1000" ht="15.75" customHeight="1">
      <c r="F1000" s="137"/>
    </row>
    <row r="1001" ht="15.75" customHeight="1">
      <c r="F1001" s="137"/>
    </row>
    <row r="1002" ht="15.75" customHeight="1">
      <c r="F1002" s="137"/>
    </row>
    <row r="1003" ht="15.75" customHeight="1">
      <c r="F1003" s="137"/>
    </row>
  </sheetData>
  <printOptions/>
  <pageMargins bottom="1.0" footer="0.0" header="0.0" left="0.75" right="0.75" top="1.0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0.0"/>
    <col customWidth="1" min="2" max="3" width="15.0"/>
    <col customWidth="1" min="4" max="4" width="17.14"/>
    <col customWidth="1" min="5" max="7" width="12.0"/>
    <col customWidth="1" min="8" max="8" width="15.0"/>
    <col customWidth="1" min="9" max="9" width="16.71"/>
    <col customWidth="1" min="10" max="29" width="12.0"/>
    <col customWidth="1" min="30" max="30" width="14.86"/>
    <col customWidth="1" min="31" max="31" width="12.0"/>
    <col customWidth="1" min="32" max="32" width="16.86"/>
    <col customWidth="1" min="33" max="33" width="12.0"/>
    <col customWidth="1" min="34" max="34" width="17.86"/>
    <col customWidth="1" min="35" max="36" width="12.0"/>
  </cols>
  <sheetData>
    <row r="1" ht="24.75" customHeight="1">
      <c r="A1" s="53" t="s">
        <v>0</v>
      </c>
      <c r="B1" s="53" t="s">
        <v>214</v>
      </c>
      <c r="C1" s="53" t="s">
        <v>215</v>
      </c>
      <c r="D1" s="53" t="s">
        <v>240</v>
      </c>
      <c r="E1" s="53" t="s">
        <v>241</v>
      </c>
      <c r="F1" s="53" t="s">
        <v>242</v>
      </c>
      <c r="G1" s="53" t="s">
        <v>243</v>
      </c>
      <c r="H1" s="53" t="s">
        <v>244</v>
      </c>
      <c r="I1" s="53" t="s">
        <v>245</v>
      </c>
      <c r="J1" s="53" t="s">
        <v>246</v>
      </c>
      <c r="K1" s="53" t="s">
        <v>247</v>
      </c>
      <c r="L1" s="53" t="s">
        <v>248</v>
      </c>
      <c r="M1" s="53" t="s">
        <v>249</v>
      </c>
      <c r="N1" s="53" t="s">
        <v>250</v>
      </c>
      <c r="O1" s="53" t="s">
        <v>251</v>
      </c>
      <c r="P1" s="53" t="s">
        <v>252</v>
      </c>
      <c r="Q1" s="53" t="s">
        <v>253</v>
      </c>
      <c r="R1" s="53" t="s">
        <v>254</v>
      </c>
      <c r="S1" s="53" t="s">
        <v>255</v>
      </c>
      <c r="T1" s="53" t="s">
        <v>256</v>
      </c>
      <c r="U1" s="53" t="s">
        <v>257</v>
      </c>
      <c r="V1" s="53" t="s">
        <v>258</v>
      </c>
      <c r="W1" s="53" t="s">
        <v>259</v>
      </c>
      <c r="X1" s="53" t="s">
        <v>260</v>
      </c>
      <c r="Y1" s="53" t="s">
        <v>261</v>
      </c>
      <c r="Z1" s="53" t="s">
        <v>262</v>
      </c>
      <c r="AA1" s="53" t="s">
        <v>263</v>
      </c>
      <c r="AB1" s="53" t="s">
        <v>264</v>
      </c>
      <c r="AC1" s="53" t="s">
        <v>265</v>
      </c>
      <c r="AD1" s="53" t="s">
        <v>266</v>
      </c>
      <c r="AE1" s="53" t="s">
        <v>267</v>
      </c>
      <c r="AF1" s="53" t="s">
        <v>268</v>
      </c>
      <c r="AG1" s="53" t="s">
        <v>269</v>
      </c>
      <c r="AH1" s="141" t="s">
        <v>270</v>
      </c>
      <c r="AI1" s="142"/>
      <c r="AJ1" s="143"/>
    </row>
    <row r="2" ht="19.5" customHeight="1">
      <c r="A2" s="53"/>
      <c r="B2" s="53"/>
      <c r="C2" s="53"/>
      <c r="D2" s="53" t="s">
        <v>271</v>
      </c>
      <c r="E2" s="53" t="s">
        <v>272</v>
      </c>
      <c r="F2" s="53" t="s">
        <v>273</v>
      </c>
      <c r="G2" s="53" t="s">
        <v>220</v>
      </c>
      <c r="H2" s="53" t="s">
        <v>221</v>
      </c>
      <c r="I2" s="53" t="s">
        <v>222</v>
      </c>
      <c r="J2" s="53" t="s">
        <v>223</v>
      </c>
      <c r="K2" s="53" t="s">
        <v>271</v>
      </c>
      <c r="L2" s="53" t="s">
        <v>272</v>
      </c>
      <c r="M2" s="53" t="s">
        <v>273</v>
      </c>
      <c r="N2" s="53" t="s">
        <v>220</v>
      </c>
      <c r="O2" s="53" t="s">
        <v>221</v>
      </c>
      <c r="P2" s="53" t="s">
        <v>222</v>
      </c>
      <c r="Q2" s="53" t="s">
        <v>223</v>
      </c>
      <c r="R2" s="53" t="s">
        <v>271</v>
      </c>
      <c r="S2" s="53" t="s">
        <v>272</v>
      </c>
      <c r="T2" s="53" t="s">
        <v>273</v>
      </c>
      <c r="U2" s="53" t="s">
        <v>220</v>
      </c>
      <c r="V2" s="53" t="s">
        <v>221</v>
      </c>
      <c r="W2" s="53" t="s">
        <v>222</v>
      </c>
      <c r="X2" s="53" t="s">
        <v>223</v>
      </c>
      <c r="Y2" s="53" t="s">
        <v>271</v>
      </c>
      <c r="Z2" s="53" t="s">
        <v>272</v>
      </c>
      <c r="AA2" s="53" t="s">
        <v>273</v>
      </c>
      <c r="AB2" s="53" t="s">
        <v>220</v>
      </c>
      <c r="AC2" s="53" t="s">
        <v>221</v>
      </c>
      <c r="AD2" s="53" t="s">
        <v>222</v>
      </c>
      <c r="AE2" s="53" t="s">
        <v>223</v>
      </c>
      <c r="AF2" s="53" t="s">
        <v>271</v>
      </c>
      <c r="AG2" s="53" t="s">
        <v>272</v>
      </c>
      <c r="AH2" s="141" t="s">
        <v>273</v>
      </c>
      <c r="AI2" s="142"/>
      <c r="AJ2" s="143"/>
    </row>
    <row r="3">
      <c r="A3" s="56" t="s">
        <v>224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144"/>
      <c r="AI3" s="145"/>
      <c r="AJ3" s="146"/>
    </row>
    <row r="4">
      <c r="A4" s="72" t="s">
        <v>2</v>
      </c>
      <c r="B4" s="72">
        <f t="shared" ref="B4:B6" si="1">SUM(D4:AH4)</f>
        <v>2552</v>
      </c>
      <c r="C4" s="147">
        <f t="shared" ref="C4:C7" si="2">AVERAGE(D4:AH4)</f>
        <v>82.32258065</v>
      </c>
      <c r="D4" s="148">
        <v>33.0</v>
      </c>
      <c r="E4" s="148">
        <v>37.0</v>
      </c>
      <c r="F4" s="148">
        <v>29.0</v>
      </c>
      <c r="G4" s="148">
        <v>56.0</v>
      </c>
      <c r="H4" s="148">
        <f>44-7</f>
        <v>37</v>
      </c>
      <c r="I4" s="148">
        <f>36-1</f>
        <v>35</v>
      </c>
      <c r="J4" s="148">
        <f>39-1</f>
        <v>38</v>
      </c>
      <c r="K4" s="148">
        <f>32-1</f>
        <v>31</v>
      </c>
      <c r="L4" s="148">
        <f>40-5</f>
        <v>35</v>
      </c>
      <c r="M4" s="148">
        <f>69-26</f>
        <v>43</v>
      </c>
      <c r="N4" s="148">
        <f>34-2</f>
        <v>32</v>
      </c>
      <c r="O4" s="148">
        <f>41-3</f>
        <v>38</v>
      </c>
      <c r="P4" s="148">
        <v>46.0</v>
      </c>
      <c r="Q4" s="148">
        <v>59.0</v>
      </c>
      <c r="R4" s="148">
        <v>72.0</v>
      </c>
      <c r="S4" s="148">
        <f>84-1</f>
        <v>83</v>
      </c>
      <c r="T4" s="148">
        <f>62-1</f>
        <v>61</v>
      </c>
      <c r="U4" s="148">
        <v>29.0</v>
      </c>
      <c r="V4" s="148">
        <f>31-1</f>
        <v>30</v>
      </c>
      <c r="W4" s="148">
        <v>36.0</v>
      </c>
      <c r="X4" s="148">
        <v>43.0</v>
      </c>
      <c r="Y4" s="148">
        <v>116.0</v>
      </c>
      <c r="Z4" s="148">
        <v>208.0</v>
      </c>
      <c r="AA4" s="148">
        <v>175.0</v>
      </c>
      <c r="AB4" s="148">
        <v>211.0</v>
      </c>
      <c r="AC4" s="148">
        <v>156.0</v>
      </c>
      <c r="AD4" s="148">
        <v>140.0</v>
      </c>
      <c r="AE4" s="148">
        <v>133.0</v>
      </c>
      <c r="AF4" s="148">
        <v>69.0</v>
      </c>
      <c r="AG4" s="148">
        <v>164.0</v>
      </c>
      <c r="AH4" s="149">
        <v>277.0</v>
      </c>
      <c r="AI4" s="150"/>
      <c r="AJ4" s="151"/>
    </row>
    <row r="5">
      <c r="A5" s="60" t="s">
        <v>3</v>
      </c>
      <c r="B5" s="92">
        <f t="shared" si="1"/>
        <v>2399</v>
      </c>
      <c r="C5" s="152">
        <f t="shared" si="2"/>
        <v>79.96666667</v>
      </c>
      <c r="D5" s="65">
        <v>25.0</v>
      </c>
      <c r="E5" s="65">
        <v>9.0</v>
      </c>
      <c r="F5" s="65">
        <v>32.0</v>
      </c>
      <c r="G5" s="65">
        <v>36.0</v>
      </c>
      <c r="H5" s="65">
        <v>44.0</v>
      </c>
      <c r="I5" s="65">
        <v>34.0</v>
      </c>
      <c r="J5" s="65">
        <v>31.0</v>
      </c>
      <c r="K5" s="65">
        <v>31.0</v>
      </c>
      <c r="L5" s="65">
        <v>36.0</v>
      </c>
      <c r="M5" s="65">
        <v>38.0</v>
      </c>
      <c r="N5" s="65">
        <v>39.0</v>
      </c>
      <c r="O5" s="65">
        <v>40.0</v>
      </c>
      <c r="P5" s="65">
        <v>47.0</v>
      </c>
      <c r="Q5" s="60"/>
      <c r="R5" s="65">
        <v>46.0</v>
      </c>
      <c r="S5" s="65">
        <v>57.0</v>
      </c>
      <c r="T5" s="65">
        <v>67.0</v>
      </c>
      <c r="U5" s="65">
        <v>51.0</v>
      </c>
      <c r="V5" s="65">
        <v>61.0</v>
      </c>
      <c r="W5" s="65">
        <v>67.0</v>
      </c>
      <c r="X5" s="65">
        <v>48.0</v>
      </c>
      <c r="Y5" s="65">
        <v>54.0</v>
      </c>
      <c r="Z5" s="65">
        <v>81.0</v>
      </c>
      <c r="AA5" s="65">
        <v>118.0</v>
      </c>
      <c r="AB5" s="65">
        <v>115.0</v>
      </c>
      <c r="AC5" s="65">
        <v>148.0</v>
      </c>
      <c r="AD5" s="65">
        <v>147.0</v>
      </c>
      <c r="AE5" s="65">
        <v>202.0</v>
      </c>
      <c r="AF5" s="65">
        <v>219.0</v>
      </c>
      <c r="AG5" s="65">
        <v>188.0</v>
      </c>
      <c r="AH5" s="153">
        <v>288.0</v>
      </c>
      <c r="AI5" s="150"/>
      <c r="AJ5" s="151"/>
    </row>
    <row r="6">
      <c r="A6" s="60" t="s">
        <v>4</v>
      </c>
      <c r="B6" s="92">
        <f t="shared" si="1"/>
        <v>2521</v>
      </c>
      <c r="C6" s="154">
        <f t="shared" si="2"/>
        <v>81.32258065</v>
      </c>
      <c r="D6" s="65">
        <v>25.0</v>
      </c>
      <c r="E6" s="65">
        <v>21.0</v>
      </c>
      <c r="F6" s="65">
        <v>24.0</v>
      </c>
      <c r="G6" s="65">
        <v>54.0</v>
      </c>
      <c r="H6" s="65">
        <v>37.0</v>
      </c>
      <c r="I6" s="79">
        <v>35.0</v>
      </c>
      <c r="J6" s="65">
        <v>38.0</v>
      </c>
      <c r="K6" s="65">
        <v>31.0</v>
      </c>
      <c r="L6" s="65">
        <v>35.0</v>
      </c>
      <c r="M6" s="65">
        <v>43.0</v>
      </c>
      <c r="N6" s="65">
        <v>32.0</v>
      </c>
      <c r="O6" s="65">
        <v>38.0</v>
      </c>
      <c r="P6" s="65">
        <v>46.0</v>
      </c>
      <c r="Q6" s="65">
        <v>59.0</v>
      </c>
      <c r="R6" s="65">
        <v>72.0</v>
      </c>
      <c r="S6" s="65">
        <v>83.0</v>
      </c>
      <c r="T6" s="65">
        <v>61.0</v>
      </c>
      <c r="U6" s="65">
        <v>29.0</v>
      </c>
      <c r="V6" s="65">
        <v>30.0</v>
      </c>
      <c r="W6" s="65">
        <v>36.0</v>
      </c>
      <c r="X6" s="65">
        <v>43.0</v>
      </c>
      <c r="Y6" s="65">
        <v>116.0</v>
      </c>
      <c r="Z6" s="65">
        <v>208.0</v>
      </c>
      <c r="AA6" s="65">
        <v>175.0</v>
      </c>
      <c r="AB6" s="65">
        <v>211.0</v>
      </c>
      <c r="AC6" s="79">
        <v>156.0</v>
      </c>
      <c r="AD6" s="65">
        <v>140.0</v>
      </c>
      <c r="AE6" s="65">
        <v>133.0</v>
      </c>
      <c r="AF6" s="65">
        <v>69.0</v>
      </c>
      <c r="AG6" s="65">
        <v>164.0</v>
      </c>
      <c r="AH6" s="153">
        <v>277.0</v>
      </c>
      <c r="AI6" s="150"/>
      <c r="AJ6" s="151"/>
    </row>
    <row r="7">
      <c r="A7" s="60" t="s">
        <v>5</v>
      </c>
      <c r="B7" s="68">
        <f>C7</f>
        <v>0.9715166208</v>
      </c>
      <c r="C7" s="68">
        <f t="shared" si="2"/>
        <v>0.9715166208</v>
      </c>
      <c r="D7" s="12">
        <f t="shared" ref="D7:AH7" si="3">D6/D4</f>
        <v>0.7575757576</v>
      </c>
      <c r="E7" s="12">
        <f t="shared" si="3"/>
        <v>0.5675675676</v>
      </c>
      <c r="F7" s="12">
        <f t="shared" si="3"/>
        <v>0.8275862069</v>
      </c>
      <c r="G7" s="12">
        <f t="shared" si="3"/>
        <v>0.9642857143</v>
      </c>
      <c r="H7" s="12">
        <f t="shared" si="3"/>
        <v>1</v>
      </c>
      <c r="I7" s="12">
        <f t="shared" si="3"/>
        <v>1</v>
      </c>
      <c r="J7" s="12">
        <f t="shared" si="3"/>
        <v>1</v>
      </c>
      <c r="K7" s="12">
        <f t="shared" si="3"/>
        <v>1</v>
      </c>
      <c r="L7" s="12">
        <f t="shared" si="3"/>
        <v>1</v>
      </c>
      <c r="M7" s="12">
        <f t="shared" si="3"/>
        <v>1</v>
      </c>
      <c r="N7" s="12">
        <f t="shared" si="3"/>
        <v>1</v>
      </c>
      <c r="O7" s="12">
        <f t="shared" si="3"/>
        <v>1</v>
      </c>
      <c r="P7" s="12">
        <f t="shared" si="3"/>
        <v>1</v>
      </c>
      <c r="Q7" s="12">
        <f t="shared" si="3"/>
        <v>1</v>
      </c>
      <c r="R7" s="12">
        <f t="shared" si="3"/>
        <v>1</v>
      </c>
      <c r="S7" s="12">
        <f t="shared" si="3"/>
        <v>1</v>
      </c>
      <c r="T7" s="12">
        <f t="shared" si="3"/>
        <v>1</v>
      </c>
      <c r="U7" s="12">
        <f t="shared" si="3"/>
        <v>1</v>
      </c>
      <c r="V7" s="12">
        <f t="shared" si="3"/>
        <v>1</v>
      </c>
      <c r="W7" s="12">
        <f t="shared" si="3"/>
        <v>1</v>
      </c>
      <c r="X7" s="12">
        <f t="shared" si="3"/>
        <v>1</v>
      </c>
      <c r="Y7" s="12">
        <f t="shared" si="3"/>
        <v>1</v>
      </c>
      <c r="Z7" s="12">
        <f t="shared" si="3"/>
        <v>1</v>
      </c>
      <c r="AA7" s="12">
        <f t="shared" si="3"/>
        <v>1</v>
      </c>
      <c r="AB7" s="12">
        <f t="shared" si="3"/>
        <v>1</v>
      </c>
      <c r="AC7" s="12">
        <f t="shared" si="3"/>
        <v>1</v>
      </c>
      <c r="AD7" s="12">
        <f t="shared" si="3"/>
        <v>1</v>
      </c>
      <c r="AE7" s="12">
        <f t="shared" si="3"/>
        <v>1</v>
      </c>
      <c r="AF7" s="12">
        <f t="shared" si="3"/>
        <v>1</v>
      </c>
      <c r="AG7" s="12">
        <f t="shared" si="3"/>
        <v>1</v>
      </c>
      <c r="AH7" s="12">
        <f t="shared" si="3"/>
        <v>1</v>
      </c>
      <c r="AI7" s="150"/>
      <c r="AJ7" s="151"/>
    </row>
    <row r="8">
      <c r="A8" s="60" t="s">
        <v>6</v>
      </c>
      <c r="B8" s="92">
        <f t="shared" ref="B8:B10" si="4">SUM(D8:AH8)</f>
        <v>1554</v>
      </c>
      <c r="C8" s="92">
        <f t="shared" ref="C8:C9" si="5">AVERAGE(Y8:AH8)</f>
        <v>155.4</v>
      </c>
      <c r="D8" s="65">
        <v>0.0</v>
      </c>
      <c r="E8" s="65">
        <v>0.0</v>
      </c>
      <c r="F8" s="65">
        <v>0.0</v>
      </c>
      <c r="G8" s="65">
        <v>0.0</v>
      </c>
      <c r="H8" s="65">
        <v>0.0</v>
      </c>
      <c r="I8" s="65">
        <v>0.0</v>
      </c>
      <c r="J8" s="65">
        <v>0.0</v>
      </c>
      <c r="K8" s="65">
        <v>0.0</v>
      </c>
      <c r="L8" s="65">
        <v>0.0</v>
      </c>
      <c r="M8" s="65">
        <v>0.0</v>
      </c>
      <c r="N8" s="65">
        <v>0.0</v>
      </c>
      <c r="O8" s="65">
        <v>0.0</v>
      </c>
      <c r="P8" s="65">
        <v>0.0</v>
      </c>
      <c r="Q8" s="65">
        <v>0.0</v>
      </c>
      <c r="R8" s="65">
        <v>0.0</v>
      </c>
      <c r="S8" s="65">
        <v>0.0</v>
      </c>
      <c r="T8" s="65">
        <v>0.0</v>
      </c>
      <c r="U8" s="65">
        <v>0.0</v>
      </c>
      <c r="V8" s="65">
        <v>0.0</v>
      </c>
      <c r="W8" s="65">
        <v>0.0</v>
      </c>
      <c r="X8" s="65">
        <v>0.0</v>
      </c>
      <c r="Y8" s="65">
        <v>106.0</v>
      </c>
      <c r="Z8" s="65">
        <v>184.0</v>
      </c>
      <c r="AA8" s="65">
        <v>166.0</v>
      </c>
      <c r="AB8" s="65">
        <v>210.0</v>
      </c>
      <c r="AC8" s="65">
        <v>136.0</v>
      </c>
      <c r="AD8" s="65">
        <v>123.0</v>
      </c>
      <c r="AE8" s="65">
        <v>133.0</v>
      </c>
      <c r="AF8" s="65">
        <v>60.0</v>
      </c>
      <c r="AG8" s="65">
        <v>162.0</v>
      </c>
      <c r="AH8" s="65">
        <v>274.0</v>
      </c>
      <c r="AI8" s="150"/>
      <c r="AJ8" s="151"/>
    </row>
    <row r="9">
      <c r="A9" s="60" t="s">
        <v>7</v>
      </c>
      <c r="B9" s="92">
        <f t="shared" si="4"/>
        <v>9.339146651</v>
      </c>
      <c r="C9" s="68">
        <f t="shared" si="5"/>
        <v>0.9339146651</v>
      </c>
      <c r="D9" s="60">
        <f t="shared" ref="D9:E9" si="6">D8/D4</f>
        <v>0</v>
      </c>
      <c r="E9" s="60">
        <f t="shared" si="6"/>
        <v>0</v>
      </c>
      <c r="F9" s="65">
        <v>0.0</v>
      </c>
      <c r="G9" s="65">
        <v>0.0</v>
      </c>
      <c r="H9" s="65">
        <v>0.0</v>
      </c>
      <c r="I9" s="65">
        <v>0.0</v>
      </c>
      <c r="J9" s="65">
        <v>0.0</v>
      </c>
      <c r="K9" s="65">
        <v>0.0</v>
      </c>
      <c r="L9" s="65">
        <v>0.0</v>
      </c>
      <c r="M9" s="65">
        <v>0.0</v>
      </c>
      <c r="N9" s="65">
        <v>0.0</v>
      </c>
      <c r="O9" s="65">
        <v>0.0</v>
      </c>
      <c r="P9" s="65">
        <v>0.0</v>
      </c>
      <c r="Q9" s="65">
        <v>0.0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5">
        <v>0.0</v>
      </c>
      <c r="Y9" s="12">
        <f t="shared" ref="Y9:AH9" si="7">Y8/Y4</f>
        <v>0.9137931034</v>
      </c>
      <c r="Z9" s="12">
        <f t="shared" si="7"/>
        <v>0.8846153846</v>
      </c>
      <c r="AA9" s="12">
        <f t="shared" si="7"/>
        <v>0.9485714286</v>
      </c>
      <c r="AB9" s="12">
        <f t="shared" si="7"/>
        <v>0.9952606635</v>
      </c>
      <c r="AC9" s="12">
        <f t="shared" si="7"/>
        <v>0.8717948718</v>
      </c>
      <c r="AD9" s="12">
        <f t="shared" si="7"/>
        <v>0.8785714286</v>
      </c>
      <c r="AE9" s="12">
        <f t="shared" si="7"/>
        <v>1</v>
      </c>
      <c r="AF9" s="12">
        <f t="shared" si="7"/>
        <v>0.8695652174</v>
      </c>
      <c r="AG9" s="12">
        <f t="shared" si="7"/>
        <v>0.987804878</v>
      </c>
      <c r="AH9" s="12">
        <f t="shared" si="7"/>
        <v>0.9891696751</v>
      </c>
      <c r="AI9" s="150"/>
      <c r="AJ9" s="151"/>
    </row>
    <row r="10">
      <c r="A10" s="65" t="s">
        <v>8</v>
      </c>
      <c r="B10" s="92">
        <f t="shared" si="4"/>
        <v>231</v>
      </c>
      <c r="C10" s="154">
        <f t="shared" ref="C10:C19" si="8">AVERAGE(D10:AH10)</f>
        <v>7.451612903</v>
      </c>
      <c r="D10" s="65">
        <v>3.0</v>
      </c>
      <c r="E10" s="65">
        <v>3.0</v>
      </c>
      <c r="F10" s="65">
        <v>1.0</v>
      </c>
      <c r="G10" s="65">
        <v>3.0</v>
      </c>
      <c r="H10" s="65">
        <v>4.0</v>
      </c>
      <c r="I10" s="65">
        <v>1.0</v>
      </c>
      <c r="J10" s="65">
        <v>2.0</v>
      </c>
      <c r="K10" s="65">
        <v>1.0</v>
      </c>
      <c r="L10" s="65">
        <v>4.0</v>
      </c>
      <c r="M10" s="65">
        <v>4.0</v>
      </c>
      <c r="N10" s="65">
        <v>2.0</v>
      </c>
      <c r="O10" s="65">
        <v>4.0</v>
      </c>
      <c r="P10" s="65">
        <v>1.0</v>
      </c>
      <c r="Q10" s="65">
        <v>8.0</v>
      </c>
      <c r="R10" s="65">
        <v>9.0</v>
      </c>
      <c r="S10" s="65">
        <v>9.0</v>
      </c>
      <c r="T10" s="65">
        <v>5.0</v>
      </c>
      <c r="U10" s="65">
        <v>3.0</v>
      </c>
      <c r="V10" s="65">
        <v>1.0</v>
      </c>
      <c r="W10" s="65">
        <v>5.0</v>
      </c>
      <c r="X10" s="65">
        <v>8.0</v>
      </c>
      <c r="Y10" s="65">
        <v>6.0</v>
      </c>
      <c r="Z10" s="65">
        <v>13.0</v>
      </c>
      <c r="AA10" s="65">
        <v>9.0</v>
      </c>
      <c r="AB10" s="65">
        <v>8.0</v>
      </c>
      <c r="AC10" s="65">
        <v>16.0</v>
      </c>
      <c r="AD10" s="65">
        <v>15.0</v>
      </c>
      <c r="AE10" s="65">
        <v>6.0</v>
      </c>
      <c r="AF10" s="65">
        <v>5.0</v>
      </c>
      <c r="AG10" s="65">
        <v>12.0</v>
      </c>
      <c r="AH10" s="153">
        <v>60.0</v>
      </c>
      <c r="AI10" s="150"/>
      <c r="AJ10" s="151"/>
    </row>
    <row r="11">
      <c r="A11" s="65" t="s">
        <v>9</v>
      </c>
      <c r="B11" s="68">
        <f>C11</f>
        <v>0.08425045538</v>
      </c>
      <c r="C11" s="68">
        <f t="shared" si="8"/>
        <v>0.08425045538</v>
      </c>
      <c r="D11" s="12">
        <f t="shared" ref="D11:AH11" si="9">D10/D4</f>
        <v>0.09090909091</v>
      </c>
      <c r="E11" s="12">
        <f t="shared" si="9"/>
        <v>0.08108108108</v>
      </c>
      <c r="F11" s="12">
        <f t="shared" si="9"/>
        <v>0.03448275862</v>
      </c>
      <c r="G11" s="12">
        <f t="shared" si="9"/>
        <v>0.05357142857</v>
      </c>
      <c r="H11" s="12">
        <f t="shared" si="9"/>
        <v>0.1081081081</v>
      </c>
      <c r="I11" s="12">
        <f t="shared" si="9"/>
        <v>0.02857142857</v>
      </c>
      <c r="J11" s="12">
        <f t="shared" si="9"/>
        <v>0.05263157895</v>
      </c>
      <c r="K11" s="12">
        <f t="shared" si="9"/>
        <v>0.03225806452</v>
      </c>
      <c r="L11" s="12">
        <f t="shared" si="9"/>
        <v>0.1142857143</v>
      </c>
      <c r="M11" s="12">
        <f t="shared" si="9"/>
        <v>0.09302325581</v>
      </c>
      <c r="N11" s="12">
        <f t="shared" si="9"/>
        <v>0.0625</v>
      </c>
      <c r="O11" s="12">
        <f t="shared" si="9"/>
        <v>0.1052631579</v>
      </c>
      <c r="P11" s="12">
        <f t="shared" si="9"/>
        <v>0.02173913043</v>
      </c>
      <c r="Q11" s="12">
        <f t="shared" si="9"/>
        <v>0.1355932203</v>
      </c>
      <c r="R11" s="12">
        <f t="shared" si="9"/>
        <v>0.125</v>
      </c>
      <c r="S11" s="12">
        <f t="shared" si="9"/>
        <v>0.1084337349</v>
      </c>
      <c r="T11" s="12">
        <f t="shared" si="9"/>
        <v>0.08196721311</v>
      </c>
      <c r="U11" s="12">
        <f t="shared" si="9"/>
        <v>0.1034482759</v>
      </c>
      <c r="V11" s="12">
        <f t="shared" si="9"/>
        <v>0.03333333333</v>
      </c>
      <c r="W11" s="12">
        <f t="shared" si="9"/>
        <v>0.1388888889</v>
      </c>
      <c r="X11" s="12">
        <f t="shared" si="9"/>
        <v>0.1860465116</v>
      </c>
      <c r="Y11" s="12">
        <f t="shared" si="9"/>
        <v>0.05172413793</v>
      </c>
      <c r="Z11" s="12">
        <f t="shared" si="9"/>
        <v>0.0625</v>
      </c>
      <c r="AA11" s="12">
        <f t="shared" si="9"/>
        <v>0.05142857143</v>
      </c>
      <c r="AB11" s="12">
        <f t="shared" si="9"/>
        <v>0.03791469194</v>
      </c>
      <c r="AC11" s="12">
        <f t="shared" si="9"/>
        <v>0.1025641026</v>
      </c>
      <c r="AD11" s="12">
        <f t="shared" si="9"/>
        <v>0.1071428571</v>
      </c>
      <c r="AE11" s="12">
        <f t="shared" si="9"/>
        <v>0.04511278195</v>
      </c>
      <c r="AF11" s="12">
        <f t="shared" si="9"/>
        <v>0.07246376812</v>
      </c>
      <c r="AG11" s="12">
        <f t="shared" si="9"/>
        <v>0.07317073171</v>
      </c>
      <c r="AH11" s="12">
        <f t="shared" si="9"/>
        <v>0.2166064982</v>
      </c>
      <c r="AI11" s="150"/>
      <c r="AJ11" s="151"/>
    </row>
    <row r="12">
      <c r="A12" s="65" t="s">
        <v>10</v>
      </c>
      <c r="B12" s="92">
        <f>SUM(D12:AH12)</f>
        <v>66</v>
      </c>
      <c r="C12" s="152">
        <f t="shared" si="8"/>
        <v>2.129032258</v>
      </c>
      <c r="D12" s="65">
        <v>1.0</v>
      </c>
      <c r="E12" s="65">
        <v>3.0</v>
      </c>
      <c r="F12" s="65">
        <v>0.0</v>
      </c>
      <c r="G12" s="65">
        <v>2.0</v>
      </c>
      <c r="H12" s="65">
        <v>0.0</v>
      </c>
      <c r="I12" s="65">
        <v>0.0</v>
      </c>
      <c r="J12" s="65">
        <v>2.0</v>
      </c>
      <c r="K12" s="65">
        <v>0.0</v>
      </c>
      <c r="L12" s="65">
        <v>0.0</v>
      </c>
      <c r="M12" s="65">
        <v>2.0</v>
      </c>
      <c r="N12" s="65">
        <v>1.0</v>
      </c>
      <c r="O12" s="65">
        <v>2.0</v>
      </c>
      <c r="P12" s="65">
        <v>1.0</v>
      </c>
      <c r="Q12" s="65">
        <v>1.0</v>
      </c>
      <c r="R12" s="65">
        <v>2.0</v>
      </c>
      <c r="S12" s="65">
        <v>4.0</v>
      </c>
      <c r="T12" s="65">
        <v>2.0</v>
      </c>
      <c r="U12" s="65">
        <v>1.0</v>
      </c>
      <c r="V12" s="65">
        <v>2.0</v>
      </c>
      <c r="W12" s="65">
        <v>2.0</v>
      </c>
      <c r="X12" s="65">
        <v>1.0</v>
      </c>
      <c r="Y12" s="65">
        <v>2.0</v>
      </c>
      <c r="Z12" s="65">
        <v>4.0</v>
      </c>
      <c r="AA12" s="65">
        <v>3.0</v>
      </c>
      <c r="AB12" s="65">
        <v>4.0</v>
      </c>
      <c r="AC12" s="65">
        <v>3.0</v>
      </c>
      <c r="AD12" s="65">
        <v>8.0</v>
      </c>
      <c r="AE12" s="65">
        <v>2.0</v>
      </c>
      <c r="AF12" s="65">
        <v>2.0</v>
      </c>
      <c r="AG12" s="65">
        <v>3.0</v>
      </c>
      <c r="AH12" s="153">
        <v>6.0</v>
      </c>
      <c r="AI12" s="150"/>
      <c r="AJ12" s="151"/>
    </row>
    <row r="13">
      <c r="A13" s="12" t="s">
        <v>11</v>
      </c>
      <c r="B13" s="68">
        <f>C13</f>
        <v>0.02872426151</v>
      </c>
      <c r="C13" s="68">
        <f t="shared" si="8"/>
        <v>0.02872426151</v>
      </c>
      <c r="D13" s="12">
        <f t="shared" ref="D13:AH13" si="10">D12/D4</f>
        <v>0.0303030303</v>
      </c>
      <c r="E13" s="12">
        <f t="shared" si="10"/>
        <v>0.08108108108</v>
      </c>
      <c r="F13" s="12">
        <f t="shared" si="10"/>
        <v>0</v>
      </c>
      <c r="G13" s="12">
        <f t="shared" si="10"/>
        <v>0.03571428571</v>
      </c>
      <c r="H13" s="12">
        <f t="shared" si="10"/>
        <v>0</v>
      </c>
      <c r="I13" s="12">
        <f t="shared" si="10"/>
        <v>0</v>
      </c>
      <c r="J13" s="12">
        <f t="shared" si="10"/>
        <v>0.05263157895</v>
      </c>
      <c r="K13" s="12">
        <f t="shared" si="10"/>
        <v>0</v>
      </c>
      <c r="L13" s="12">
        <f t="shared" si="10"/>
        <v>0</v>
      </c>
      <c r="M13" s="12">
        <f t="shared" si="10"/>
        <v>0.04651162791</v>
      </c>
      <c r="N13" s="12">
        <f t="shared" si="10"/>
        <v>0.03125</v>
      </c>
      <c r="O13" s="12">
        <f t="shared" si="10"/>
        <v>0.05263157895</v>
      </c>
      <c r="P13" s="12">
        <f t="shared" si="10"/>
        <v>0.02173913043</v>
      </c>
      <c r="Q13" s="12">
        <f t="shared" si="10"/>
        <v>0.01694915254</v>
      </c>
      <c r="R13" s="12">
        <f t="shared" si="10"/>
        <v>0.02777777778</v>
      </c>
      <c r="S13" s="12">
        <f t="shared" si="10"/>
        <v>0.04819277108</v>
      </c>
      <c r="T13" s="12">
        <f t="shared" si="10"/>
        <v>0.03278688525</v>
      </c>
      <c r="U13" s="12">
        <f t="shared" si="10"/>
        <v>0.03448275862</v>
      </c>
      <c r="V13" s="12">
        <f t="shared" si="10"/>
        <v>0.06666666667</v>
      </c>
      <c r="W13" s="12">
        <f t="shared" si="10"/>
        <v>0.05555555556</v>
      </c>
      <c r="X13" s="12">
        <f t="shared" si="10"/>
        <v>0.02325581395</v>
      </c>
      <c r="Y13" s="12">
        <f t="shared" si="10"/>
        <v>0.01724137931</v>
      </c>
      <c r="Z13" s="12">
        <f t="shared" si="10"/>
        <v>0.01923076923</v>
      </c>
      <c r="AA13" s="12">
        <f t="shared" si="10"/>
        <v>0.01714285714</v>
      </c>
      <c r="AB13" s="12">
        <f t="shared" si="10"/>
        <v>0.01895734597</v>
      </c>
      <c r="AC13" s="12">
        <f t="shared" si="10"/>
        <v>0.01923076923</v>
      </c>
      <c r="AD13" s="12">
        <f t="shared" si="10"/>
        <v>0.05714285714</v>
      </c>
      <c r="AE13" s="12">
        <f t="shared" si="10"/>
        <v>0.01503759398</v>
      </c>
      <c r="AF13" s="12">
        <f t="shared" si="10"/>
        <v>0.02898550725</v>
      </c>
      <c r="AG13" s="12">
        <f t="shared" si="10"/>
        <v>0.01829268293</v>
      </c>
      <c r="AH13" s="12">
        <f t="shared" si="10"/>
        <v>0.02166064982</v>
      </c>
      <c r="AI13" s="155"/>
      <c r="AJ13" s="156"/>
    </row>
    <row r="14">
      <c r="A14" s="65" t="s">
        <v>12</v>
      </c>
      <c r="B14" s="92">
        <f>SUM(D14:AH14)</f>
        <v>30</v>
      </c>
      <c r="C14" s="115">
        <f t="shared" si="8"/>
        <v>0.9677419355</v>
      </c>
      <c r="D14" s="65">
        <v>0.0</v>
      </c>
      <c r="E14" s="65">
        <v>1.0</v>
      </c>
      <c r="F14" s="65">
        <v>1.0</v>
      </c>
      <c r="G14" s="65">
        <v>0.0</v>
      </c>
      <c r="H14" s="65">
        <v>0.0</v>
      </c>
      <c r="I14" s="65">
        <v>0.0</v>
      </c>
      <c r="J14" s="65">
        <v>3.0</v>
      </c>
      <c r="K14" s="65">
        <v>1.0</v>
      </c>
      <c r="L14" s="65">
        <v>0.0</v>
      </c>
      <c r="M14" s="65">
        <v>2.0</v>
      </c>
      <c r="N14" s="65">
        <v>1.0</v>
      </c>
      <c r="O14" s="65">
        <v>2.0</v>
      </c>
      <c r="P14" s="65">
        <v>0.0</v>
      </c>
      <c r="Q14" s="65">
        <v>0.0</v>
      </c>
      <c r="R14" s="65">
        <v>2.0</v>
      </c>
      <c r="S14" s="65">
        <v>1.0</v>
      </c>
      <c r="T14" s="65">
        <v>2.0</v>
      </c>
      <c r="U14" s="65">
        <v>1.0</v>
      </c>
      <c r="V14" s="65">
        <v>1.0</v>
      </c>
      <c r="W14" s="65">
        <v>0.0</v>
      </c>
      <c r="X14" s="65">
        <v>0.0</v>
      </c>
      <c r="Y14" s="65">
        <v>1.0</v>
      </c>
      <c r="Z14" s="65">
        <v>2.0</v>
      </c>
      <c r="AA14" s="65">
        <v>1.0</v>
      </c>
      <c r="AB14" s="65">
        <v>2.0</v>
      </c>
      <c r="AC14" s="65">
        <v>1.0</v>
      </c>
      <c r="AD14" s="65">
        <v>1.0</v>
      </c>
      <c r="AE14" s="65">
        <v>0.0</v>
      </c>
      <c r="AF14" s="65">
        <v>2.0</v>
      </c>
      <c r="AG14" s="65">
        <v>2.0</v>
      </c>
      <c r="AH14" s="153">
        <v>0.0</v>
      </c>
      <c r="AI14" s="150"/>
      <c r="AJ14" s="151"/>
    </row>
    <row r="15">
      <c r="A15" s="60" t="s">
        <v>13</v>
      </c>
      <c r="B15" s="68">
        <f>C15</f>
        <v>0.01715161771</v>
      </c>
      <c r="C15" s="68">
        <f t="shared" si="8"/>
        <v>0.01715161771</v>
      </c>
      <c r="D15" s="12">
        <f t="shared" ref="D15:AH15" si="11">D14/D4</f>
        <v>0</v>
      </c>
      <c r="E15" s="12">
        <f t="shared" si="11"/>
        <v>0.02702702703</v>
      </c>
      <c r="F15" s="12">
        <f t="shared" si="11"/>
        <v>0.03448275862</v>
      </c>
      <c r="G15" s="12">
        <f t="shared" si="11"/>
        <v>0</v>
      </c>
      <c r="H15" s="12">
        <f t="shared" si="11"/>
        <v>0</v>
      </c>
      <c r="I15" s="12">
        <f t="shared" si="11"/>
        <v>0</v>
      </c>
      <c r="J15" s="12">
        <f t="shared" si="11"/>
        <v>0.07894736842</v>
      </c>
      <c r="K15" s="12">
        <f t="shared" si="11"/>
        <v>0.03225806452</v>
      </c>
      <c r="L15" s="12">
        <f t="shared" si="11"/>
        <v>0</v>
      </c>
      <c r="M15" s="12">
        <f t="shared" si="11"/>
        <v>0.04651162791</v>
      </c>
      <c r="N15" s="12">
        <f t="shared" si="11"/>
        <v>0.03125</v>
      </c>
      <c r="O15" s="12">
        <f t="shared" si="11"/>
        <v>0.05263157895</v>
      </c>
      <c r="P15" s="12">
        <f t="shared" si="11"/>
        <v>0</v>
      </c>
      <c r="Q15" s="12">
        <f t="shared" si="11"/>
        <v>0</v>
      </c>
      <c r="R15" s="12">
        <f t="shared" si="11"/>
        <v>0.02777777778</v>
      </c>
      <c r="S15" s="12">
        <f t="shared" si="11"/>
        <v>0.01204819277</v>
      </c>
      <c r="T15" s="12">
        <f t="shared" si="11"/>
        <v>0.03278688525</v>
      </c>
      <c r="U15" s="12">
        <f t="shared" si="11"/>
        <v>0.03448275862</v>
      </c>
      <c r="V15" s="12">
        <f t="shared" si="11"/>
        <v>0.03333333333</v>
      </c>
      <c r="W15" s="12">
        <f t="shared" si="11"/>
        <v>0</v>
      </c>
      <c r="X15" s="12">
        <f t="shared" si="11"/>
        <v>0</v>
      </c>
      <c r="Y15" s="12">
        <f t="shared" si="11"/>
        <v>0.008620689655</v>
      </c>
      <c r="Z15" s="12">
        <f t="shared" si="11"/>
        <v>0.009615384615</v>
      </c>
      <c r="AA15" s="12">
        <f t="shared" si="11"/>
        <v>0.005714285714</v>
      </c>
      <c r="AB15" s="12">
        <f t="shared" si="11"/>
        <v>0.009478672986</v>
      </c>
      <c r="AC15" s="12">
        <f t="shared" si="11"/>
        <v>0.00641025641</v>
      </c>
      <c r="AD15" s="12">
        <f t="shared" si="11"/>
        <v>0.007142857143</v>
      </c>
      <c r="AE15" s="12">
        <f t="shared" si="11"/>
        <v>0</v>
      </c>
      <c r="AF15" s="12">
        <f t="shared" si="11"/>
        <v>0.02898550725</v>
      </c>
      <c r="AG15" s="12">
        <f t="shared" si="11"/>
        <v>0.01219512195</v>
      </c>
      <c r="AH15" s="12">
        <f t="shared" si="11"/>
        <v>0</v>
      </c>
      <c r="AI15" s="150"/>
      <c r="AJ15" s="151"/>
    </row>
    <row r="16">
      <c r="A16" s="60" t="s">
        <v>14</v>
      </c>
      <c r="B16" s="92">
        <f>SUM(D16:AH16)</f>
        <v>45</v>
      </c>
      <c r="C16" s="152">
        <f t="shared" si="8"/>
        <v>1.451612903</v>
      </c>
      <c r="D16" s="65">
        <v>4.0</v>
      </c>
      <c r="E16" s="65">
        <v>2.0</v>
      </c>
      <c r="F16" s="65">
        <v>3.0</v>
      </c>
      <c r="G16" s="65">
        <v>5.0</v>
      </c>
      <c r="H16" s="65">
        <v>2.0</v>
      </c>
      <c r="I16" s="65">
        <v>4.0</v>
      </c>
      <c r="J16" s="65">
        <v>0.0</v>
      </c>
      <c r="K16" s="65">
        <v>4.0</v>
      </c>
      <c r="L16" s="65">
        <v>2.0</v>
      </c>
      <c r="M16" s="65">
        <v>1.0</v>
      </c>
      <c r="N16" s="65">
        <v>1.0</v>
      </c>
      <c r="O16" s="65">
        <v>1.0</v>
      </c>
      <c r="P16" s="65">
        <v>0.0</v>
      </c>
      <c r="Q16" s="65">
        <v>1.0</v>
      </c>
      <c r="R16" s="65">
        <v>1.0</v>
      </c>
      <c r="S16" s="65">
        <v>1.0</v>
      </c>
      <c r="T16" s="65">
        <v>0.0</v>
      </c>
      <c r="U16" s="65">
        <v>3.0</v>
      </c>
      <c r="V16" s="65">
        <v>3.0</v>
      </c>
      <c r="W16" s="65">
        <v>0.0</v>
      </c>
      <c r="X16" s="65">
        <v>0.0</v>
      </c>
      <c r="Y16" s="65">
        <v>0.0</v>
      </c>
      <c r="Z16" s="65">
        <v>1.0</v>
      </c>
      <c r="AA16" s="65">
        <v>1.0</v>
      </c>
      <c r="AB16" s="65">
        <v>0.0</v>
      </c>
      <c r="AC16" s="65">
        <v>1.0</v>
      </c>
      <c r="AD16" s="65">
        <v>2.0</v>
      </c>
      <c r="AE16" s="65">
        <v>0.0</v>
      </c>
      <c r="AF16" s="65">
        <v>0.0</v>
      </c>
      <c r="AG16" s="65">
        <v>1.0</v>
      </c>
      <c r="AH16" s="153">
        <v>1.0</v>
      </c>
      <c r="AI16" s="150"/>
      <c r="AJ16" s="151"/>
    </row>
    <row r="17">
      <c r="A17" s="12" t="s">
        <v>15</v>
      </c>
      <c r="B17" s="68">
        <f>C17</f>
        <v>0.0351805413</v>
      </c>
      <c r="C17" s="68">
        <f t="shared" si="8"/>
        <v>0.0351805413</v>
      </c>
      <c r="D17" s="12">
        <f t="shared" ref="D17:AH17" si="12">D16/D4</f>
        <v>0.1212121212</v>
      </c>
      <c r="E17" s="12">
        <f t="shared" si="12"/>
        <v>0.05405405405</v>
      </c>
      <c r="F17" s="12">
        <f t="shared" si="12"/>
        <v>0.1034482759</v>
      </c>
      <c r="G17" s="12">
        <f t="shared" si="12"/>
        <v>0.08928571429</v>
      </c>
      <c r="H17" s="12">
        <f t="shared" si="12"/>
        <v>0.05405405405</v>
      </c>
      <c r="I17" s="12">
        <f t="shared" si="12"/>
        <v>0.1142857143</v>
      </c>
      <c r="J17" s="12">
        <f t="shared" si="12"/>
        <v>0</v>
      </c>
      <c r="K17" s="12">
        <f t="shared" si="12"/>
        <v>0.1290322581</v>
      </c>
      <c r="L17" s="12">
        <f t="shared" si="12"/>
        <v>0.05714285714</v>
      </c>
      <c r="M17" s="12">
        <f t="shared" si="12"/>
        <v>0.02325581395</v>
      </c>
      <c r="N17" s="12">
        <f t="shared" si="12"/>
        <v>0.03125</v>
      </c>
      <c r="O17" s="12">
        <f t="shared" si="12"/>
        <v>0.02631578947</v>
      </c>
      <c r="P17" s="12">
        <f t="shared" si="12"/>
        <v>0</v>
      </c>
      <c r="Q17" s="12">
        <f t="shared" si="12"/>
        <v>0.01694915254</v>
      </c>
      <c r="R17" s="12">
        <f t="shared" si="12"/>
        <v>0.01388888889</v>
      </c>
      <c r="S17" s="12">
        <f t="shared" si="12"/>
        <v>0.01204819277</v>
      </c>
      <c r="T17" s="12">
        <f t="shared" si="12"/>
        <v>0</v>
      </c>
      <c r="U17" s="12">
        <f t="shared" si="12"/>
        <v>0.1034482759</v>
      </c>
      <c r="V17" s="12">
        <f t="shared" si="12"/>
        <v>0.1</v>
      </c>
      <c r="W17" s="12">
        <f t="shared" si="12"/>
        <v>0</v>
      </c>
      <c r="X17" s="12">
        <f t="shared" si="12"/>
        <v>0</v>
      </c>
      <c r="Y17" s="12">
        <f t="shared" si="12"/>
        <v>0</v>
      </c>
      <c r="Z17" s="12">
        <f t="shared" si="12"/>
        <v>0.004807692308</v>
      </c>
      <c r="AA17" s="12">
        <f t="shared" si="12"/>
        <v>0.005714285714</v>
      </c>
      <c r="AB17" s="12">
        <f t="shared" si="12"/>
        <v>0</v>
      </c>
      <c r="AC17" s="12">
        <f t="shared" si="12"/>
        <v>0.00641025641</v>
      </c>
      <c r="AD17" s="12">
        <f t="shared" si="12"/>
        <v>0.01428571429</v>
      </c>
      <c r="AE17" s="12">
        <f t="shared" si="12"/>
        <v>0</v>
      </c>
      <c r="AF17" s="12">
        <f t="shared" si="12"/>
        <v>0</v>
      </c>
      <c r="AG17" s="12">
        <f t="shared" si="12"/>
        <v>0.006097560976</v>
      </c>
      <c r="AH17" s="12">
        <f t="shared" si="12"/>
        <v>0.003610108303</v>
      </c>
      <c r="AI17" s="155"/>
      <c r="AJ17" s="156"/>
    </row>
    <row r="18">
      <c r="A18" s="72" t="s">
        <v>16</v>
      </c>
      <c r="B18" s="148">
        <f>347+106+57+203</f>
        <v>713</v>
      </c>
      <c r="C18" s="147">
        <f t="shared" si="8"/>
        <v>12</v>
      </c>
      <c r="D18" s="72">
        <f t="shared" ref="D18:AH18" si="13">D10+D12+D14+D16</f>
        <v>8</v>
      </c>
      <c r="E18" s="72">
        <f t="shared" si="13"/>
        <v>9</v>
      </c>
      <c r="F18" s="72">
        <f t="shared" si="13"/>
        <v>5</v>
      </c>
      <c r="G18" s="72">
        <f t="shared" si="13"/>
        <v>10</v>
      </c>
      <c r="H18" s="72">
        <f t="shared" si="13"/>
        <v>6</v>
      </c>
      <c r="I18" s="72">
        <f t="shared" si="13"/>
        <v>5</v>
      </c>
      <c r="J18" s="72">
        <f t="shared" si="13"/>
        <v>7</v>
      </c>
      <c r="K18" s="72">
        <f t="shared" si="13"/>
        <v>6</v>
      </c>
      <c r="L18" s="72">
        <f t="shared" si="13"/>
        <v>6</v>
      </c>
      <c r="M18" s="72">
        <f t="shared" si="13"/>
        <v>9</v>
      </c>
      <c r="N18" s="72">
        <f t="shared" si="13"/>
        <v>5</v>
      </c>
      <c r="O18" s="72">
        <f t="shared" si="13"/>
        <v>9</v>
      </c>
      <c r="P18" s="72">
        <f t="shared" si="13"/>
        <v>2</v>
      </c>
      <c r="Q18" s="72">
        <f t="shared" si="13"/>
        <v>10</v>
      </c>
      <c r="R18" s="72">
        <f t="shared" si="13"/>
        <v>14</v>
      </c>
      <c r="S18" s="72">
        <f t="shared" si="13"/>
        <v>15</v>
      </c>
      <c r="T18" s="72">
        <f t="shared" si="13"/>
        <v>9</v>
      </c>
      <c r="U18" s="72">
        <f t="shared" si="13"/>
        <v>8</v>
      </c>
      <c r="V18" s="72">
        <f t="shared" si="13"/>
        <v>7</v>
      </c>
      <c r="W18" s="72">
        <f t="shared" si="13"/>
        <v>7</v>
      </c>
      <c r="X18" s="72">
        <f t="shared" si="13"/>
        <v>9</v>
      </c>
      <c r="Y18" s="72">
        <f t="shared" si="13"/>
        <v>9</v>
      </c>
      <c r="Z18" s="72">
        <f t="shared" si="13"/>
        <v>20</v>
      </c>
      <c r="AA18" s="72">
        <f t="shared" si="13"/>
        <v>14</v>
      </c>
      <c r="AB18" s="72">
        <f t="shared" si="13"/>
        <v>14</v>
      </c>
      <c r="AC18" s="72">
        <f t="shared" si="13"/>
        <v>21</v>
      </c>
      <c r="AD18" s="72">
        <f t="shared" si="13"/>
        <v>26</v>
      </c>
      <c r="AE18" s="72">
        <f t="shared" si="13"/>
        <v>8</v>
      </c>
      <c r="AF18" s="72">
        <f t="shared" si="13"/>
        <v>9</v>
      </c>
      <c r="AG18" s="72">
        <f t="shared" si="13"/>
        <v>18</v>
      </c>
      <c r="AH18" s="72">
        <f t="shared" si="13"/>
        <v>67</v>
      </c>
      <c r="AI18" s="150"/>
      <c r="AJ18" s="151"/>
    </row>
    <row r="19">
      <c r="A19" s="72" t="s">
        <v>17</v>
      </c>
      <c r="B19" s="73">
        <f>C19</f>
        <v>0.1653068759</v>
      </c>
      <c r="C19" s="73">
        <f t="shared" si="8"/>
        <v>0.1653068759</v>
      </c>
      <c r="D19" s="73">
        <f t="shared" ref="D19:AH19" si="14">D11+D13+D15+D17</f>
        <v>0.2424242424</v>
      </c>
      <c r="E19" s="73">
        <f t="shared" si="14"/>
        <v>0.2432432432</v>
      </c>
      <c r="F19" s="73">
        <f t="shared" si="14"/>
        <v>0.1724137931</v>
      </c>
      <c r="G19" s="73">
        <f t="shared" si="14"/>
        <v>0.1785714286</v>
      </c>
      <c r="H19" s="73">
        <f t="shared" si="14"/>
        <v>0.1621621622</v>
      </c>
      <c r="I19" s="73">
        <f t="shared" si="14"/>
        <v>0.1428571429</v>
      </c>
      <c r="J19" s="73">
        <f t="shared" si="14"/>
        <v>0.1842105263</v>
      </c>
      <c r="K19" s="73">
        <f t="shared" si="14"/>
        <v>0.1935483871</v>
      </c>
      <c r="L19" s="73">
        <f t="shared" si="14"/>
        <v>0.1714285714</v>
      </c>
      <c r="M19" s="73">
        <f t="shared" si="14"/>
        <v>0.2093023256</v>
      </c>
      <c r="N19" s="73">
        <f t="shared" si="14"/>
        <v>0.15625</v>
      </c>
      <c r="O19" s="73">
        <f t="shared" si="14"/>
        <v>0.2368421053</v>
      </c>
      <c r="P19" s="73">
        <f t="shared" si="14"/>
        <v>0.04347826087</v>
      </c>
      <c r="Q19" s="73">
        <f t="shared" si="14"/>
        <v>0.1694915254</v>
      </c>
      <c r="R19" s="73">
        <f t="shared" si="14"/>
        <v>0.1944444444</v>
      </c>
      <c r="S19" s="73">
        <f t="shared" si="14"/>
        <v>0.1807228916</v>
      </c>
      <c r="T19" s="73">
        <f t="shared" si="14"/>
        <v>0.1475409836</v>
      </c>
      <c r="U19" s="73">
        <f t="shared" si="14"/>
        <v>0.275862069</v>
      </c>
      <c r="V19" s="73">
        <f t="shared" si="14"/>
        <v>0.2333333333</v>
      </c>
      <c r="W19" s="73">
        <f t="shared" si="14"/>
        <v>0.1944444444</v>
      </c>
      <c r="X19" s="73">
        <f t="shared" si="14"/>
        <v>0.2093023256</v>
      </c>
      <c r="Y19" s="73">
        <f t="shared" si="14"/>
        <v>0.0775862069</v>
      </c>
      <c r="Z19" s="73">
        <f t="shared" si="14"/>
        <v>0.09615384615</v>
      </c>
      <c r="AA19" s="73">
        <f t="shared" si="14"/>
        <v>0.08</v>
      </c>
      <c r="AB19" s="73">
        <f t="shared" si="14"/>
        <v>0.0663507109</v>
      </c>
      <c r="AC19" s="73">
        <f t="shared" si="14"/>
        <v>0.1346153846</v>
      </c>
      <c r="AD19" s="73">
        <f t="shared" si="14"/>
        <v>0.1857142857</v>
      </c>
      <c r="AE19" s="73">
        <f t="shared" si="14"/>
        <v>0.06015037594</v>
      </c>
      <c r="AF19" s="73">
        <f t="shared" si="14"/>
        <v>0.1304347826</v>
      </c>
      <c r="AG19" s="73">
        <f t="shared" si="14"/>
        <v>0.1097560976</v>
      </c>
      <c r="AH19" s="73">
        <f t="shared" si="14"/>
        <v>0.2418772563</v>
      </c>
      <c r="AI19" s="150"/>
      <c r="AJ19" s="151"/>
    </row>
    <row r="20">
      <c r="A20" s="79" t="s">
        <v>18</v>
      </c>
      <c r="B20" s="79">
        <v>768.0</v>
      </c>
      <c r="C20" s="157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9"/>
      <c r="AI20" s="150"/>
      <c r="AJ20" s="151"/>
    </row>
    <row r="21">
      <c r="A21" s="79" t="s">
        <v>19</v>
      </c>
      <c r="B21" s="79">
        <v>76.0</v>
      </c>
      <c r="C21" s="157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9"/>
      <c r="AI21" s="150"/>
      <c r="AJ21" s="151"/>
    </row>
    <row r="22">
      <c r="A22" s="79" t="s">
        <v>20</v>
      </c>
      <c r="B22" s="78" t="s">
        <v>274</v>
      </c>
      <c r="C22" s="157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9"/>
      <c r="AI22" s="150"/>
      <c r="AJ22" s="151"/>
    </row>
    <row r="23">
      <c r="A23" s="79" t="s">
        <v>21</v>
      </c>
      <c r="B23" s="78" t="s">
        <v>274</v>
      </c>
      <c r="C23" s="157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9"/>
      <c r="AI23" s="150"/>
      <c r="AJ23" s="151"/>
    </row>
    <row r="24" ht="15.75" customHeight="1">
      <c r="A24" s="60" t="s">
        <v>22</v>
      </c>
      <c r="B24" s="92">
        <f t="shared" ref="B24:B25" si="15">SUM(D24:AH24)</f>
        <v>3948</v>
      </c>
      <c r="C24" s="152">
        <f t="shared" ref="C24:C65" si="16">AVERAGE(D24:AH24)</f>
        <v>127.3548387</v>
      </c>
      <c r="D24" s="65">
        <v>42.0</v>
      </c>
      <c r="E24" s="65">
        <v>27.0</v>
      </c>
      <c r="F24" s="65">
        <v>51.0</v>
      </c>
      <c r="G24" s="65">
        <v>38.0</v>
      </c>
      <c r="H24" s="65">
        <v>54.0</v>
      </c>
      <c r="I24" s="65">
        <v>40.0</v>
      </c>
      <c r="J24" s="65">
        <v>49.0</v>
      </c>
      <c r="K24" s="65">
        <v>71.0</v>
      </c>
      <c r="L24" s="65">
        <v>59.0</v>
      </c>
      <c r="M24" s="65">
        <v>107.0</v>
      </c>
      <c r="N24" s="65">
        <v>103.0</v>
      </c>
      <c r="O24" s="65">
        <v>71.0</v>
      </c>
      <c r="P24" s="65">
        <v>88.0</v>
      </c>
      <c r="Q24" s="65">
        <v>64.0</v>
      </c>
      <c r="R24" s="65">
        <v>116.0</v>
      </c>
      <c r="S24" s="65">
        <v>126.0</v>
      </c>
      <c r="T24" s="65">
        <v>148.0</v>
      </c>
      <c r="U24" s="65">
        <v>108.0</v>
      </c>
      <c r="V24" s="65">
        <v>155.0</v>
      </c>
      <c r="W24" s="65">
        <v>120.0</v>
      </c>
      <c r="X24" s="65">
        <v>119.0</v>
      </c>
      <c r="Y24" s="65">
        <v>123.0</v>
      </c>
      <c r="Z24" s="65">
        <v>184.0</v>
      </c>
      <c r="AA24" s="65">
        <v>170.0</v>
      </c>
      <c r="AB24" s="65">
        <v>231.0</v>
      </c>
      <c r="AC24" s="65">
        <v>247.0</v>
      </c>
      <c r="AD24" s="65">
        <v>194.0</v>
      </c>
      <c r="AE24" s="65">
        <v>190.0</v>
      </c>
      <c r="AF24" s="65">
        <v>231.0</v>
      </c>
      <c r="AG24" s="65">
        <v>267.0</v>
      </c>
      <c r="AH24" s="153">
        <v>355.0</v>
      </c>
      <c r="AI24" s="150"/>
      <c r="AJ24" s="151"/>
    </row>
    <row r="25" ht="15.75" customHeight="1">
      <c r="A25" s="65" t="s">
        <v>23</v>
      </c>
      <c r="B25" s="92">
        <f t="shared" si="15"/>
        <v>2234</v>
      </c>
      <c r="C25" s="152">
        <f t="shared" si="16"/>
        <v>72.06451613</v>
      </c>
      <c r="D25" s="65">
        <v>22.0</v>
      </c>
      <c r="E25" s="65">
        <v>18.0</v>
      </c>
      <c r="F25" s="65">
        <v>21.0</v>
      </c>
      <c r="G25" s="65">
        <v>15.0</v>
      </c>
      <c r="H25" s="65">
        <v>38.0</v>
      </c>
      <c r="I25" s="65">
        <v>22.0</v>
      </c>
      <c r="J25" s="65">
        <v>29.0</v>
      </c>
      <c r="K25" s="65">
        <v>35.0</v>
      </c>
      <c r="L25" s="65">
        <v>29.0</v>
      </c>
      <c r="M25" s="65">
        <v>55.0</v>
      </c>
      <c r="N25" s="65">
        <v>44.0</v>
      </c>
      <c r="O25" s="65">
        <v>37.0</v>
      </c>
      <c r="P25" s="65">
        <v>43.0</v>
      </c>
      <c r="Q25" s="65">
        <v>38.0</v>
      </c>
      <c r="R25" s="65">
        <v>60.0</v>
      </c>
      <c r="S25" s="65">
        <v>74.0</v>
      </c>
      <c r="T25" s="65">
        <v>70.0</v>
      </c>
      <c r="U25" s="65">
        <v>59.0</v>
      </c>
      <c r="V25" s="65">
        <v>75.0</v>
      </c>
      <c r="W25" s="65">
        <v>66.0</v>
      </c>
      <c r="X25" s="65">
        <v>69.0</v>
      </c>
      <c r="Y25" s="65">
        <v>71.0</v>
      </c>
      <c r="Z25" s="65">
        <v>100.0</v>
      </c>
      <c r="AA25" s="65">
        <v>95.0</v>
      </c>
      <c r="AB25" s="65">
        <v>121.0</v>
      </c>
      <c r="AC25" s="65">
        <v>145.0</v>
      </c>
      <c r="AD25" s="65">
        <v>109.0</v>
      </c>
      <c r="AE25" s="65">
        <v>127.0</v>
      </c>
      <c r="AF25" s="65">
        <v>139.0</v>
      </c>
      <c r="AG25" s="65">
        <v>156.0</v>
      </c>
      <c r="AH25" s="153">
        <v>252.0</v>
      </c>
      <c r="AI25" s="150"/>
      <c r="AJ25" s="151"/>
    </row>
    <row r="26" ht="15.75" customHeight="1">
      <c r="A26" s="148" t="s">
        <v>24</v>
      </c>
      <c r="B26" s="148">
        <v>798.0</v>
      </c>
      <c r="C26" s="160">
        <f t="shared" si="16"/>
        <v>142.4193548</v>
      </c>
      <c r="D26" s="148">
        <v>23.0</v>
      </c>
      <c r="E26" s="148">
        <v>28.0</v>
      </c>
      <c r="F26" s="148">
        <v>27.0</v>
      </c>
      <c r="G26" s="148">
        <v>19.0</v>
      </c>
      <c r="H26" s="148">
        <v>44.0</v>
      </c>
      <c r="I26" s="148">
        <v>30.0</v>
      </c>
      <c r="J26" s="148">
        <v>34.0</v>
      </c>
      <c r="K26" s="148">
        <v>41.0</v>
      </c>
      <c r="L26" s="148">
        <v>38.0</v>
      </c>
      <c r="M26" s="148">
        <v>67.0</v>
      </c>
      <c r="N26" s="148">
        <v>53.0</v>
      </c>
      <c r="O26" s="148">
        <v>47.0</v>
      </c>
      <c r="P26" s="148">
        <v>52.0</v>
      </c>
      <c r="Q26" s="148">
        <v>50.0</v>
      </c>
      <c r="R26" s="148">
        <v>70.0</v>
      </c>
      <c r="S26" s="148">
        <v>88.0</v>
      </c>
      <c r="T26" s="148">
        <v>86.0</v>
      </c>
      <c r="U26" s="148">
        <v>82.0</v>
      </c>
      <c r="V26" s="148">
        <v>97.0</v>
      </c>
      <c r="W26" s="148">
        <v>93.0</v>
      </c>
      <c r="X26" s="148">
        <v>88.0</v>
      </c>
      <c r="Y26" s="148">
        <v>176.0</v>
      </c>
      <c r="Z26" s="148">
        <v>308.0</v>
      </c>
      <c r="AA26" s="148">
        <v>319.0</v>
      </c>
      <c r="AB26" s="148">
        <v>340.0</v>
      </c>
      <c r="AC26" s="148">
        <v>337.0</v>
      </c>
      <c r="AD26" s="148">
        <v>299.0</v>
      </c>
      <c r="AE26" s="148">
        <v>331.0</v>
      </c>
      <c r="AF26" s="148">
        <v>300.0</v>
      </c>
      <c r="AG26" s="148">
        <v>366.0</v>
      </c>
      <c r="AH26" s="149">
        <v>482.0</v>
      </c>
      <c r="AI26" s="150"/>
      <c r="AJ26" s="151"/>
    </row>
    <row r="27" ht="15.75" customHeight="1">
      <c r="A27" s="161" t="s">
        <v>25</v>
      </c>
      <c r="B27" s="161">
        <f>B193</f>
        <v>66633871</v>
      </c>
      <c r="C27" s="161">
        <f t="shared" si="16"/>
        <v>3056096.613</v>
      </c>
      <c r="D27" s="162">
        <v>945497.0</v>
      </c>
      <c r="E27" s="162">
        <v>349000.0</v>
      </c>
      <c r="F27" s="162">
        <v>438901.0</v>
      </c>
      <c r="G27" s="162">
        <v>792010.0</v>
      </c>
      <c r="H27" s="162">
        <v>1645913.0</v>
      </c>
      <c r="I27" s="162">
        <v>815512.0</v>
      </c>
      <c r="J27" s="162">
        <v>1218881.0</v>
      </c>
      <c r="K27" s="162">
        <v>1997198.0</v>
      </c>
      <c r="L27" s="162">
        <v>1538477.0</v>
      </c>
      <c r="M27" s="162">
        <v>2979139.0</v>
      </c>
      <c r="N27" s="162">
        <v>2730300.0</v>
      </c>
      <c r="O27" s="162">
        <v>2009507.0</v>
      </c>
      <c r="P27" s="162">
        <v>2275078.0</v>
      </c>
      <c r="Q27" s="162">
        <v>2904624.0</v>
      </c>
      <c r="R27" s="162">
        <v>2293456.0</v>
      </c>
      <c r="S27" s="162">
        <v>3684438.0</v>
      </c>
      <c r="T27" s="162">
        <v>4433098.0</v>
      </c>
      <c r="U27" s="162">
        <v>2314931.0</v>
      </c>
      <c r="V27" s="162">
        <v>3564619.0</v>
      </c>
      <c r="W27" s="162">
        <v>2441598.0</v>
      </c>
      <c r="X27" s="162">
        <v>2884129.0</v>
      </c>
      <c r="Y27" s="162">
        <v>3942853.0</v>
      </c>
      <c r="Z27" s="162">
        <v>3778360.0</v>
      </c>
      <c r="AA27" s="162">
        <v>4704279.0</v>
      </c>
      <c r="AB27" s="162">
        <v>5142895.0</v>
      </c>
      <c r="AC27" s="162">
        <v>5790196.0</v>
      </c>
      <c r="AD27" s="162">
        <v>5145990.0</v>
      </c>
      <c r="AE27" s="162">
        <v>3577109.0</v>
      </c>
      <c r="AF27" s="162">
        <v>7101798.0</v>
      </c>
      <c r="AG27" s="162">
        <v>6150880.0</v>
      </c>
      <c r="AH27" s="163">
        <v>5148329.0</v>
      </c>
      <c r="AI27" s="164"/>
      <c r="AJ27" s="165"/>
    </row>
    <row r="28" ht="15.75" customHeight="1">
      <c r="A28" s="11" t="s">
        <v>26</v>
      </c>
      <c r="B28" s="108">
        <f t="shared" ref="B28:B31" si="18">SUM(D28:AH28)</f>
        <v>756310.3686</v>
      </c>
      <c r="C28" s="108">
        <f t="shared" si="16"/>
        <v>24397.10866</v>
      </c>
      <c r="D28" s="11">
        <f t="shared" ref="D28:AH28" si="17">D27/D24</f>
        <v>22511.83333</v>
      </c>
      <c r="E28" s="11">
        <f t="shared" si="17"/>
        <v>12925.92593</v>
      </c>
      <c r="F28" s="11">
        <f t="shared" si="17"/>
        <v>8605.901961</v>
      </c>
      <c r="G28" s="11">
        <f t="shared" si="17"/>
        <v>20842.36842</v>
      </c>
      <c r="H28" s="11">
        <f t="shared" si="17"/>
        <v>30479.87037</v>
      </c>
      <c r="I28" s="11">
        <f t="shared" si="17"/>
        <v>20387.8</v>
      </c>
      <c r="J28" s="11">
        <f t="shared" si="17"/>
        <v>24875.12245</v>
      </c>
      <c r="K28" s="11">
        <f t="shared" si="17"/>
        <v>28129.5493</v>
      </c>
      <c r="L28" s="11">
        <f t="shared" si="17"/>
        <v>26075.88136</v>
      </c>
      <c r="M28" s="11">
        <f t="shared" si="17"/>
        <v>27842.42056</v>
      </c>
      <c r="N28" s="11">
        <f t="shared" si="17"/>
        <v>26507.76699</v>
      </c>
      <c r="O28" s="11">
        <f t="shared" si="17"/>
        <v>28302.91549</v>
      </c>
      <c r="P28" s="11">
        <f t="shared" si="17"/>
        <v>25853.15909</v>
      </c>
      <c r="Q28" s="11">
        <f t="shared" si="17"/>
        <v>45384.75</v>
      </c>
      <c r="R28" s="11">
        <f t="shared" si="17"/>
        <v>19771.17241</v>
      </c>
      <c r="S28" s="11">
        <f t="shared" si="17"/>
        <v>29241.57143</v>
      </c>
      <c r="T28" s="11">
        <f t="shared" si="17"/>
        <v>29953.36486</v>
      </c>
      <c r="U28" s="11">
        <f t="shared" si="17"/>
        <v>21434.5463</v>
      </c>
      <c r="V28" s="11">
        <f t="shared" si="17"/>
        <v>22997.54194</v>
      </c>
      <c r="W28" s="11">
        <f t="shared" si="17"/>
        <v>20346.65</v>
      </c>
      <c r="X28" s="11">
        <f t="shared" si="17"/>
        <v>24236.37815</v>
      </c>
      <c r="Y28" s="11">
        <f t="shared" si="17"/>
        <v>32055.71545</v>
      </c>
      <c r="Z28" s="11">
        <f t="shared" si="17"/>
        <v>20534.56522</v>
      </c>
      <c r="AA28" s="11">
        <f t="shared" si="17"/>
        <v>27672.22941</v>
      </c>
      <c r="AB28" s="11">
        <f t="shared" si="17"/>
        <v>22263.61472</v>
      </c>
      <c r="AC28" s="11">
        <f t="shared" si="17"/>
        <v>23442.08907</v>
      </c>
      <c r="AD28" s="11">
        <f t="shared" si="17"/>
        <v>26525.72165</v>
      </c>
      <c r="AE28" s="11">
        <f t="shared" si="17"/>
        <v>18826.88947</v>
      </c>
      <c r="AF28" s="11">
        <f t="shared" si="17"/>
        <v>30743.71429</v>
      </c>
      <c r="AG28" s="11">
        <f t="shared" si="17"/>
        <v>23037.00375</v>
      </c>
      <c r="AH28" s="11">
        <f t="shared" si="17"/>
        <v>14502.33521</v>
      </c>
      <c r="AI28" s="164"/>
      <c r="AJ28" s="165"/>
    </row>
    <row r="29" ht="15.75" customHeight="1">
      <c r="A29" s="11" t="s">
        <v>27</v>
      </c>
      <c r="B29" s="108">
        <f t="shared" si="18"/>
        <v>1396968.886</v>
      </c>
      <c r="C29" s="108">
        <f t="shared" si="16"/>
        <v>45063.51244</v>
      </c>
      <c r="D29" s="11">
        <f t="shared" ref="D29:AH29" si="19">D27/D25</f>
        <v>42977.13636</v>
      </c>
      <c r="E29" s="11">
        <f t="shared" si="19"/>
        <v>19388.88889</v>
      </c>
      <c r="F29" s="11">
        <f t="shared" si="19"/>
        <v>20900.04762</v>
      </c>
      <c r="G29" s="11">
        <f t="shared" si="19"/>
        <v>52800.66667</v>
      </c>
      <c r="H29" s="11">
        <f t="shared" si="19"/>
        <v>43313.5</v>
      </c>
      <c r="I29" s="11">
        <f t="shared" si="19"/>
        <v>37068.72727</v>
      </c>
      <c r="J29" s="11">
        <f t="shared" si="19"/>
        <v>42030.37931</v>
      </c>
      <c r="K29" s="11">
        <f t="shared" si="19"/>
        <v>57062.8</v>
      </c>
      <c r="L29" s="11">
        <f t="shared" si="19"/>
        <v>53050.93103</v>
      </c>
      <c r="M29" s="11">
        <f t="shared" si="19"/>
        <v>54166.16364</v>
      </c>
      <c r="N29" s="11">
        <f t="shared" si="19"/>
        <v>62052.27273</v>
      </c>
      <c r="O29" s="11">
        <f t="shared" si="19"/>
        <v>54311</v>
      </c>
      <c r="P29" s="11">
        <f t="shared" si="19"/>
        <v>52908.7907</v>
      </c>
      <c r="Q29" s="11">
        <f t="shared" si="19"/>
        <v>76437.47368</v>
      </c>
      <c r="R29" s="11">
        <f t="shared" si="19"/>
        <v>38224.26667</v>
      </c>
      <c r="S29" s="11">
        <f t="shared" si="19"/>
        <v>49789.7027</v>
      </c>
      <c r="T29" s="11">
        <f t="shared" si="19"/>
        <v>63329.97143</v>
      </c>
      <c r="U29" s="11">
        <f t="shared" si="19"/>
        <v>39236.11864</v>
      </c>
      <c r="V29" s="11">
        <f t="shared" si="19"/>
        <v>47528.25333</v>
      </c>
      <c r="W29" s="11">
        <f t="shared" si="19"/>
        <v>36993.90909</v>
      </c>
      <c r="X29" s="11">
        <f t="shared" si="19"/>
        <v>41798.97101</v>
      </c>
      <c r="Y29" s="11">
        <f t="shared" si="19"/>
        <v>55533.14085</v>
      </c>
      <c r="Z29" s="11">
        <f t="shared" si="19"/>
        <v>37783.6</v>
      </c>
      <c r="AA29" s="11">
        <f t="shared" si="19"/>
        <v>49518.72632</v>
      </c>
      <c r="AB29" s="11">
        <f t="shared" si="19"/>
        <v>42503.26446</v>
      </c>
      <c r="AC29" s="11">
        <f t="shared" si="19"/>
        <v>39932.38621</v>
      </c>
      <c r="AD29" s="11">
        <f t="shared" si="19"/>
        <v>47210.91743</v>
      </c>
      <c r="AE29" s="11">
        <f t="shared" si="19"/>
        <v>28166.2126</v>
      </c>
      <c r="AF29" s="11">
        <f t="shared" si="19"/>
        <v>51092.07194</v>
      </c>
      <c r="AG29" s="11">
        <f t="shared" si="19"/>
        <v>39428.71795</v>
      </c>
      <c r="AH29" s="11">
        <f t="shared" si="19"/>
        <v>20429.87698</v>
      </c>
      <c r="AI29" s="164"/>
      <c r="AJ29" s="165"/>
    </row>
    <row r="30" ht="15.75" customHeight="1">
      <c r="A30" s="87" t="s">
        <v>28</v>
      </c>
      <c r="B30" s="166">
        <f t="shared" si="18"/>
        <v>878</v>
      </c>
      <c r="C30" s="166">
        <f t="shared" si="16"/>
        <v>28.32258065</v>
      </c>
      <c r="D30" s="89">
        <v>2.0</v>
      </c>
      <c r="E30" s="89">
        <v>9.0</v>
      </c>
      <c r="F30" s="89">
        <v>13.0</v>
      </c>
      <c r="G30" s="89">
        <v>11.0</v>
      </c>
      <c r="H30" s="124">
        <v>9.0</v>
      </c>
      <c r="I30" s="124">
        <v>12.0</v>
      </c>
      <c r="J30" s="124">
        <v>12.0</v>
      </c>
      <c r="K30" s="124">
        <v>11.0</v>
      </c>
      <c r="L30" s="124">
        <v>11.0</v>
      </c>
      <c r="M30" s="124">
        <v>27.0</v>
      </c>
      <c r="N30" s="124">
        <v>10.0</v>
      </c>
      <c r="O30" s="124">
        <v>14.0</v>
      </c>
      <c r="P30" s="65">
        <v>10.0</v>
      </c>
      <c r="Q30" s="65">
        <v>13.0</v>
      </c>
      <c r="R30" s="65">
        <v>21.0</v>
      </c>
      <c r="S30" s="65">
        <v>25.0</v>
      </c>
      <c r="T30" s="65">
        <v>34.0</v>
      </c>
      <c r="U30" s="65">
        <v>20.0</v>
      </c>
      <c r="V30" s="65">
        <v>30.0</v>
      </c>
      <c r="W30" s="65">
        <v>26.0</v>
      </c>
      <c r="X30" s="65">
        <v>27.0</v>
      </c>
      <c r="Y30" s="65">
        <v>30.0</v>
      </c>
      <c r="Z30" s="65">
        <v>43.0</v>
      </c>
      <c r="AA30" s="65">
        <v>32.0</v>
      </c>
      <c r="AB30" s="65">
        <v>47.0</v>
      </c>
      <c r="AC30" s="65">
        <v>82.0</v>
      </c>
      <c r="AD30" s="65">
        <v>53.0</v>
      </c>
      <c r="AE30" s="65">
        <v>41.0</v>
      </c>
      <c r="AF30" s="65">
        <v>57.0</v>
      </c>
      <c r="AG30" s="65">
        <v>78.0</v>
      </c>
      <c r="AH30" s="153">
        <v>68.0</v>
      </c>
      <c r="AI30" s="150"/>
      <c r="AJ30" s="151"/>
    </row>
    <row r="31" ht="15.75" customHeight="1">
      <c r="A31" s="87" t="s">
        <v>29</v>
      </c>
      <c r="B31" s="166">
        <f t="shared" si="18"/>
        <v>624</v>
      </c>
      <c r="C31" s="166">
        <f t="shared" si="16"/>
        <v>20.12903226</v>
      </c>
      <c r="D31" s="89">
        <v>2.0</v>
      </c>
      <c r="E31" s="89">
        <v>7.0</v>
      </c>
      <c r="F31" s="89">
        <v>9.0</v>
      </c>
      <c r="G31" s="89">
        <v>7.0</v>
      </c>
      <c r="H31" s="124">
        <v>7.0</v>
      </c>
      <c r="I31" s="124">
        <v>6.0</v>
      </c>
      <c r="J31" s="124">
        <v>8.0</v>
      </c>
      <c r="K31" s="124">
        <v>9.0</v>
      </c>
      <c r="L31" s="124">
        <v>10.0</v>
      </c>
      <c r="M31" s="124">
        <v>13.0</v>
      </c>
      <c r="N31" s="124">
        <v>6.0</v>
      </c>
      <c r="O31" s="124">
        <v>9.0</v>
      </c>
      <c r="P31" s="65">
        <v>7.0</v>
      </c>
      <c r="Q31" s="65">
        <v>9.0</v>
      </c>
      <c r="R31" s="65">
        <v>15.0</v>
      </c>
      <c r="S31" s="65">
        <v>21.0</v>
      </c>
      <c r="T31" s="65">
        <v>21.0</v>
      </c>
      <c r="U31" s="65">
        <v>17.0</v>
      </c>
      <c r="V31" s="65">
        <v>22.0</v>
      </c>
      <c r="W31" s="65">
        <v>18.0</v>
      </c>
      <c r="X31" s="65">
        <v>20.0</v>
      </c>
      <c r="Y31" s="65">
        <v>23.0</v>
      </c>
      <c r="Z31" s="65">
        <v>28.0</v>
      </c>
      <c r="AA31" s="65">
        <v>25.0</v>
      </c>
      <c r="AB31" s="65">
        <v>34.0</v>
      </c>
      <c r="AC31" s="65">
        <v>48.0</v>
      </c>
      <c r="AD31" s="65">
        <v>38.0</v>
      </c>
      <c r="AE31" s="65">
        <v>34.0</v>
      </c>
      <c r="AF31" s="65">
        <v>45.0</v>
      </c>
      <c r="AG31" s="65">
        <v>53.0</v>
      </c>
      <c r="AH31" s="153">
        <v>53.0</v>
      </c>
      <c r="AI31" s="150"/>
      <c r="AJ31" s="151"/>
    </row>
    <row r="32" ht="15.75" customHeight="1">
      <c r="A32" s="11" t="s">
        <v>30</v>
      </c>
      <c r="B32" s="108">
        <f>B201</f>
        <v>48341793</v>
      </c>
      <c r="C32" s="108">
        <f t="shared" si="16"/>
        <v>1927316.161</v>
      </c>
      <c r="D32" s="104">
        <v>65000.0</v>
      </c>
      <c r="E32" s="104">
        <v>296440.0</v>
      </c>
      <c r="F32" s="104">
        <v>1582558.0</v>
      </c>
      <c r="G32" s="104">
        <v>587100.0</v>
      </c>
      <c r="H32" s="104">
        <v>749292.0</v>
      </c>
      <c r="I32" s="104">
        <v>1402604.0</v>
      </c>
      <c r="J32" s="104">
        <v>700720.0</v>
      </c>
      <c r="K32" s="104">
        <v>552268.0</v>
      </c>
      <c r="L32" s="104">
        <v>565000.0</v>
      </c>
      <c r="M32" s="104">
        <v>2047916.0</v>
      </c>
      <c r="N32" s="104">
        <v>366553.0</v>
      </c>
      <c r="O32" s="104">
        <v>2829504.0</v>
      </c>
      <c r="P32" s="104">
        <v>1341051.0</v>
      </c>
      <c r="Q32" s="104">
        <v>1298576.0</v>
      </c>
      <c r="R32" s="104">
        <v>1407954.0</v>
      </c>
      <c r="S32" s="104">
        <v>1571617.0</v>
      </c>
      <c r="T32" s="104">
        <v>3663422.0</v>
      </c>
      <c r="U32" s="104">
        <v>1496310.0</v>
      </c>
      <c r="V32" s="104">
        <v>1832892.0</v>
      </c>
      <c r="W32" s="104">
        <v>1646195.0</v>
      </c>
      <c r="X32" s="104">
        <v>1484922.0</v>
      </c>
      <c r="Y32" s="104">
        <v>1991337.0</v>
      </c>
      <c r="Z32" s="104">
        <v>3380070.0</v>
      </c>
      <c r="AA32" s="104">
        <v>2385924.0</v>
      </c>
      <c r="AB32" s="104">
        <v>2618849.0</v>
      </c>
      <c r="AC32" s="104">
        <v>5654825.0</v>
      </c>
      <c r="AD32" s="104">
        <v>4176571.0</v>
      </c>
      <c r="AE32" s="104">
        <v>1342656.0</v>
      </c>
      <c r="AF32" s="104">
        <v>3297388.0</v>
      </c>
      <c r="AG32" s="104">
        <v>3393454.0</v>
      </c>
      <c r="AH32" s="167">
        <v>4017833.0</v>
      </c>
      <c r="AI32" s="164"/>
      <c r="AJ32" s="165"/>
    </row>
    <row r="33" ht="15.75" customHeight="1">
      <c r="A33" s="84" t="s">
        <v>31</v>
      </c>
      <c r="B33" s="157">
        <f>B32/B27</f>
        <v>0.7254837859</v>
      </c>
      <c r="C33" s="157">
        <f t="shared" si="16"/>
        <v>0.9073907942</v>
      </c>
      <c r="D33" s="168">
        <f t="shared" ref="D33:O33" si="20">D32/D27</f>
        <v>0.068746913</v>
      </c>
      <c r="E33" s="168">
        <f t="shared" si="20"/>
        <v>0.8493982808</v>
      </c>
      <c r="F33" s="168">
        <f t="shared" si="20"/>
        <v>3.605728855</v>
      </c>
      <c r="G33" s="168">
        <f t="shared" si="20"/>
        <v>0.7412785192</v>
      </c>
      <c r="H33" s="168">
        <f t="shared" si="20"/>
        <v>0.4552439892</v>
      </c>
      <c r="I33" s="168">
        <f t="shared" si="20"/>
        <v>1.719906022</v>
      </c>
      <c r="J33" s="168">
        <f t="shared" si="20"/>
        <v>0.5748879505</v>
      </c>
      <c r="K33" s="168">
        <f t="shared" si="20"/>
        <v>0.2765214065</v>
      </c>
      <c r="L33" s="168">
        <f t="shared" si="20"/>
        <v>0.3672463092</v>
      </c>
      <c r="M33" s="168">
        <f t="shared" si="20"/>
        <v>0.6874187475</v>
      </c>
      <c r="N33" s="168">
        <f t="shared" si="20"/>
        <v>0.134253745</v>
      </c>
      <c r="O33" s="168">
        <f t="shared" si="20"/>
        <v>1.408058793</v>
      </c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169"/>
      <c r="AI33" s="164"/>
      <c r="AJ33" s="165"/>
    </row>
    <row r="34" ht="15.75" customHeight="1">
      <c r="A34" s="161" t="s">
        <v>32</v>
      </c>
      <c r="B34" s="161">
        <f>SUM(D34:AH34)</f>
        <v>1120432234</v>
      </c>
      <c r="C34" s="161">
        <f t="shared" si="16"/>
        <v>36142975.3</v>
      </c>
      <c r="D34" s="162">
        <v>5578051.2</v>
      </c>
      <c r="E34" s="162">
        <v>8403858.41</v>
      </c>
      <c r="F34" s="162">
        <v>2.3485815E7</v>
      </c>
      <c r="G34" s="162">
        <v>5800641.0</v>
      </c>
      <c r="H34" s="162">
        <v>1.3513206E7</v>
      </c>
      <c r="I34" s="162">
        <v>2.414845485E7</v>
      </c>
      <c r="J34" s="162">
        <v>1.6245815E7</v>
      </c>
      <c r="K34" s="162">
        <v>1.9277349E7</v>
      </c>
      <c r="L34" s="162">
        <v>1.6551076E7</v>
      </c>
      <c r="M34" s="162">
        <v>1.9662416E7</v>
      </c>
      <c r="N34" s="162">
        <v>2.0406699E7</v>
      </c>
      <c r="O34" s="162">
        <v>1.874708442E7</v>
      </c>
      <c r="P34" s="162">
        <v>1.3816335E7</v>
      </c>
      <c r="Q34" s="162">
        <v>2.81363162E7</v>
      </c>
      <c r="R34" s="162">
        <v>3.0020431E7</v>
      </c>
      <c r="S34" s="162">
        <v>3.248760135E7</v>
      </c>
      <c r="T34" s="162">
        <v>3.73027018E7</v>
      </c>
      <c r="U34" s="162">
        <v>4.5408503E7</v>
      </c>
      <c r="V34" s="162">
        <v>2.4870691E7</v>
      </c>
      <c r="W34" s="162">
        <v>2.2885651E7</v>
      </c>
      <c r="X34" s="162">
        <v>1.9865158E7</v>
      </c>
      <c r="Y34" s="162">
        <v>1.7786382E7</v>
      </c>
      <c r="Z34" s="162">
        <v>3.9858513E7</v>
      </c>
      <c r="AA34" s="162">
        <v>6.2480982E7</v>
      </c>
      <c r="AB34" s="162">
        <v>5.6547424E7</v>
      </c>
      <c r="AC34" s="162">
        <v>7.4079231E7</v>
      </c>
      <c r="AD34" s="162">
        <v>1.33999844E8</v>
      </c>
      <c r="AE34" s="162">
        <v>7.5565191E7</v>
      </c>
      <c r="AF34" s="162">
        <v>1.06387768E8</v>
      </c>
      <c r="AG34" s="162">
        <v>5.97523E7</v>
      </c>
      <c r="AH34" s="162">
        <v>4.7360745E7</v>
      </c>
      <c r="AI34" s="164"/>
      <c r="AJ34" s="165"/>
    </row>
    <row r="35" ht="15.75" customHeight="1">
      <c r="A35" s="170" t="s">
        <v>33</v>
      </c>
      <c r="B35" s="68">
        <f>B34/B27</f>
        <v>16.81475528</v>
      </c>
      <c r="C35" s="68">
        <f t="shared" si="16"/>
        <v>13.15812845</v>
      </c>
      <c r="D35" s="12">
        <f t="shared" ref="D35:AH35" si="21">D34/D27</f>
        <v>5.899596932</v>
      </c>
      <c r="E35" s="12">
        <f t="shared" si="21"/>
        <v>24.07982352</v>
      </c>
      <c r="F35" s="12">
        <f t="shared" si="21"/>
        <v>53.51050693</v>
      </c>
      <c r="G35" s="12">
        <f t="shared" si="21"/>
        <v>7.323949193</v>
      </c>
      <c r="H35" s="12">
        <f t="shared" si="21"/>
        <v>8.210158131</v>
      </c>
      <c r="I35" s="12">
        <f t="shared" si="21"/>
        <v>29.61140345</v>
      </c>
      <c r="J35" s="12">
        <f t="shared" si="21"/>
        <v>13.32846685</v>
      </c>
      <c r="K35" s="12">
        <f t="shared" si="21"/>
        <v>9.652197228</v>
      </c>
      <c r="L35" s="12">
        <f t="shared" si="21"/>
        <v>10.75809128</v>
      </c>
      <c r="M35" s="12">
        <f t="shared" si="21"/>
        <v>6.600033097</v>
      </c>
      <c r="N35" s="12">
        <f t="shared" si="21"/>
        <v>7.474159982</v>
      </c>
      <c r="O35" s="12">
        <f t="shared" si="21"/>
        <v>9.329195877</v>
      </c>
      <c r="P35" s="12">
        <f t="shared" si="21"/>
        <v>6.072906072</v>
      </c>
      <c r="Q35" s="12">
        <f t="shared" si="21"/>
        <v>9.686732672</v>
      </c>
      <c r="R35" s="12">
        <f t="shared" si="21"/>
        <v>13.08960407</v>
      </c>
      <c r="S35" s="12">
        <f t="shared" si="21"/>
        <v>8.817518805</v>
      </c>
      <c r="T35" s="12">
        <f t="shared" si="21"/>
        <v>8.414589932</v>
      </c>
      <c r="U35" s="12">
        <f t="shared" si="21"/>
        <v>19.61548876</v>
      </c>
      <c r="V35" s="12">
        <f t="shared" si="21"/>
        <v>6.97709657</v>
      </c>
      <c r="W35" s="12">
        <f t="shared" si="21"/>
        <v>9.373226469</v>
      </c>
      <c r="X35" s="12">
        <f t="shared" si="21"/>
        <v>6.887749473</v>
      </c>
      <c r="Y35" s="12">
        <f t="shared" si="21"/>
        <v>4.511043653</v>
      </c>
      <c r="Z35" s="12">
        <f t="shared" si="21"/>
        <v>10.54915704</v>
      </c>
      <c r="AA35" s="12">
        <f t="shared" si="21"/>
        <v>13.28173393</v>
      </c>
      <c r="AB35" s="12">
        <f t="shared" si="21"/>
        <v>10.99525151</v>
      </c>
      <c r="AC35" s="12">
        <f t="shared" si="21"/>
        <v>12.79390732</v>
      </c>
      <c r="AD35" s="12">
        <f t="shared" si="21"/>
        <v>26.03966273</v>
      </c>
      <c r="AE35" s="12">
        <f t="shared" si="21"/>
        <v>21.12465429</v>
      </c>
      <c r="AF35" s="12">
        <f t="shared" si="21"/>
        <v>14.98039905</v>
      </c>
      <c r="AG35" s="12">
        <f t="shared" si="21"/>
        <v>9.714431106</v>
      </c>
      <c r="AH35" s="12">
        <f t="shared" si="21"/>
        <v>9.199246008</v>
      </c>
      <c r="AI35" s="150"/>
      <c r="AJ35" s="151"/>
    </row>
    <row r="36" ht="15.75" customHeight="1">
      <c r="A36" s="60" t="s">
        <v>34</v>
      </c>
      <c r="B36" s="108">
        <f t="shared" ref="B36:B39" si="23">SUM(D36:AH36)</f>
        <v>1120432234</v>
      </c>
      <c r="C36" s="108">
        <f t="shared" si="16"/>
        <v>36142975.3</v>
      </c>
      <c r="D36" s="11">
        <f t="shared" ref="D36:AH36" si="22">D34+D43</f>
        <v>5578051.2</v>
      </c>
      <c r="E36" s="11">
        <f t="shared" si="22"/>
        <v>8403858.41</v>
      </c>
      <c r="F36" s="11">
        <f t="shared" si="22"/>
        <v>23485815</v>
      </c>
      <c r="G36" s="11">
        <f t="shared" si="22"/>
        <v>5800641</v>
      </c>
      <c r="H36" s="11">
        <f t="shared" si="22"/>
        <v>13513206</v>
      </c>
      <c r="I36" s="11">
        <f t="shared" si="22"/>
        <v>24148454.85</v>
      </c>
      <c r="J36" s="11">
        <f t="shared" si="22"/>
        <v>16245815</v>
      </c>
      <c r="K36" s="11">
        <f t="shared" si="22"/>
        <v>19277349</v>
      </c>
      <c r="L36" s="11">
        <f t="shared" si="22"/>
        <v>16551076</v>
      </c>
      <c r="M36" s="11">
        <f t="shared" si="22"/>
        <v>19662416</v>
      </c>
      <c r="N36" s="11">
        <f t="shared" si="22"/>
        <v>20406699</v>
      </c>
      <c r="O36" s="11">
        <f t="shared" si="22"/>
        <v>18747084.42</v>
      </c>
      <c r="P36" s="11">
        <f t="shared" si="22"/>
        <v>13816335</v>
      </c>
      <c r="Q36" s="11">
        <f t="shared" si="22"/>
        <v>28136316.2</v>
      </c>
      <c r="R36" s="11">
        <f t="shared" si="22"/>
        <v>30020431</v>
      </c>
      <c r="S36" s="11">
        <f t="shared" si="22"/>
        <v>32487601.35</v>
      </c>
      <c r="T36" s="11">
        <f t="shared" si="22"/>
        <v>37302701.8</v>
      </c>
      <c r="U36" s="11">
        <f t="shared" si="22"/>
        <v>45408503</v>
      </c>
      <c r="V36" s="11">
        <f t="shared" si="22"/>
        <v>24870691</v>
      </c>
      <c r="W36" s="11">
        <f t="shared" si="22"/>
        <v>22885651</v>
      </c>
      <c r="X36" s="11">
        <f t="shared" si="22"/>
        <v>19865158</v>
      </c>
      <c r="Y36" s="11">
        <f t="shared" si="22"/>
        <v>17786382</v>
      </c>
      <c r="Z36" s="11">
        <f t="shared" si="22"/>
        <v>39858513</v>
      </c>
      <c r="AA36" s="11">
        <f t="shared" si="22"/>
        <v>62480982</v>
      </c>
      <c r="AB36" s="11">
        <f t="shared" si="22"/>
        <v>56547424</v>
      </c>
      <c r="AC36" s="11">
        <f t="shared" si="22"/>
        <v>74079231</v>
      </c>
      <c r="AD36" s="11">
        <f t="shared" si="22"/>
        <v>133999844</v>
      </c>
      <c r="AE36" s="11">
        <f t="shared" si="22"/>
        <v>75565191</v>
      </c>
      <c r="AF36" s="11">
        <f t="shared" si="22"/>
        <v>106387768</v>
      </c>
      <c r="AG36" s="11">
        <f t="shared" si="22"/>
        <v>59752300</v>
      </c>
      <c r="AH36" s="11">
        <f t="shared" si="22"/>
        <v>47360745</v>
      </c>
      <c r="AI36" s="150"/>
      <c r="AJ36" s="151"/>
    </row>
    <row r="37" ht="15.75" customHeight="1">
      <c r="A37" s="11" t="s">
        <v>35</v>
      </c>
      <c r="B37" s="108">
        <f t="shared" si="23"/>
        <v>1084887870</v>
      </c>
      <c r="C37" s="108">
        <f t="shared" si="16"/>
        <v>34996382.92</v>
      </c>
      <c r="D37" s="104">
        <v>5481706.15</v>
      </c>
      <c r="E37" s="104">
        <v>8095355.2</v>
      </c>
      <c r="F37" s="104">
        <v>2.4638687E7</v>
      </c>
      <c r="G37" s="104">
        <v>5380834.0</v>
      </c>
      <c r="H37" s="104">
        <v>1.3195295E7</v>
      </c>
      <c r="I37" s="104">
        <v>2.577177189E7</v>
      </c>
      <c r="J37" s="104">
        <v>1.4032319E7</v>
      </c>
      <c r="K37" s="104">
        <v>1.8207736E7</v>
      </c>
      <c r="L37" s="104">
        <v>1.546583E7</v>
      </c>
      <c r="M37" s="104">
        <v>1.8572438E7</v>
      </c>
      <c r="N37" s="104">
        <v>1.8794351E7</v>
      </c>
      <c r="O37" s="104">
        <v>1.82242888E7</v>
      </c>
      <c r="P37" s="104">
        <v>1.4533094E7</v>
      </c>
      <c r="Q37" s="104">
        <v>2.598199188E7</v>
      </c>
      <c r="R37" s="104">
        <v>2.8429302E7</v>
      </c>
      <c r="S37" s="104">
        <v>3.083070014E7</v>
      </c>
      <c r="T37" s="104">
        <v>3.622091441E7</v>
      </c>
      <c r="U37" s="104">
        <v>4.3531998E7</v>
      </c>
      <c r="V37" s="104">
        <v>2.3520845E7</v>
      </c>
      <c r="W37" s="104">
        <v>2.1347954E7</v>
      </c>
      <c r="X37" s="104">
        <v>1.880055E7</v>
      </c>
      <c r="Y37" s="104">
        <v>1.7348497E7</v>
      </c>
      <c r="Z37" s="104">
        <v>3.893481E7</v>
      </c>
      <c r="AA37" s="132">
        <v>6.1209012E7</v>
      </c>
      <c r="AB37" s="104">
        <v>5.83333E7</v>
      </c>
      <c r="AC37" s="104">
        <v>7.4770471E7</v>
      </c>
      <c r="AD37" s="104">
        <v>1.29994814E8</v>
      </c>
      <c r="AE37" s="104">
        <v>7.3671644E7</v>
      </c>
      <c r="AF37" s="104">
        <v>9.8632911E7</v>
      </c>
      <c r="AG37" s="104">
        <v>5.627189E7</v>
      </c>
      <c r="AH37" s="104">
        <v>4.666256E7</v>
      </c>
      <c r="AI37" s="164"/>
      <c r="AJ37" s="165"/>
    </row>
    <row r="38" ht="15.75" customHeight="1">
      <c r="A38" s="11" t="s">
        <v>36</v>
      </c>
      <c r="B38" s="108">
        <f t="shared" si="23"/>
        <v>387.8</v>
      </c>
      <c r="C38" s="108">
        <f t="shared" si="16"/>
        <v>12.50967742</v>
      </c>
      <c r="D38" s="104">
        <v>15710.6</v>
      </c>
      <c r="E38" s="104">
        <v>341.0</v>
      </c>
      <c r="F38" s="104">
        <v>-1431.0</v>
      </c>
      <c r="G38" s="104">
        <v>0.0</v>
      </c>
      <c r="H38" s="104">
        <v>0.0</v>
      </c>
      <c r="I38" s="104">
        <v>16800.6</v>
      </c>
      <c r="J38" s="104">
        <v>16800.6</v>
      </c>
      <c r="K38" s="104">
        <v>0.0</v>
      </c>
      <c r="L38" s="104">
        <v>0.0</v>
      </c>
      <c r="M38" s="104">
        <v>-15353.0</v>
      </c>
      <c r="N38" s="104">
        <v>0.0</v>
      </c>
      <c r="O38" s="104">
        <v>0.0</v>
      </c>
      <c r="P38" s="104">
        <v>0.0</v>
      </c>
      <c r="Q38" s="104">
        <v>0.0</v>
      </c>
      <c r="R38" s="104">
        <v>0.0</v>
      </c>
      <c r="S38" s="104">
        <v>100.0</v>
      </c>
      <c r="T38" s="104">
        <v>85.0</v>
      </c>
      <c r="U38" s="104">
        <v>-18866.0</v>
      </c>
      <c r="V38" s="104">
        <v>-18866.0</v>
      </c>
      <c r="W38" s="104">
        <v>1692.0</v>
      </c>
      <c r="X38" s="104">
        <v>0.0</v>
      </c>
      <c r="Y38" s="104">
        <v>-40.0</v>
      </c>
      <c r="Z38" s="104">
        <v>-40.0</v>
      </c>
      <c r="AA38" s="104">
        <v>10.0</v>
      </c>
      <c r="AB38" s="104">
        <v>0.0</v>
      </c>
      <c r="AC38" s="104">
        <v>40.0</v>
      </c>
      <c r="AD38" s="104">
        <v>0.0</v>
      </c>
      <c r="AE38" s="104">
        <v>0.0</v>
      </c>
      <c r="AF38" s="104">
        <v>0.0</v>
      </c>
      <c r="AG38" s="104">
        <v>3404.0</v>
      </c>
      <c r="AH38" s="104">
        <v>0.0</v>
      </c>
      <c r="AI38" s="164"/>
      <c r="AJ38" s="165"/>
    </row>
    <row r="39" ht="15.75" customHeight="1">
      <c r="A39" s="60" t="s">
        <v>37</v>
      </c>
      <c r="B39" s="108">
        <f t="shared" si="23"/>
        <v>1084888258</v>
      </c>
      <c r="C39" s="108">
        <f t="shared" si="16"/>
        <v>34996395.43</v>
      </c>
      <c r="D39" s="11">
        <f t="shared" ref="D39:AH39" si="24">D38+D37</f>
        <v>5497416.75</v>
      </c>
      <c r="E39" s="11">
        <f t="shared" si="24"/>
        <v>8095696.2</v>
      </c>
      <c r="F39" s="11">
        <f t="shared" si="24"/>
        <v>24637256</v>
      </c>
      <c r="G39" s="11">
        <f t="shared" si="24"/>
        <v>5380834</v>
      </c>
      <c r="H39" s="11">
        <f t="shared" si="24"/>
        <v>13195295</v>
      </c>
      <c r="I39" s="11">
        <f t="shared" si="24"/>
        <v>25788572.49</v>
      </c>
      <c r="J39" s="11">
        <f t="shared" si="24"/>
        <v>14049119.6</v>
      </c>
      <c r="K39" s="11">
        <f t="shared" si="24"/>
        <v>18207736</v>
      </c>
      <c r="L39" s="11">
        <f t="shared" si="24"/>
        <v>15465830</v>
      </c>
      <c r="M39" s="11">
        <f t="shared" si="24"/>
        <v>18557085</v>
      </c>
      <c r="N39" s="11">
        <f t="shared" si="24"/>
        <v>18794351</v>
      </c>
      <c r="O39" s="11">
        <f t="shared" si="24"/>
        <v>18224288.8</v>
      </c>
      <c r="P39" s="11">
        <f t="shared" si="24"/>
        <v>14533094</v>
      </c>
      <c r="Q39" s="11">
        <f t="shared" si="24"/>
        <v>25981991.88</v>
      </c>
      <c r="R39" s="11">
        <f t="shared" si="24"/>
        <v>28429302</v>
      </c>
      <c r="S39" s="11">
        <f t="shared" si="24"/>
        <v>30830800.14</v>
      </c>
      <c r="T39" s="11">
        <f t="shared" si="24"/>
        <v>36220999.41</v>
      </c>
      <c r="U39" s="11">
        <f t="shared" si="24"/>
        <v>43513132</v>
      </c>
      <c r="V39" s="11">
        <f t="shared" si="24"/>
        <v>23501979</v>
      </c>
      <c r="W39" s="11">
        <f t="shared" si="24"/>
        <v>21349646</v>
      </c>
      <c r="X39" s="11">
        <f t="shared" si="24"/>
        <v>18800550</v>
      </c>
      <c r="Y39" s="11">
        <f t="shared" si="24"/>
        <v>17348457</v>
      </c>
      <c r="Z39" s="11">
        <f t="shared" si="24"/>
        <v>38934770</v>
      </c>
      <c r="AA39" s="11">
        <f t="shared" si="24"/>
        <v>61209022</v>
      </c>
      <c r="AB39" s="11">
        <f t="shared" si="24"/>
        <v>58333300</v>
      </c>
      <c r="AC39" s="11">
        <f t="shared" si="24"/>
        <v>74770511</v>
      </c>
      <c r="AD39" s="11">
        <f t="shared" si="24"/>
        <v>129994814</v>
      </c>
      <c r="AE39" s="11">
        <f t="shared" si="24"/>
        <v>73671644</v>
      </c>
      <c r="AF39" s="11">
        <f t="shared" si="24"/>
        <v>98632911</v>
      </c>
      <c r="AG39" s="11">
        <f t="shared" si="24"/>
        <v>56275294</v>
      </c>
      <c r="AH39" s="11">
        <f t="shared" si="24"/>
        <v>46662560</v>
      </c>
      <c r="AI39" s="150"/>
      <c r="AJ39" s="151"/>
    </row>
    <row r="40" ht="15.75" customHeight="1">
      <c r="A40" s="11" t="s">
        <v>38</v>
      </c>
      <c r="B40" s="108">
        <f t="shared" ref="B40:B41" si="25">LOOKUP(9^9, C40:AH40)</f>
        <v>7288550</v>
      </c>
      <c r="C40" s="108">
        <f t="shared" si="16"/>
        <v>6581734.517</v>
      </c>
      <c r="D40" s="104">
        <v>4795205.0</v>
      </c>
      <c r="E40" s="104">
        <v>5659793.0</v>
      </c>
      <c r="F40" s="104">
        <v>4437436.0</v>
      </c>
      <c r="G40" s="104">
        <v>4459250.0</v>
      </c>
      <c r="H40" s="104">
        <v>4987653.0</v>
      </c>
      <c r="I40" s="104">
        <v>6402196.0</v>
      </c>
      <c r="J40" s="104">
        <v>4828189.0</v>
      </c>
      <c r="K40" s="104">
        <v>5138001.0</v>
      </c>
      <c r="L40" s="104">
        <v>4748285.0</v>
      </c>
      <c r="M40" s="104">
        <v>5092791.0</v>
      </c>
      <c r="N40" s="104">
        <v>5705485.0</v>
      </c>
      <c r="O40" s="11"/>
      <c r="P40" s="104">
        <v>6758249.0</v>
      </c>
      <c r="Q40" s="11"/>
      <c r="R40" s="104">
        <v>6099617.0</v>
      </c>
      <c r="S40" s="104">
        <v>6382281.0</v>
      </c>
      <c r="T40" s="104">
        <v>6065153.0</v>
      </c>
      <c r="U40" s="104">
        <v>5352440.0</v>
      </c>
      <c r="V40" s="104">
        <v>5795843.0</v>
      </c>
      <c r="W40" s="104">
        <v>4921791.0</v>
      </c>
      <c r="X40" s="104">
        <v>5291502.0</v>
      </c>
      <c r="Y40" s="104">
        <v>6726519.0</v>
      </c>
      <c r="Z40" s="104">
        <v>6594095.0</v>
      </c>
      <c r="AA40" s="104">
        <v>7791521.0</v>
      </c>
      <c r="AB40" s="104">
        <v>1.1989746E7</v>
      </c>
      <c r="AC40" s="104">
        <v>1.2933406E7</v>
      </c>
      <c r="AD40" s="104">
        <v>9799360.0</v>
      </c>
      <c r="AE40" s="104">
        <v>1.0510352E7</v>
      </c>
      <c r="AF40" s="104">
        <v>6988030.0</v>
      </c>
      <c r="AG40" s="104">
        <v>7327562.0</v>
      </c>
      <c r="AH40" s="167">
        <v>7288550.0</v>
      </c>
      <c r="AI40" s="164"/>
      <c r="AJ40" s="165"/>
    </row>
    <row r="41" ht="15.75" customHeight="1">
      <c r="A41" s="11" t="s">
        <v>39</v>
      </c>
      <c r="B41" s="108">
        <f t="shared" si="25"/>
        <v>1042612</v>
      </c>
      <c r="C41" s="108">
        <f t="shared" si="16"/>
        <v>1059221.033</v>
      </c>
      <c r="D41" s="104">
        <v>1099841.0</v>
      </c>
      <c r="E41" s="104">
        <v>1100214.0</v>
      </c>
      <c r="F41" s="104">
        <v>1100214.0</v>
      </c>
      <c r="G41" s="104">
        <v>1100214.0</v>
      </c>
      <c r="H41" s="104">
        <v>1100214.0</v>
      </c>
      <c r="I41" s="104">
        <v>1061759.0</v>
      </c>
      <c r="J41" s="104">
        <v>1061759.0</v>
      </c>
      <c r="K41" s="104">
        <v>1061759.0</v>
      </c>
      <c r="L41" s="104">
        <v>1061759.0</v>
      </c>
      <c r="M41" s="104">
        <v>1061659.0</v>
      </c>
      <c r="N41" s="104">
        <v>1061659.0</v>
      </c>
      <c r="O41" s="11"/>
      <c r="P41" s="104">
        <v>1061659.0</v>
      </c>
      <c r="Q41" s="104">
        <v>1061659.0</v>
      </c>
      <c r="R41" s="104">
        <v>1061659.0</v>
      </c>
      <c r="S41" s="104">
        <v>1061559.0</v>
      </c>
      <c r="T41" s="104">
        <v>1061559.0</v>
      </c>
      <c r="U41" s="104">
        <v>1042693.0</v>
      </c>
      <c r="V41" s="104">
        <v>1042693.0</v>
      </c>
      <c r="W41" s="104">
        <v>1042693.0</v>
      </c>
      <c r="X41" s="104">
        <v>1042693.0</v>
      </c>
      <c r="Y41" s="104">
        <v>1042653.0</v>
      </c>
      <c r="Z41" s="104">
        <v>1042668.0</v>
      </c>
      <c r="AA41" s="104">
        <v>1042668.0</v>
      </c>
      <c r="AB41" s="104">
        <v>1042668.0</v>
      </c>
      <c r="AC41" s="104">
        <v>1042708.0</v>
      </c>
      <c r="AD41" s="104">
        <v>1042708.0</v>
      </c>
      <c r="AE41" s="104">
        <v>1042708.0</v>
      </c>
      <c r="AF41" s="104">
        <v>1042708.0</v>
      </c>
      <c r="AG41" s="104">
        <v>1042612.0</v>
      </c>
      <c r="AH41" s="167">
        <v>1042612.0</v>
      </c>
      <c r="AI41" s="164"/>
      <c r="AJ41" s="165"/>
    </row>
    <row r="42" ht="15.75" customHeight="1">
      <c r="A42" s="12" t="s">
        <v>40</v>
      </c>
      <c r="B42" s="68">
        <f>C42</f>
        <v>0.9660437644</v>
      </c>
      <c r="C42" s="68">
        <f t="shared" si="16"/>
        <v>0.9660437644</v>
      </c>
      <c r="D42" s="12">
        <f t="shared" ref="D42:AH42" si="26">D39/D36</f>
        <v>0.9855443331</v>
      </c>
      <c r="E42" s="12">
        <f t="shared" si="26"/>
        <v>0.963330866</v>
      </c>
      <c r="F42" s="12">
        <f t="shared" si="26"/>
        <v>1.049027083</v>
      </c>
      <c r="G42" s="12">
        <f t="shared" si="26"/>
        <v>0.9276274812</v>
      </c>
      <c r="H42" s="12">
        <f t="shared" si="26"/>
        <v>0.9764740506</v>
      </c>
      <c r="I42" s="12">
        <f t="shared" si="26"/>
        <v>1.067918119</v>
      </c>
      <c r="J42" s="12">
        <f t="shared" si="26"/>
        <v>0.8647839213</v>
      </c>
      <c r="K42" s="12">
        <f t="shared" si="26"/>
        <v>0.944514518</v>
      </c>
      <c r="L42" s="12">
        <f t="shared" si="26"/>
        <v>0.9344304866</v>
      </c>
      <c r="M42" s="12">
        <f t="shared" si="26"/>
        <v>0.9437845787</v>
      </c>
      <c r="N42" s="12">
        <f t="shared" si="26"/>
        <v>0.9209892791</v>
      </c>
      <c r="O42" s="12">
        <f t="shared" si="26"/>
        <v>0.9721132306</v>
      </c>
      <c r="P42" s="12">
        <f t="shared" si="26"/>
        <v>1.051877651</v>
      </c>
      <c r="Q42" s="12">
        <f t="shared" si="26"/>
        <v>0.9234326091</v>
      </c>
      <c r="R42" s="12">
        <f t="shared" si="26"/>
        <v>0.9469984625</v>
      </c>
      <c r="S42" s="12">
        <f t="shared" si="26"/>
        <v>0.9490020457</v>
      </c>
      <c r="T42" s="12">
        <f t="shared" si="26"/>
        <v>0.9710020364</v>
      </c>
      <c r="U42" s="12">
        <f t="shared" si="26"/>
        <v>0.9582595577</v>
      </c>
      <c r="V42" s="12">
        <f t="shared" si="26"/>
        <v>0.9449668688</v>
      </c>
      <c r="W42" s="12">
        <f t="shared" si="26"/>
        <v>0.9328834911</v>
      </c>
      <c r="X42" s="12">
        <f t="shared" si="26"/>
        <v>0.9464082793</v>
      </c>
      <c r="Y42" s="12">
        <f t="shared" si="26"/>
        <v>0.9753786352</v>
      </c>
      <c r="Z42" s="12">
        <f t="shared" si="26"/>
        <v>0.976824449</v>
      </c>
      <c r="AA42" s="12">
        <f t="shared" si="26"/>
        <v>0.9796424454</v>
      </c>
      <c r="AB42" s="12">
        <f t="shared" si="26"/>
        <v>1.031581916</v>
      </c>
      <c r="AC42" s="12">
        <f t="shared" si="26"/>
        <v>1.00933163</v>
      </c>
      <c r="AD42" s="12">
        <f t="shared" si="26"/>
        <v>0.9701116816</v>
      </c>
      <c r="AE42" s="12">
        <f t="shared" si="26"/>
        <v>0.9749415442</v>
      </c>
      <c r="AF42" s="12">
        <f t="shared" si="26"/>
        <v>0.9271076258</v>
      </c>
      <c r="AG42" s="12">
        <f t="shared" si="26"/>
        <v>0.9418096709</v>
      </c>
      <c r="AH42" s="12">
        <f t="shared" si="26"/>
        <v>0.98525815</v>
      </c>
      <c r="AI42" s="155"/>
      <c r="AJ42" s="156"/>
    </row>
    <row r="43" ht="15.75" customHeight="1">
      <c r="A43" s="11" t="s">
        <v>41</v>
      </c>
      <c r="B43" s="108">
        <f t="shared" ref="B43:B45" si="27">SUM(D43:AH43)</f>
        <v>0</v>
      </c>
      <c r="C43" s="108">
        <f t="shared" si="16"/>
        <v>0</v>
      </c>
      <c r="D43" s="104">
        <v>0.0</v>
      </c>
      <c r="E43" s="104">
        <v>0.0</v>
      </c>
      <c r="F43" s="104">
        <v>0.0</v>
      </c>
      <c r="G43" s="104">
        <v>0.0</v>
      </c>
      <c r="H43" s="104">
        <v>0.0</v>
      </c>
      <c r="I43" s="104">
        <v>0.0</v>
      </c>
      <c r="J43" s="104">
        <v>0.0</v>
      </c>
      <c r="K43" s="104">
        <v>0.0</v>
      </c>
      <c r="L43" s="104">
        <v>0.0</v>
      </c>
      <c r="M43" s="104">
        <v>0.0</v>
      </c>
      <c r="N43" s="104">
        <v>0.0</v>
      </c>
      <c r="O43" s="104">
        <v>0.0</v>
      </c>
      <c r="P43" s="104">
        <v>0.0</v>
      </c>
      <c r="Q43" s="104">
        <v>0.0</v>
      </c>
      <c r="R43" s="104">
        <v>0.0</v>
      </c>
      <c r="S43" s="104">
        <v>0.0</v>
      </c>
      <c r="T43" s="104">
        <v>0.0</v>
      </c>
      <c r="U43" s="104">
        <v>0.0</v>
      </c>
      <c r="V43" s="104">
        <v>0.0</v>
      </c>
      <c r="W43" s="104">
        <v>0.0</v>
      </c>
      <c r="X43" s="104">
        <v>0.0</v>
      </c>
      <c r="Y43" s="104">
        <v>0.0</v>
      </c>
      <c r="Z43" s="104">
        <v>0.0</v>
      </c>
      <c r="AA43" s="104">
        <v>0.0</v>
      </c>
      <c r="AB43" s="104">
        <v>0.0</v>
      </c>
      <c r="AC43" s="104">
        <v>0.0</v>
      </c>
      <c r="AD43" s="104">
        <v>0.0</v>
      </c>
      <c r="AE43" s="104">
        <v>0.0</v>
      </c>
      <c r="AF43" s="104">
        <v>0.0</v>
      </c>
      <c r="AG43" s="104">
        <v>0.0</v>
      </c>
      <c r="AH43" s="104">
        <v>0.0</v>
      </c>
      <c r="AI43" s="164"/>
      <c r="AJ43" s="165"/>
    </row>
    <row r="44" ht="15.75" customHeight="1">
      <c r="A44" s="12" t="s">
        <v>42</v>
      </c>
      <c r="B44" s="68">
        <f t="shared" si="27"/>
        <v>0</v>
      </c>
      <c r="C44" s="68">
        <f t="shared" si="16"/>
        <v>0</v>
      </c>
      <c r="D44" s="12">
        <f t="shared" ref="D44:AH44" si="28">D43/D27</f>
        <v>0</v>
      </c>
      <c r="E44" s="12">
        <f t="shared" si="28"/>
        <v>0</v>
      </c>
      <c r="F44" s="12">
        <f t="shared" si="28"/>
        <v>0</v>
      </c>
      <c r="G44" s="12">
        <f t="shared" si="28"/>
        <v>0</v>
      </c>
      <c r="H44" s="12">
        <f t="shared" si="28"/>
        <v>0</v>
      </c>
      <c r="I44" s="12">
        <f t="shared" si="28"/>
        <v>0</v>
      </c>
      <c r="J44" s="12">
        <f t="shared" si="28"/>
        <v>0</v>
      </c>
      <c r="K44" s="12">
        <f t="shared" si="28"/>
        <v>0</v>
      </c>
      <c r="L44" s="12">
        <f t="shared" si="28"/>
        <v>0</v>
      </c>
      <c r="M44" s="12">
        <f t="shared" si="28"/>
        <v>0</v>
      </c>
      <c r="N44" s="12">
        <f t="shared" si="28"/>
        <v>0</v>
      </c>
      <c r="O44" s="12">
        <f t="shared" si="28"/>
        <v>0</v>
      </c>
      <c r="P44" s="12">
        <f t="shared" si="28"/>
        <v>0</v>
      </c>
      <c r="Q44" s="12">
        <f t="shared" si="28"/>
        <v>0</v>
      </c>
      <c r="R44" s="12">
        <f t="shared" si="28"/>
        <v>0</v>
      </c>
      <c r="S44" s="12">
        <f t="shared" si="28"/>
        <v>0</v>
      </c>
      <c r="T44" s="12">
        <f t="shared" si="28"/>
        <v>0</v>
      </c>
      <c r="U44" s="12">
        <f t="shared" si="28"/>
        <v>0</v>
      </c>
      <c r="V44" s="12">
        <f t="shared" si="28"/>
        <v>0</v>
      </c>
      <c r="W44" s="12">
        <f t="shared" si="28"/>
        <v>0</v>
      </c>
      <c r="X44" s="12">
        <f t="shared" si="28"/>
        <v>0</v>
      </c>
      <c r="Y44" s="12">
        <f t="shared" si="28"/>
        <v>0</v>
      </c>
      <c r="Z44" s="12">
        <f t="shared" si="28"/>
        <v>0</v>
      </c>
      <c r="AA44" s="12">
        <f t="shared" si="28"/>
        <v>0</v>
      </c>
      <c r="AB44" s="12">
        <f t="shared" si="28"/>
        <v>0</v>
      </c>
      <c r="AC44" s="12">
        <f t="shared" si="28"/>
        <v>0</v>
      </c>
      <c r="AD44" s="12">
        <f t="shared" si="28"/>
        <v>0</v>
      </c>
      <c r="AE44" s="12">
        <f t="shared" si="28"/>
        <v>0</v>
      </c>
      <c r="AF44" s="12">
        <f t="shared" si="28"/>
        <v>0</v>
      </c>
      <c r="AG44" s="12">
        <f t="shared" si="28"/>
        <v>0</v>
      </c>
      <c r="AH44" s="12">
        <f t="shared" si="28"/>
        <v>0</v>
      </c>
      <c r="AI44" s="155"/>
      <c r="AJ44" s="156"/>
    </row>
    <row r="45" ht="15.75" customHeight="1">
      <c r="A45" s="72" t="s">
        <v>43</v>
      </c>
      <c r="B45" s="161">
        <f t="shared" si="27"/>
        <v>35543975.96</v>
      </c>
      <c r="C45" s="161">
        <f t="shared" si="16"/>
        <v>1146579.87</v>
      </c>
      <c r="D45" s="161">
        <f t="shared" ref="D45:AH45" si="29">D36-D39</f>
        <v>80634.45</v>
      </c>
      <c r="E45" s="161">
        <f t="shared" si="29"/>
        <v>308162.21</v>
      </c>
      <c r="F45" s="161">
        <f t="shared" si="29"/>
        <v>-1151441</v>
      </c>
      <c r="G45" s="161">
        <f t="shared" si="29"/>
        <v>419807</v>
      </c>
      <c r="H45" s="161">
        <f t="shared" si="29"/>
        <v>317911</v>
      </c>
      <c r="I45" s="161">
        <f t="shared" si="29"/>
        <v>-1640117.64</v>
      </c>
      <c r="J45" s="161">
        <f t="shared" si="29"/>
        <v>2196695.4</v>
      </c>
      <c r="K45" s="161">
        <f t="shared" si="29"/>
        <v>1069613</v>
      </c>
      <c r="L45" s="161">
        <f t="shared" si="29"/>
        <v>1085246</v>
      </c>
      <c r="M45" s="161">
        <f t="shared" si="29"/>
        <v>1105331</v>
      </c>
      <c r="N45" s="161">
        <f t="shared" si="29"/>
        <v>1612348</v>
      </c>
      <c r="O45" s="161">
        <f t="shared" si="29"/>
        <v>522795.62</v>
      </c>
      <c r="P45" s="161">
        <f t="shared" si="29"/>
        <v>-716759</v>
      </c>
      <c r="Q45" s="161">
        <f t="shared" si="29"/>
        <v>2154324.32</v>
      </c>
      <c r="R45" s="161">
        <f t="shared" si="29"/>
        <v>1591129</v>
      </c>
      <c r="S45" s="161">
        <f t="shared" si="29"/>
        <v>1656801.21</v>
      </c>
      <c r="T45" s="161">
        <f t="shared" si="29"/>
        <v>1081702.39</v>
      </c>
      <c r="U45" s="161">
        <f t="shared" si="29"/>
        <v>1895371</v>
      </c>
      <c r="V45" s="161">
        <f t="shared" si="29"/>
        <v>1368712</v>
      </c>
      <c r="W45" s="161">
        <f t="shared" si="29"/>
        <v>1536005</v>
      </c>
      <c r="X45" s="161">
        <f t="shared" si="29"/>
        <v>1064608</v>
      </c>
      <c r="Y45" s="161">
        <f t="shared" si="29"/>
        <v>437925</v>
      </c>
      <c r="Z45" s="161">
        <f t="shared" si="29"/>
        <v>923743</v>
      </c>
      <c r="AA45" s="161">
        <f t="shared" si="29"/>
        <v>1271960</v>
      </c>
      <c r="AB45" s="161">
        <f t="shared" si="29"/>
        <v>-1785876</v>
      </c>
      <c r="AC45" s="161">
        <f t="shared" si="29"/>
        <v>-691280</v>
      </c>
      <c r="AD45" s="161">
        <f t="shared" si="29"/>
        <v>4005030</v>
      </c>
      <c r="AE45" s="161">
        <f t="shared" si="29"/>
        <v>1893547</v>
      </c>
      <c r="AF45" s="161">
        <f t="shared" si="29"/>
        <v>7754857</v>
      </c>
      <c r="AG45" s="161">
        <f t="shared" si="29"/>
        <v>3477006</v>
      </c>
      <c r="AH45" s="161">
        <f t="shared" si="29"/>
        <v>698185</v>
      </c>
      <c r="AI45" s="150"/>
      <c r="AJ45" s="151"/>
    </row>
    <row r="46" ht="15.75" customHeight="1">
      <c r="A46" s="79" t="s">
        <v>44</v>
      </c>
      <c r="B46" s="157">
        <f>B45/B27</f>
        <v>0.5334220484</v>
      </c>
      <c r="C46" s="157">
        <f t="shared" si="16"/>
        <v>0.2773095108</v>
      </c>
      <c r="D46" s="157">
        <f t="shared" ref="D46:AH46" si="30">D45/D27</f>
        <v>0.08528260798</v>
      </c>
      <c r="E46" s="157">
        <f t="shared" si="30"/>
        <v>0.8829862751</v>
      </c>
      <c r="F46" s="157">
        <f t="shared" si="30"/>
        <v>-2.623464061</v>
      </c>
      <c r="G46" s="157">
        <f t="shared" si="30"/>
        <v>0.5300526509</v>
      </c>
      <c r="H46" s="157">
        <f t="shared" si="30"/>
        <v>0.1931517644</v>
      </c>
      <c r="I46" s="157">
        <f t="shared" si="30"/>
        <v>-2.011150835</v>
      </c>
      <c r="J46" s="157">
        <f t="shared" si="30"/>
        <v>1.802223023</v>
      </c>
      <c r="K46" s="157">
        <f t="shared" si="30"/>
        <v>0.5355568151</v>
      </c>
      <c r="L46" s="157">
        <f t="shared" si="30"/>
        <v>0.7054028107</v>
      </c>
      <c r="M46" s="157">
        <f t="shared" si="30"/>
        <v>0.3710236414</v>
      </c>
      <c r="N46" s="157">
        <f t="shared" si="30"/>
        <v>0.5905387686</v>
      </c>
      <c r="O46" s="157">
        <f t="shared" si="30"/>
        <v>0.260161134</v>
      </c>
      <c r="P46" s="157">
        <f t="shared" si="30"/>
        <v>-0.3150480994</v>
      </c>
      <c r="Q46" s="157">
        <f t="shared" si="30"/>
        <v>0.7416878467</v>
      </c>
      <c r="R46" s="157">
        <f t="shared" si="30"/>
        <v>0.6937691414</v>
      </c>
      <c r="S46" s="157">
        <f t="shared" si="30"/>
        <v>0.4496754213</v>
      </c>
      <c r="T46" s="157">
        <f t="shared" si="30"/>
        <v>0.2440059728</v>
      </c>
      <c r="U46" s="157">
        <f t="shared" si="30"/>
        <v>0.8187591768</v>
      </c>
      <c r="V46" s="157">
        <f t="shared" si="30"/>
        <v>0.3839714707</v>
      </c>
      <c r="W46" s="157">
        <f t="shared" si="30"/>
        <v>0.6290982381</v>
      </c>
      <c r="X46" s="157">
        <f t="shared" si="30"/>
        <v>0.3691263463</v>
      </c>
      <c r="Y46" s="157">
        <f t="shared" si="30"/>
        <v>0.1110680515</v>
      </c>
      <c r="Z46" s="157">
        <f t="shared" si="30"/>
        <v>0.2444825268</v>
      </c>
      <c r="AA46" s="157">
        <f t="shared" si="30"/>
        <v>0.2703836231</v>
      </c>
      <c r="AB46" s="157">
        <f t="shared" si="30"/>
        <v>-0.3472511105</v>
      </c>
      <c r="AC46" s="157">
        <f t="shared" si="30"/>
        <v>-0.1193880138</v>
      </c>
      <c r="AD46" s="157">
        <f t="shared" si="30"/>
        <v>0.77828173</v>
      </c>
      <c r="AE46" s="157">
        <f t="shared" si="30"/>
        <v>0.5293512163</v>
      </c>
      <c r="AF46" s="157">
        <f t="shared" si="30"/>
        <v>1.091956854</v>
      </c>
      <c r="AG46" s="157">
        <f t="shared" si="30"/>
        <v>0.5652859428</v>
      </c>
      <c r="AH46" s="157">
        <f t="shared" si="30"/>
        <v>0.135613905</v>
      </c>
      <c r="AI46" s="150"/>
      <c r="AJ46" s="151"/>
    </row>
    <row r="47" ht="15.75" customHeight="1">
      <c r="A47" s="79" t="s">
        <v>45</v>
      </c>
      <c r="B47" s="171">
        <f>B45/B26</f>
        <v>44541.32326</v>
      </c>
      <c r="C47" s="171">
        <f t="shared" si="16"/>
        <v>10683.06991</v>
      </c>
      <c r="D47" s="171">
        <f t="shared" ref="D47:AH47" si="31">D45/D26</f>
        <v>3505.845652</v>
      </c>
      <c r="E47" s="171">
        <f t="shared" si="31"/>
        <v>11005.79321</v>
      </c>
      <c r="F47" s="171">
        <f t="shared" si="31"/>
        <v>-42645.96296</v>
      </c>
      <c r="G47" s="171">
        <f t="shared" si="31"/>
        <v>22095.10526</v>
      </c>
      <c r="H47" s="171">
        <f t="shared" si="31"/>
        <v>7225.25</v>
      </c>
      <c r="I47" s="171">
        <f t="shared" si="31"/>
        <v>-54670.588</v>
      </c>
      <c r="J47" s="171">
        <f t="shared" si="31"/>
        <v>64608.68824</v>
      </c>
      <c r="K47" s="171">
        <f t="shared" si="31"/>
        <v>26088.12195</v>
      </c>
      <c r="L47" s="171">
        <f t="shared" si="31"/>
        <v>28559.10526</v>
      </c>
      <c r="M47" s="171">
        <f t="shared" si="31"/>
        <v>16497.47761</v>
      </c>
      <c r="N47" s="171">
        <f t="shared" si="31"/>
        <v>30421.66038</v>
      </c>
      <c r="O47" s="171">
        <f t="shared" si="31"/>
        <v>11123.31106</v>
      </c>
      <c r="P47" s="171">
        <f t="shared" si="31"/>
        <v>-13783.82692</v>
      </c>
      <c r="Q47" s="171">
        <f t="shared" si="31"/>
        <v>43086.4864</v>
      </c>
      <c r="R47" s="171">
        <f t="shared" si="31"/>
        <v>22730.41429</v>
      </c>
      <c r="S47" s="171">
        <f t="shared" si="31"/>
        <v>18827.28648</v>
      </c>
      <c r="T47" s="171">
        <f t="shared" si="31"/>
        <v>12577.93477</v>
      </c>
      <c r="U47" s="171">
        <f t="shared" si="31"/>
        <v>23114.28049</v>
      </c>
      <c r="V47" s="171">
        <f t="shared" si="31"/>
        <v>14110.43299</v>
      </c>
      <c r="W47" s="171">
        <f t="shared" si="31"/>
        <v>16516.1828</v>
      </c>
      <c r="X47" s="171">
        <f t="shared" si="31"/>
        <v>12097.81818</v>
      </c>
      <c r="Y47" s="171">
        <f t="shared" si="31"/>
        <v>2488.210227</v>
      </c>
      <c r="Z47" s="171">
        <f t="shared" si="31"/>
        <v>2999.165584</v>
      </c>
      <c r="AA47" s="171">
        <f t="shared" si="31"/>
        <v>3987.335423</v>
      </c>
      <c r="AB47" s="171">
        <f t="shared" si="31"/>
        <v>-5252.576471</v>
      </c>
      <c r="AC47" s="171">
        <f t="shared" si="31"/>
        <v>-2051.275964</v>
      </c>
      <c r="AD47" s="171">
        <f t="shared" si="31"/>
        <v>13394.74916</v>
      </c>
      <c r="AE47" s="171">
        <f t="shared" si="31"/>
        <v>5720.685801</v>
      </c>
      <c r="AF47" s="171">
        <f t="shared" si="31"/>
        <v>25849.52333</v>
      </c>
      <c r="AG47" s="171">
        <f t="shared" si="31"/>
        <v>9500.016393</v>
      </c>
      <c r="AH47" s="171">
        <f t="shared" si="31"/>
        <v>1448.516598</v>
      </c>
      <c r="AI47" s="150"/>
      <c r="AJ47" s="151"/>
    </row>
    <row r="48" ht="15.75" customHeight="1">
      <c r="A48" s="148" t="s">
        <v>46</v>
      </c>
      <c r="B48" s="161">
        <f>B27-B32</f>
        <v>18292078</v>
      </c>
      <c r="C48" s="161">
        <f t="shared" si="16"/>
        <v>1128780.452</v>
      </c>
      <c r="D48" s="161">
        <f t="shared" ref="D48:AH48" si="32">D27-D32</f>
        <v>880497</v>
      </c>
      <c r="E48" s="161">
        <f t="shared" si="32"/>
        <v>52560</v>
      </c>
      <c r="F48" s="161">
        <f t="shared" si="32"/>
        <v>-1143657</v>
      </c>
      <c r="G48" s="161">
        <f t="shared" si="32"/>
        <v>204910</v>
      </c>
      <c r="H48" s="161">
        <f t="shared" si="32"/>
        <v>896621</v>
      </c>
      <c r="I48" s="161">
        <f t="shared" si="32"/>
        <v>-587092</v>
      </c>
      <c r="J48" s="161">
        <f t="shared" si="32"/>
        <v>518161</v>
      </c>
      <c r="K48" s="161">
        <f t="shared" si="32"/>
        <v>1444930</v>
      </c>
      <c r="L48" s="161">
        <f t="shared" si="32"/>
        <v>973477</v>
      </c>
      <c r="M48" s="161">
        <f t="shared" si="32"/>
        <v>931223</v>
      </c>
      <c r="N48" s="161">
        <f t="shared" si="32"/>
        <v>2363747</v>
      </c>
      <c r="O48" s="161">
        <f t="shared" si="32"/>
        <v>-819997</v>
      </c>
      <c r="P48" s="161">
        <f t="shared" si="32"/>
        <v>934027</v>
      </c>
      <c r="Q48" s="161">
        <f t="shared" si="32"/>
        <v>1606048</v>
      </c>
      <c r="R48" s="161">
        <f t="shared" si="32"/>
        <v>885502</v>
      </c>
      <c r="S48" s="161">
        <f t="shared" si="32"/>
        <v>2112821</v>
      </c>
      <c r="T48" s="161">
        <f t="shared" si="32"/>
        <v>769676</v>
      </c>
      <c r="U48" s="161">
        <f t="shared" si="32"/>
        <v>818621</v>
      </c>
      <c r="V48" s="161">
        <f t="shared" si="32"/>
        <v>1731727</v>
      </c>
      <c r="W48" s="161">
        <f t="shared" si="32"/>
        <v>795403</v>
      </c>
      <c r="X48" s="161">
        <f t="shared" si="32"/>
        <v>1399207</v>
      </c>
      <c r="Y48" s="161">
        <f t="shared" si="32"/>
        <v>1951516</v>
      </c>
      <c r="Z48" s="161">
        <f t="shared" si="32"/>
        <v>398290</v>
      </c>
      <c r="AA48" s="161">
        <f t="shared" si="32"/>
        <v>2318355</v>
      </c>
      <c r="AB48" s="161">
        <f t="shared" si="32"/>
        <v>2524046</v>
      </c>
      <c r="AC48" s="161">
        <f t="shared" si="32"/>
        <v>135371</v>
      </c>
      <c r="AD48" s="161">
        <f t="shared" si="32"/>
        <v>969419</v>
      </c>
      <c r="AE48" s="161">
        <f t="shared" si="32"/>
        <v>2234453</v>
      </c>
      <c r="AF48" s="161">
        <f t="shared" si="32"/>
        <v>3804410</v>
      </c>
      <c r="AG48" s="161">
        <f t="shared" si="32"/>
        <v>2757426</v>
      </c>
      <c r="AH48" s="161">
        <f t="shared" si="32"/>
        <v>1130496</v>
      </c>
      <c r="AI48" s="150"/>
      <c r="AJ48" s="151"/>
    </row>
    <row r="49" ht="15.75" customHeight="1">
      <c r="A49" s="79" t="s">
        <v>47</v>
      </c>
      <c r="B49" s="157">
        <f>B48/B27</f>
        <v>0.2745162141</v>
      </c>
      <c r="C49" s="157">
        <f t="shared" si="16"/>
        <v>0.273621255</v>
      </c>
      <c r="D49" s="157">
        <f t="shared" ref="D49:AH49" si="33">D48/D27</f>
        <v>0.931253087</v>
      </c>
      <c r="E49" s="157">
        <f t="shared" si="33"/>
        <v>0.1506017192</v>
      </c>
      <c r="F49" s="157">
        <f t="shared" si="33"/>
        <v>-2.605728855</v>
      </c>
      <c r="G49" s="157">
        <f t="shared" si="33"/>
        <v>0.2587214808</v>
      </c>
      <c r="H49" s="157">
        <f t="shared" si="33"/>
        <v>0.5447560108</v>
      </c>
      <c r="I49" s="157">
        <f t="shared" si="33"/>
        <v>-0.7199060222</v>
      </c>
      <c r="J49" s="157">
        <f t="shared" si="33"/>
        <v>0.4251120495</v>
      </c>
      <c r="K49" s="157">
        <f t="shared" si="33"/>
        <v>0.7234785935</v>
      </c>
      <c r="L49" s="157">
        <f t="shared" si="33"/>
        <v>0.6327536908</v>
      </c>
      <c r="M49" s="157">
        <f t="shared" si="33"/>
        <v>0.3125812525</v>
      </c>
      <c r="N49" s="157">
        <f t="shared" si="33"/>
        <v>0.865746255</v>
      </c>
      <c r="O49" s="157">
        <f t="shared" si="33"/>
        <v>-0.4080587925</v>
      </c>
      <c r="P49" s="157">
        <f t="shared" si="33"/>
        <v>0.4105472428</v>
      </c>
      <c r="Q49" s="157">
        <f t="shared" si="33"/>
        <v>0.552928021</v>
      </c>
      <c r="R49" s="157">
        <f t="shared" si="33"/>
        <v>0.3860994063</v>
      </c>
      <c r="S49" s="157">
        <f t="shared" si="33"/>
        <v>0.5734445796</v>
      </c>
      <c r="T49" s="157">
        <f t="shared" si="33"/>
        <v>0.1736203441</v>
      </c>
      <c r="U49" s="157">
        <f t="shared" si="33"/>
        <v>0.3536265228</v>
      </c>
      <c r="V49" s="157">
        <f t="shared" si="33"/>
        <v>0.4858098439</v>
      </c>
      <c r="W49" s="157">
        <f t="shared" si="33"/>
        <v>0.3257714824</v>
      </c>
      <c r="X49" s="157">
        <f t="shared" si="33"/>
        <v>0.4851402278</v>
      </c>
      <c r="Y49" s="157">
        <f t="shared" si="33"/>
        <v>0.4949502302</v>
      </c>
      <c r="Z49" s="157">
        <f t="shared" si="33"/>
        <v>0.1054134598</v>
      </c>
      <c r="AA49" s="157">
        <f t="shared" si="33"/>
        <v>0.4928183469</v>
      </c>
      <c r="AB49" s="157">
        <f t="shared" si="33"/>
        <v>0.4907831095</v>
      </c>
      <c r="AC49" s="157">
        <f t="shared" si="33"/>
        <v>0.02337934674</v>
      </c>
      <c r="AD49" s="157">
        <f t="shared" si="33"/>
        <v>0.188383382</v>
      </c>
      <c r="AE49" s="157">
        <f t="shared" si="33"/>
        <v>0.6246533164</v>
      </c>
      <c r="AF49" s="157">
        <f t="shared" si="33"/>
        <v>0.5356967348</v>
      </c>
      <c r="AG49" s="157">
        <f t="shared" si="33"/>
        <v>0.4482978045</v>
      </c>
      <c r="AH49" s="157">
        <f t="shared" si="33"/>
        <v>0.2195850343</v>
      </c>
      <c r="AI49" s="150"/>
      <c r="AJ49" s="151"/>
    </row>
    <row r="50" ht="15.75" customHeight="1">
      <c r="A50" s="79" t="s">
        <v>48</v>
      </c>
      <c r="B50" s="171">
        <f>B48/B26</f>
        <v>22922.40351</v>
      </c>
      <c r="C50" s="171">
        <f t="shared" si="16"/>
        <v>10792.08354</v>
      </c>
      <c r="D50" s="171">
        <f t="shared" ref="D50:AH50" si="34">D48/D26</f>
        <v>38282.47826</v>
      </c>
      <c r="E50" s="171">
        <f t="shared" si="34"/>
        <v>1877.142857</v>
      </c>
      <c r="F50" s="171">
        <f t="shared" si="34"/>
        <v>-42357.66667</v>
      </c>
      <c r="G50" s="171">
        <f t="shared" si="34"/>
        <v>10784.73684</v>
      </c>
      <c r="H50" s="171">
        <f t="shared" si="34"/>
        <v>20377.75</v>
      </c>
      <c r="I50" s="171">
        <f t="shared" si="34"/>
        <v>-19569.73333</v>
      </c>
      <c r="J50" s="171">
        <f t="shared" si="34"/>
        <v>15240.02941</v>
      </c>
      <c r="K50" s="171">
        <f t="shared" si="34"/>
        <v>35242.19512</v>
      </c>
      <c r="L50" s="171">
        <f t="shared" si="34"/>
        <v>25617.81579</v>
      </c>
      <c r="M50" s="171">
        <f t="shared" si="34"/>
        <v>13898.85075</v>
      </c>
      <c r="N50" s="171">
        <f t="shared" si="34"/>
        <v>44599</v>
      </c>
      <c r="O50" s="171">
        <f t="shared" si="34"/>
        <v>-17446.74468</v>
      </c>
      <c r="P50" s="171">
        <f t="shared" si="34"/>
        <v>17962.05769</v>
      </c>
      <c r="Q50" s="171">
        <f t="shared" si="34"/>
        <v>32120.96</v>
      </c>
      <c r="R50" s="171">
        <f t="shared" si="34"/>
        <v>12650.02857</v>
      </c>
      <c r="S50" s="171">
        <f t="shared" si="34"/>
        <v>24009.32955</v>
      </c>
      <c r="T50" s="171">
        <f t="shared" si="34"/>
        <v>8949.72093</v>
      </c>
      <c r="U50" s="171">
        <f t="shared" si="34"/>
        <v>9983.182927</v>
      </c>
      <c r="V50" s="171">
        <f t="shared" si="34"/>
        <v>17852.85567</v>
      </c>
      <c r="W50" s="171">
        <f t="shared" si="34"/>
        <v>8552.72043</v>
      </c>
      <c r="X50" s="171">
        <f t="shared" si="34"/>
        <v>15900.07955</v>
      </c>
      <c r="Y50" s="171">
        <f t="shared" si="34"/>
        <v>11088.15909</v>
      </c>
      <c r="Z50" s="171">
        <f t="shared" si="34"/>
        <v>1293.149351</v>
      </c>
      <c r="AA50" s="171">
        <f t="shared" si="34"/>
        <v>7267.570533</v>
      </c>
      <c r="AB50" s="171">
        <f t="shared" si="34"/>
        <v>7423.664706</v>
      </c>
      <c r="AC50" s="171">
        <f t="shared" si="34"/>
        <v>401.694362</v>
      </c>
      <c r="AD50" s="171">
        <f t="shared" si="34"/>
        <v>3242.204013</v>
      </c>
      <c r="AE50" s="171">
        <f t="shared" si="34"/>
        <v>6750.613293</v>
      </c>
      <c r="AF50" s="171">
        <f t="shared" si="34"/>
        <v>12681.36667</v>
      </c>
      <c r="AG50" s="171">
        <f t="shared" si="34"/>
        <v>7533.95082</v>
      </c>
      <c r="AH50" s="171">
        <f t="shared" si="34"/>
        <v>2345.427386</v>
      </c>
      <c r="AI50" s="150"/>
      <c r="AJ50" s="151"/>
    </row>
    <row r="51" ht="15.75" customHeight="1">
      <c r="A51" s="104" t="s">
        <v>49</v>
      </c>
      <c r="B51" s="108">
        <f t="shared" ref="B51:B58" si="35">SUM(D51:AH51)</f>
        <v>3580000</v>
      </c>
      <c r="C51" s="108">
        <f t="shared" si="16"/>
        <v>115483.871</v>
      </c>
      <c r="D51" s="104">
        <v>0.0</v>
      </c>
      <c r="E51" s="104">
        <v>0.0</v>
      </c>
      <c r="F51" s="104">
        <v>0.0</v>
      </c>
      <c r="G51" s="104">
        <v>0.0</v>
      </c>
      <c r="H51" s="104">
        <v>0.0</v>
      </c>
      <c r="I51" s="104">
        <v>0.0</v>
      </c>
      <c r="J51" s="104">
        <v>0.0</v>
      </c>
      <c r="K51" s="104">
        <v>0.0</v>
      </c>
      <c r="L51" s="104">
        <v>0.0</v>
      </c>
      <c r="M51" s="104">
        <v>10000.0</v>
      </c>
      <c r="N51" s="104">
        <v>0.0</v>
      </c>
      <c r="O51" s="104">
        <v>0.0</v>
      </c>
      <c r="P51" s="104">
        <v>10000.0</v>
      </c>
      <c r="Q51" s="104">
        <v>10000.0</v>
      </c>
      <c r="R51" s="104">
        <v>50000.0</v>
      </c>
      <c r="S51" s="104">
        <v>80000.0</v>
      </c>
      <c r="T51" s="104">
        <v>60000.0</v>
      </c>
      <c r="U51" s="104">
        <v>30000.0</v>
      </c>
      <c r="V51" s="104">
        <v>30000.0</v>
      </c>
      <c r="W51" s="104">
        <v>30000.0</v>
      </c>
      <c r="X51" s="104">
        <v>250000.0</v>
      </c>
      <c r="Y51" s="104">
        <v>40000.0</v>
      </c>
      <c r="Z51" s="104">
        <v>280000.0</v>
      </c>
      <c r="AA51" s="104">
        <v>270000.0</v>
      </c>
      <c r="AB51" s="104">
        <v>440000.0</v>
      </c>
      <c r="AC51" s="104">
        <v>1170000.0</v>
      </c>
      <c r="AD51" s="104">
        <v>240000.0</v>
      </c>
      <c r="AE51" s="104">
        <v>50000.0</v>
      </c>
      <c r="AF51" s="104">
        <v>290000.0</v>
      </c>
      <c r="AG51" s="104">
        <v>100000.0</v>
      </c>
      <c r="AH51" s="104">
        <v>140000.0</v>
      </c>
      <c r="AI51" s="164"/>
      <c r="AJ51" s="165"/>
    </row>
    <row r="52" ht="15.75" customHeight="1">
      <c r="A52" s="11" t="s">
        <v>50</v>
      </c>
      <c r="B52" s="108">
        <f t="shared" si="35"/>
        <v>0</v>
      </c>
      <c r="C52" s="108">
        <f t="shared" si="16"/>
        <v>0</v>
      </c>
      <c r="D52" s="104">
        <v>0.0</v>
      </c>
      <c r="E52" s="104">
        <v>0.0</v>
      </c>
      <c r="F52" s="104">
        <v>0.0</v>
      </c>
      <c r="G52" s="104">
        <v>0.0</v>
      </c>
      <c r="H52" s="104">
        <v>0.0</v>
      </c>
      <c r="I52" s="104">
        <v>0.0</v>
      </c>
      <c r="J52" s="104">
        <v>0.0</v>
      </c>
      <c r="K52" s="104">
        <v>0.0</v>
      </c>
      <c r="L52" s="104">
        <v>0.0</v>
      </c>
      <c r="M52" s="104">
        <v>0.0</v>
      </c>
      <c r="N52" s="104">
        <v>0.0</v>
      </c>
      <c r="O52" s="104">
        <v>0.0</v>
      </c>
      <c r="P52" s="104">
        <v>0.0</v>
      </c>
      <c r="Q52" s="104">
        <v>0.0</v>
      </c>
      <c r="R52" s="104">
        <v>0.0</v>
      </c>
      <c r="S52" s="104">
        <v>0.0</v>
      </c>
      <c r="T52" s="104">
        <v>0.0</v>
      </c>
      <c r="U52" s="104">
        <v>0.0</v>
      </c>
      <c r="V52" s="104">
        <v>0.0</v>
      </c>
      <c r="W52" s="104">
        <v>0.0</v>
      </c>
      <c r="X52" s="104">
        <v>0.0</v>
      </c>
      <c r="Y52" s="104">
        <v>0.0</v>
      </c>
      <c r="Z52" s="104">
        <v>0.0</v>
      </c>
      <c r="AA52" s="104">
        <v>0.0</v>
      </c>
      <c r="AB52" s="104">
        <v>0.0</v>
      </c>
      <c r="AC52" s="104">
        <v>0.0</v>
      </c>
      <c r="AD52" s="104">
        <v>0.0</v>
      </c>
      <c r="AE52" s="104">
        <v>0.0</v>
      </c>
      <c r="AF52" s="104">
        <v>0.0</v>
      </c>
      <c r="AG52" s="104">
        <v>0.0</v>
      </c>
      <c r="AH52" s="104">
        <v>0.0</v>
      </c>
      <c r="AI52" s="164"/>
      <c r="AJ52" s="165"/>
    </row>
    <row r="53" ht="15.75" customHeight="1">
      <c r="A53" s="104" t="s">
        <v>51</v>
      </c>
      <c r="B53" s="108">
        <f t="shared" si="35"/>
        <v>524000</v>
      </c>
      <c r="C53" s="108">
        <f t="shared" si="16"/>
        <v>16903.22581</v>
      </c>
      <c r="D53" s="104">
        <v>0.0</v>
      </c>
      <c r="E53" s="104">
        <v>0.0</v>
      </c>
      <c r="F53" s="104">
        <v>0.0</v>
      </c>
      <c r="G53" s="104">
        <v>0.0</v>
      </c>
      <c r="H53" s="104">
        <v>0.0</v>
      </c>
      <c r="I53" s="104">
        <v>0.0</v>
      </c>
      <c r="J53" s="104">
        <v>0.0</v>
      </c>
      <c r="K53" s="104">
        <v>0.0</v>
      </c>
      <c r="L53" s="104">
        <v>0.0</v>
      </c>
      <c r="M53" s="104">
        <v>0.0</v>
      </c>
      <c r="N53" s="104">
        <v>0.0</v>
      </c>
      <c r="O53" s="104">
        <v>0.0</v>
      </c>
      <c r="P53" s="104">
        <v>0.0</v>
      </c>
      <c r="Q53" s="104">
        <v>0.0</v>
      </c>
      <c r="R53" s="104">
        <v>0.0</v>
      </c>
      <c r="S53" s="104">
        <v>0.0</v>
      </c>
      <c r="T53" s="104">
        <v>0.0</v>
      </c>
      <c r="U53" s="104">
        <v>0.0</v>
      </c>
      <c r="V53" s="104">
        <v>0.0</v>
      </c>
      <c r="W53" s="104">
        <v>0.0</v>
      </c>
      <c r="X53" s="104">
        <v>0.0</v>
      </c>
      <c r="Y53" s="104">
        <v>0.0</v>
      </c>
      <c r="Z53" s="104">
        <v>0.0</v>
      </c>
      <c r="AA53" s="104">
        <v>0.0</v>
      </c>
      <c r="AB53" s="104">
        <v>0.0</v>
      </c>
      <c r="AC53" s="104">
        <v>0.0</v>
      </c>
      <c r="AD53" s="104">
        <v>0.0</v>
      </c>
      <c r="AE53" s="104">
        <v>8000.0</v>
      </c>
      <c r="AF53" s="104">
        <v>20000.0</v>
      </c>
      <c r="AG53" s="104">
        <v>68000.0</v>
      </c>
      <c r="AH53" s="104">
        <v>428000.0</v>
      </c>
      <c r="AI53" s="164"/>
      <c r="AJ53" s="165"/>
    </row>
    <row r="54" ht="15.75" customHeight="1">
      <c r="A54" s="104" t="s">
        <v>52</v>
      </c>
      <c r="B54" s="108">
        <f t="shared" si="35"/>
        <v>0</v>
      </c>
      <c r="C54" s="108">
        <f t="shared" si="16"/>
        <v>0</v>
      </c>
      <c r="D54" s="104">
        <v>0.0</v>
      </c>
      <c r="E54" s="104">
        <v>0.0</v>
      </c>
      <c r="F54" s="104">
        <v>0.0</v>
      </c>
      <c r="G54" s="104">
        <v>0.0</v>
      </c>
      <c r="H54" s="104">
        <v>0.0</v>
      </c>
      <c r="I54" s="104">
        <v>0.0</v>
      </c>
      <c r="J54" s="104">
        <v>0.0</v>
      </c>
      <c r="K54" s="104">
        <v>0.0</v>
      </c>
      <c r="L54" s="104">
        <v>0.0</v>
      </c>
      <c r="M54" s="104">
        <v>0.0</v>
      </c>
      <c r="N54" s="104">
        <v>0.0</v>
      </c>
      <c r="O54" s="104">
        <v>0.0</v>
      </c>
      <c r="P54" s="104">
        <v>0.0</v>
      </c>
      <c r="Q54" s="104">
        <v>0.0</v>
      </c>
      <c r="R54" s="104">
        <v>0.0</v>
      </c>
      <c r="S54" s="104">
        <v>0.0</v>
      </c>
      <c r="T54" s="104">
        <v>0.0</v>
      </c>
      <c r="U54" s="104">
        <v>0.0</v>
      </c>
      <c r="V54" s="104">
        <v>0.0</v>
      </c>
      <c r="W54" s="104">
        <v>0.0</v>
      </c>
      <c r="X54" s="104">
        <v>0.0</v>
      </c>
      <c r="Y54" s="104">
        <v>0.0</v>
      </c>
      <c r="Z54" s="104">
        <v>0.0</v>
      </c>
      <c r="AA54" s="104">
        <v>0.0</v>
      </c>
      <c r="AB54" s="104">
        <v>0.0</v>
      </c>
      <c r="AC54" s="104">
        <v>0.0</v>
      </c>
      <c r="AD54" s="104">
        <v>0.0</v>
      </c>
      <c r="AE54" s="104">
        <v>0.0</v>
      </c>
      <c r="AF54" s="104">
        <v>0.0</v>
      </c>
      <c r="AG54" s="104">
        <v>0.0</v>
      </c>
      <c r="AH54" s="104">
        <v>0.0</v>
      </c>
      <c r="AI54" s="164"/>
      <c r="AJ54" s="165"/>
    </row>
    <row r="55" ht="15.75" customHeight="1">
      <c r="A55" s="104" t="s">
        <v>53</v>
      </c>
      <c r="B55" s="108">
        <f t="shared" si="35"/>
        <v>0</v>
      </c>
      <c r="C55" s="108">
        <f t="shared" si="16"/>
        <v>0</v>
      </c>
      <c r="D55" s="104">
        <v>0.0</v>
      </c>
      <c r="E55" s="104">
        <v>0.0</v>
      </c>
      <c r="F55" s="104">
        <v>0.0</v>
      </c>
      <c r="G55" s="104">
        <v>0.0</v>
      </c>
      <c r="H55" s="104">
        <v>0.0</v>
      </c>
      <c r="I55" s="104">
        <v>0.0</v>
      </c>
      <c r="J55" s="104">
        <v>0.0</v>
      </c>
      <c r="K55" s="104">
        <v>0.0</v>
      </c>
      <c r="L55" s="104">
        <v>0.0</v>
      </c>
      <c r="M55" s="104">
        <v>0.0</v>
      </c>
      <c r="N55" s="104">
        <v>0.0</v>
      </c>
      <c r="O55" s="104">
        <v>0.0</v>
      </c>
      <c r="P55" s="104">
        <v>0.0</v>
      </c>
      <c r="Q55" s="104">
        <v>0.0</v>
      </c>
      <c r="R55" s="104">
        <v>0.0</v>
      </c>
      <c r="S55" s="104">
        <v>0.0</v>
      </c>
      <c r="T55" s="104">
        <v>0.0</v>
      </c>
      <c r="U55" s="104">
        <v>0.0</v>
      </c>
      <c r="V55" s="104">
        <v>0.0</v>
      </c>
      <c r="W55" s="104">
        <v>0.0</v>
      </c>
      <c r="X55" s="104">
        <v>0.0</v>
      </c>
      <c r="Y55" s="104">
        <v>0.0</v>
      </c>
      <c r="Z55" s="104">
        <v>0.0</v>
      </c>
      <c r="AA55" s="104">
        <v>0.0</v>
      </c>
      <c r="AB55" s="104">
        <v>0.0</v>
      </c>
      <c r="AC55" s="104">
        <v>0.0</v>
      </c>
      <c r="AD55" s="104">
        <v>0.0</v>
      </c>
      <c r="AE55" s="104">
        <v>0.0</v>
      </c>
      <c r="AF55" s="104">
        <v>0.0</v>
      </c>
      <c r="AG55" s="104">
        <v>0.0</v>
      </c>
      <c r="AH55" s="104">
        <v>0.0</v>
      </c>
      <c r="AI55" s="164"/>
      <c r="AJ55" s="165"/>
    </row>
    <row r="56" ht="15.75" customHeight="1">
      <c r="A56" s="104" t="s">
        <v>54</v>
      </c>
      <c r="B56" s="108">
        <f t="shared" si="35"/>
        <v>0</v>
      </c>
      <c r="C56" s="108">
        <f t="shared" si="16"/>
        <v>0</v>
      </c>
      <c r="D56" s="104">
        <v>0.0</v>
      </c>
      <c r="E56" s="104">
        <v>0.0</v>
      </c>
      <c r="F56" s="104">
        <v>0.0</v>
      </c>
      <c r="G56" s="104">
        <v>0.0</v>
      </c>
      <c r="H56" s="104">
        <v>0.0</v>
      </c>
      <c r="I56" s="104">
        <v>0.0</v>
      </c>
      <c r="J56" s="104">
        <v>0.0</v>
      </c>
      <c r="K56" s="104">
        <v>0.0</v>
      </c>
      <c r="L56" s="104">
        <v>0.0</v>
      </c>
      <c r="M56" s="104">
        <v>0.0</v>
      </c>
      <c r="N56" s="104">
        <v>0.0</v>
      </c>
      <c r="O56" s="104">
        <v>0.0</v>
      </c>
      <c r="P56" s="104">
        <v>0.0</v>
      </c>
      <c r="Q56" s="104">
        <v>0.0</v>
      </c>
      <c r="R56" s="104">
        <v>0.0</v>
      </c>
      <c r="S56" s="104">
        <v>0.0</v>
      </c>
      <c r="T56" s="104">
        <v>0.0</v>
      </c>
      <c r="U56" s="104">
        <v>0.0</v>
      </c>
      <c r="V56" s="104">
        <v>0.0</v>
      </c>
      <c r="W56" s="104">
        <v>0.0</v>
      </c>
      <c r="X56" s="104">
        <v>0.0</v>
      </c>
      <c r="Y56" s="104">
        <v>0.0</v>
      </c>
      <c r="Z56" s="104">
        <v>0.0</v>
      </c>
      <c r="AA56" s="104">
        <v>0.0</v>
      </c>
      <c r="AB56" s="104">
        <v>0.0</v>
      </c>
      <c r="AC56" s="104">
        <v>0.0</v>
      </c>
      <c r="AD56" s="104">
        <v>0.0</v>
      </c>
      <c r="AE56" s="104">
        <v>0.0</v>
      </c>
      <c r="AF56" s="104">
        <v>0.0</v>
      </c>
      <c r="AG56" s="104">
        <v>0.0</v>
      </c>
      <c r="AH56" s="104">
        <v>0.0</v>
      </c>
      <c r="AI56" s="164"/>
      <c r="AJ56" s="165"/>
    </row>
    <row r="57" ht="15.75" customHeight="1">
      <c r="A57" s="104" t="s">
        <v>55</v>
      </c>
      <c r="B57" s="108">
        <f t="shared" si="35"/>
        <v>4758000</v>
      </c>
      <c r="C57" s="108">
        <f t="shared" si="16"/>
        <v>153483.871</v>
      </c>
      <c r="D57" s="104">
        <v>0.0</v>
      </c>
      <c r="E57" s="104">
        <v>0.0</v>
      </c>
      <c r="F57" s="104">
        <v>0.0</v>
      </c>
      <c r="G57" s="104">
        <v>0.0</v>
      </c>
      <c r="H57" s="104">
        <v>0.0</v>
      </c>
      <c r="I57" s="104">
        <v>0.0</v>
      </c>
      <c r="J57" s="104">
        <v>0.0</v>
      </c>
      <c r="K57" s="104">
        <v>0.0</v>
      </c>
      <c r="L57" s="104">
        <v>0.0</v>
      </c>
      <c r="M57" s="104">
        <v>0.0</v>
      </c>
      <c r="N57" s="104">
        <v>0.0</v>
      </c>
      <c r="O57" s="104">
        <v>0.0</v>
      </c>
      <c r="P57" s="104">
        <v>0.0</v>
      </c>
      <c r="Q57" s="104">
        <v>0.0</v>
      </c>
      <c r="R57" s="104">
        <v>0.0</v>
      </c>
      <c r="S57" s="104">
        <v>0.0</v>
      </c>
      <c r="T57" s="104">
        <v>0.0</v>
      </c>
      <c r="U57" s="104">
        <v>0.0</v>
      </c>
      <c r="V57" s="104">
        <v>0.0</v>
      </c>
      <c r="W57" s="104">
        <v>0.0</v>
      </c>
      <c r="X57" s="104">
        <v>0.0</v>
      </c>
      <c r="Y57" s="104">
        <v>348000.0</v>
      </c>
      <c r="Z57" s="104">
        <v>561000.0</v>
      </c>
      <c r="AA57" s="104">
        <v>513000.0</v>
      </c>
      <c r="AB57" s="104">
        <v>633000.0</v>
      </c>
      <c r="AC57" s="104">
        <v>420000.0</v>
      </c>
      <c r="AD57" s="104">
        <v>378000.0</v>
      </c>
      <c r="AE57" s="104">
        <v>399000.0</v>
      </c>
      <c r="AF57" s="104">
        <v>183000.0</v>
      </c>
      <c r="AG57" s="104">
        <v>492000.0</v>
      </c>
      <c r="AH57" s="104">
        <v>831000.0</v>
      </c>
      <c r="AI57" s="164"/>
      <c r="AJ57" s="165"/>
    </row>
    <row r="58" ht="15.75" customHeight="1">
      <c r="A58" s="65" t="s">
        <v>56</v>
      </c>
      <c r="B58" s="108">
        <f t="shared" si="35"/>
        <v>3748253.54</v>
      </c>
      <c r="C58" s="108">
        <f t="shared" si="16"/>
        <v>120911.4045</v>
      </c>
      <c r="D58" s="104">
        <f t="shared" ref="D58:AH58" si="36">D109</f>
        <v>888795.54</v>
      </c>
      <c r="E58" s="104">
        <f t="shared" si="36"/>
        <v>0</v>
      </c>
      <c r="F58" s="104">
        <f t="shared" si="36"/>
        <v>0</v>
      </c>
      <c r="G58" s="104">
        <f t="shared" si="36"/>
        <v>0</v>
      </c>
      <c r="H58" s="104">
        <f t="shared" si="36"/>
        <v>0</v>
      </c>
      <c r="I58" s="104">
        <f t="shared" si="36"/>
        <v>0</v>
      </c>
      <c r="J58" s="104">
        <f t="shared" si="36"/>
        <v>0</v>
      </c>
      <c r="K58" s="104">
        <f t="shared" si="36"/>
        <v>0</v>
      </c>
      <c r="L58" s="104">
        <f t="shared" si="36"/>
        <v>0</v>
      </c>
      <c r="M58" s="104">
        <f t="shared" si="36"/>
        <v>0</v>
      </c>
      <c r="N58" s="104">
        <f t="shared" si="36"/>
        <v>0</v>
      </c>
      <c r="O58" s="104">
        <f t="shared" si="36"/>
        <v>0</v>
      </c>
      <c r="P58" s="104">
        <f t="shared" si="36"/>
        <v>0</v>
      </c>
      <c r="Q58" s="104">
        <f t="shared" si="36"/>
        <v>0</v>
      </c>
      <c r="R58" s="104">
        <f t="shared" si="36"/>
        <v>0</v>
      </c>
      <c r="S58" s="104">
        <f t="shared" si="36"/>
        <v>0</v>
      </c>
      <c r="T58" s="104">
        <f t="shared" si="36"/>
        <v>0</v>
      </c>
      <c r="U58" s="104">
        <f t="shared" si="36"/>
        <v>0</v>
      </c>
      <c r="V58" s="104">
        <f t="shared" si="36"/>
        <v>0</v>
      </c>
      <c r="W58" s="104">
        <f t="shared" si="36"/>
        <v>0</v>
      </c>
      <c r="X58" s="104">
        <f t="shared" si="36"/>
        <v>0</v>
      </c>
      <c r="Y58" s="104">
        <f t="shared" si="36"/>
        <v>1348918</v>
      </c>
      <c r="Z58" s="104">
        <f t="shared" si="36"/>
        <v>0</v>
      </c>
      <c r="AA58" s="104">
        <f t="shared" si="36"/>
        <v>0</v>
      </c>
      <c r="AB58" s="104">
        <f t="shared" si="36"/>
        <v>30000</v>
      </c>
      <c r="AC58" s="104">
        <f t="shared" si="36"/>
        <v>1015984</v>
      </c>
      <c r="AD58" s="104">
        <f t="shared" si="36"/>
        <v>0</v>
      </c>
      <c r="AE58" s="104">
        <f t="shared" si="36"/>
        <v>0</v>
      </c>
      <c r="AF58" s="104">
        <f t="shared" si="36"/>
        <v>0</v>
      </c>
      <c r="AG58" s="104">
        <f t="shared" si="36"/>
        <v>464556</v>
      </c>
      <c r="AH58" s="104">
        <f t="shared" si="36"/>
        <v>0</v>
      </c>
      <c r="AI58" s="164"/>
      <c r="AJ58" s="165"/>
    </row>
    <row r="59" ht="15.75" customHeight="1">
      <c r="A59" s="11" t="s">
        <v>57</v>
      </c>
      <c r="B59" s="108">
        <f>2468559*58.33%</f>
        <v>1439910.465</v>
      </c>
      <c r="C59" s="108">
        <f t="shared" si="16"/>
        <v>0</v>
      </c>
      <c r="D59" s="104">
        <v>0.0</v>
      </c>
      <c r="E59" s="104">
        <v>0.0</v>
      </c>
      <c r="F59" s="104">
        <v>0.0</v>
      </c>
      <c r="G59" s="104">
        <v>0.0</v>
      </c>
      <c r="H59" s="104">
        <v>0.0</v>
      </c>
      <c r="I59" s="104">
        <v>0.0</v>
      </c>
      <c r="J59" s="104">
        <v>0.0</v>
      </c>
      <c r="K59" s="104">
        <v>0.0</v>
      </c>
      <c r="L59" s="104">
        <v>0.0</v>
      </c>
      <c r="M59" s="104">
        <v>0.0</v>
      </c>
      <c r="N59" s="104">
        <v>0.0</v>
      </c>
      <c r="O59" s="104">
        <v>0.0</v>
      </c>
      <c r="P59" s="104">
        <v>0.0</v>
      </c>
      <c r="Q59" s="104">
        <v>0.0</v>
      </c>
      <c r="R59" s="104">
        <v>0.0</v>
      </c>
      <c r="S59" s="104">
        <v>0.0</v>
      </c>
      <c r="T59" s="104">
        <v>0.0</v>
      </c>
      <c r="U59" s="104">
        <v>0.0</v>
      </c>
      <c r="V59" s="104">
        <v>0.0</v>
      </c>
      <c r="W59" s="104">
        <v>0.0</v>
      </c>
      <c r="X59" s="104">
        <v>0.0</v>
      </c>
      <c r="Y59" s="104">
        <v>0.0</v>
      </c>
      <c r="Z59" s="104">
        <v>0.0</v>
      </c>
      <c r="AA59" s="104">
        <v>0.0</v>
      </c>
      <c r="AB59" s="104">
        <v>0.0</v>
      </c>
      <c r="AC59" s="104">
        <v>0.0</v>
      </c>
      <c r="AD59" s="104">
        <v>0.0</v>
      </c>
      <c r="AE59" s="104">
        <v>0.0</v>
      </c>
      <c r="AF59" s="104">
        <v>0.0</v>
      </c>
      <c r="AG59" s="104">
        <v>0.0</v>
      </c>
      <c r="AH59" s="104">
        <v>0.0</v>
      </c>
      <c r="AI59" s="164"/>
      <c r="AJ59" s="165"/>
    </row>
    <row r="60" ht="15.75" customHeight="1">
      <c r="A60" s="11" t="s">
        <v>58</v>
      </c>
      <c r="B60" s="109">
        <v>5534943.09</v>
      </c>
      <c r="C60" s="108">
        <f t="shared" si="16"/>
        <v>0</v>
      </c>
      <c r="D60" s="104">
        <v>0.0</v>
      </c>
      <c r="E60" s="104">
        <v>0.0</v>
      </c>
      <c r="F60" s="104">
        <v>0.0</v>
      </c>
      <c r="G60" s="104">
        <v>0.0</v>
      </c>
      <c r="H60" s="104">
        <v>0.0</v>
      </c>
      <c r="I60" s="104">
        <v>0.0</v>
      </c>
      <c r="J60" s="104">
        <v>0.0</v>
      </c>
      <c r="K60" s="104">
        <v>0.0</v>
      </c>
      <c r="L60" s="104">
        <v>0.0</v>
      </c>
      <c r="M60" s="104">
        <v>0.0</v>
      </c>
      <c r="N60" s="104">
        <v>0.0</v>
      </c>
      <c r="O60" s="104">
        <v>0.0</v>
      </c>
      <c r="P60" s="104">
        <v>0.0</v>
      </c>
      <c r="Q60" s="104">
        <v>0.0</v>
      </c>
      <c r="R60" s="104">
        <v>0.0</v>
      </c>
      <c r="S60" s="104">
        <v>0.0</v>
      </c>
      <c r="T60" s="104">
        <v>0.0</v>
      </c>
      <c r="U60" s="104">
        <v>0.0</v>
      </c>
      <c r="V60" s="104">
        <v>0.0</v>
      </c>
      <c r="W60" s="104">
        <v>0.0</v>
      </c>
      <c r="X60" s="104">
        <v>0.0</v>
      </c>
      <c r="Y60" s="104">
        <v>0.0</v>
      </c>
      <c r="Z60" s="104">
        <v>0.0</v>
      </c>
      <c r="AA60" s="104">
        <v>0.0</v>
      </c>
      <c r="AB60" s="104">
        <v>0.0</v>
      </c>
      <c r="AC60" s="104">
        <v>0.0</v>
      </c>
      <c r="AD60" s="104">
        <v>0.0</v>
      </c>
      <c r="AE60" s="104">
        <v>0.0</v>
      </c>
      <c r="AF60" s="104">
        <v>0.0</v>
      </c>
      <c r="AG60" s="104">
        <v>0.0</v>
      </c>
      <c r="AH60" s="104">
        <v>0.0</v>
      </c>
      <c r="AI60" s="164"/>
      <c r="AJ60" s="165"/>
    </row>
    <row r="61" ht="15.75" customHeight="1">
      <c r="A61" s="11" t="s">
        <v>59</v>
      </c>
      <c r="B61" s="108">
        <f>B109</f>
        <v>3748253.54</v>
      </c>
      <c r="C61" s="108">
        <f t="shared" si="16"/>
        <v>0</v>
      </c>
      <c r="D61" s="104">
        <v>0.0</v>
      </c>
      <c r="E61" s="104">
        <v>0.0</v>
      </c>
      <c r="F61" s="104">
        <v>0.0</v>
      </c>
      <c r="G61" s="104">
        <v>0.0</v>
      </c>
      <c r="H61" s="104">
        <v>0.0</v>
      </c>
      <c r="I61" s="104">
        <v>0.0</v>
      </c>
      <c r="J61" s="104">
        <v>0.0</v>
      </c>
      <c r="K61" s="104">
        <v>0.0</v>
      </c>
      <c r="L61" s="104">
        <v>0.0</v>
      </c>
      <c r="M61" s="104">
        <v>0.0</v>
      </c>
      <c r="N61" s="104">
        <v>0.0</v>
      </c>
      <c r="O61" s="104">
        <v>0.0</v>
      </c>
      <c r="P61" s="104">
        <v>0.0</v>
      </c>
      <c r="Q61" s="104">
        <v>0.0</v>
      </c>
      <c r="R61" s="104">
        <v>0.0</v>
      </c>
      <c r="S61" s="104">
        <v>0.0</v>
      </c>
      <c r="T61" s="104">
        <v>0.0</v>
      </c>
      <c r="U61" s="104">
        <v>0.0</v>
      </c>
      <c r="V61" s="104">
        <v>0.0</v>
      </c>
      <c r="W61" s="104">
        <v>0.0</v>
      </c>
      <c r="X61" s="104">
        <v>0.0</v>
      </c>
      <c r="Y61" s="104">
        <v>0.0</v>
      </c>
      <c r="Z61" s="104">
        <v>0.0</v>
      </c>
      <c r="AA61" s="104">
        <v>0.0</v>
      </c>
      <c r="AB61" s="104">
        <v>0.0</v>
      </c>
      <c r="AC61" s="104">
        <v>0.0</v>
      </c>
      <c r="AD61" s="104">
        <v>0.0</v>
      </c>
      <c r="AE61" s="104">
        <v>0.0</v>
      </c>
      <c r="AF61" s="104">
        <v>0.0</v>
      </c>
      <c r="AG61" s="104">
        <v>0.0</v>
      </c>
      <c r="AH61" s="104">
        <v>0.0</v>
      </c>
      <c r="AI61" s="164"/>
      <c r="AJ61" s="165"/>
    </row>
    <row r="62" ht="15.75" customHeight="1">
      <c r="A62" s="11" t="s">
        <v>60</v>
      </c>
      <c r="B62" s="108">
        <f>SUM(D62:AH62)</f>
        <v>0</v>
      </c>
      <c r="C62" s="108">
        <f t="shared" si="16"/>
        <v>0</v>
      </c>
      <c r="D62" s="104">
        <v>0.0</v>
      </c>
      <c r="E62" s="104">
        <v>0.0</v>
      </c>
      <c r="F62" s="104">
        <v>0.0</v>
      </c>
      <c r="G62" s="104">
        <v>0.0</v>
      </c>
      <c r="H62" s="104">
        <v>0.0</v>
      </c>
      <c r="I62" s="104">
        <v>0.0</v>
      </c>
      <c r="J62" s="104">
        <v>0.0</v>
      </c>
      <c r="K62" s="104">
        <v>0.0</v>
      </c>
      <c r="L62" s="104">
        <v>0.0</v>
      </c>
      <c r="M62" s="104">
        <v>0.0</v>
      </c>
      <c r="N62" s="104">
        <v>0.0</v>
      </c>
      <c r="O62" s="104">
        <v>0.0</v>
      </c>
      <c r="P62" s="104">
        <v>0.0</v>
      </c>
      <c r="Q62" s="104">
        <v>0.0</v>
      </c>
      <c r="R62" s="104">
        <v>0.0</v>
      </c>
      <c r="S62" s="104">
        <v>0.0</v>
      </c>
      <c r="T62" s="104">
        <v>0.0</v>
      </c>
      <c r="U62" s="104">
        <v>0.0</v>
      </c>
      <c r="V62" s="104">
        <v>0.0</v>
      </c>
      <c r="W62" s="104">
        <v>0.0</v>
      </c>
      <c r="X62" s="104">
        <v>0.0</v>
      </c>
      <c r="Y62" s="104">
        <v>0.0</v>
      </c>
      <c r="Z62" s="104">
        <v>0.0</v>
      </c>
      <c r="AA62" s="104">
        <v>0.0</v>
      </c>
      <c r="AB62" s="104">
        <v>0.0</v>
      </c>
      <c r="AC62" s="104">
        <v>0.0</v>
      </c>
      <c r="AD62" s="104">
        <v>0.0</v>
      </c>
      <c r="AE62" s="104">
        <v>0.0</v>
      </c>
      <c r="AF62" s="104">
        <v>0.0</v>
      </c>
      <c r="AG62" s="104">
        <v>0.0</v>
      </c>
      <c r="AH62" s="104">
        <v>0.0</v>
      </c>
      <c r="AI62" s="164"/>
      <c r="AJ62" s="165"/>
    </row>
    <row r="63" ht="15.75" customHeight="1">
      <c r="A63" s="60" t="s">
        <v>61</v>
      </c>
      <c r="B63" s="108">
        <f>SUM(B58:B62)</f>
        <v>14471360.63</v>
      </c>
      <c r="C63" s="108">
        <f t="shared" si="16"/>
        <v>0</v>
      </c>
      <c r="D63" s="11">
        <f t="shared" ref="D63:AH63" si="37">D62+D61+D60+D59</f>
        <v>0</v>
      </c>
      <c r="E63" s="11">
        <f t="shared" si="37"/>
        <v>0</v>
      </c>
      <c r="F63" s="11">
        <f t="shared" si="37"/>
        <v>0</v>
      </c>
      <c r="G63" s="11">
        <f t="shared" si="37"/>
        <v>0</v>
      </c>
      <c r="H63" s="11">
        <f t="shared" si="37"/>
        <v>0</v>
      </c>
      <c r="I63" s="11">
        <f t="shared" si="37"/>
        <v>0</v>
      </c>
      <c r="J63" s="11">
        <f t="shared" si="37"/>
        <v>0</v>
      </c>
      <c r="K63" s="11">
        <f t="shared" si="37"/>
        <v>0</v>
      </c>
      <c r="L63" s="11">
        <f t="shared" si="37"/>
        <v>0</v>
      </c>
      <c r="M63" s="11">
        <f t="shared" si="37"/>
        <v>0</v>
      </c>
      <c r="N63" s="11">
        <f t="shared" si="37"/>
        <v>0</v>
      </c>
      <c r="O63" s="11">
        <f t="shared" si="37"/>
        <v>0</v>
      </c>
      <c r="P63" s="11">
        <f t="shared" si="37"/>
        <v>0</v>
      </c>
      <c r="Q63" s="11">
        <f t="shared" si="37"/>
        <v>0</v>
      </c>
      <c r="R63" s="11">
        <f t="shared" si="37"/>
        <v>0</v>
      </c>
      <c r="S63" s="11">
        <f t="shared" si="37"/>
        <v>0</v>
      </c>
      <c r="T63" s="11">
        <f t="shared" si="37"/>
        <v>0</v>
      </c>
      <c r="U63" s="11">
        <f t="shared" si="37"/>
        <v>0</v>
      </c>
      <c r="V63" s="11">
        <f t="shared" si="37"/>
        <v>0</v>
      </c>
      <c r="W63" s="11">
        <f t="shared" si="37"/>
        <v>0</v>
      </c>
      <c r="X63" s="11">
        <f t="shared" si="37"/>
        <v>0</v>
      </c>
      <c r="Y63" s="11">
        <f t="shared" si="37"/>
        <v>0</v>
      </c>
      <c r="Z63" s="11">
        <f t="shared" si="37"/>
        <v>0</v>
      </c>
      <c r="AA63" s="11">
        <f t="shared" si="37"/>
        <v>0</v>
      </c>
      <c r="AB63" s="11">
        <f t="shared" si="37"/>
        <v>0</v>
      </c>
      <c r="AC63" s="11">
        <f t="shared" si="37"/>
        <v>0</v>
      </c>
      <c r="AD63" s="11">
        <f t="shared" si="37"/>
        <v>0</v>
      </c>
      <c r="AE63" s="11">
        <f t="shared" si="37"/>
        <v>0</v>
      </c>
      <c r="AF63" s="11">
        <f t="shared" si="37"/>
        <v>0</v>
      </c>
      <c r="AG63" s="11">
        <f t="shared" si="37"/>
        <v>0</v>
      </c>
      <c r="AH63" s="11">
        <f t="shared" si="37"/>
        <v>0</v>
      </c>
      <c r="AI63" s="150"/>
      <c r="AJ63" s="151"/>
    </row>
    <row r="64" ht="15.75" customHeight="1">
      <c r="A64" s="60" t="s">
        <v>62</v>
      </c>
      <c r="B64" s="108">
        <f>B45-(B51+B52+B53+B54+B55+B56+B57+B59+B60+B61+B62)</f>
        <v>15958868.87</v>
      </c>
      <c r="C64" s="108">
        <f t="shared" si="16"/>
        <v>860708.9019</v>
      </c>
      <c r="D64" s="11">
        <f t="shared" ref="D64:AH64" si="38">D45-(D51+D52+D53+D54+D55+D56+D57+D59+D60+D61+D62)</f>
        <v>80634.45</v>
      </c>
      <c r="E64" s="11">
        <f t="shared" si="38"/>
        <v>308162.21</v>
      </c>
      <c r="F64" s="11">
        <f t="shared" si="38"/>
        <v>-1151441</v>
      </c>
      <c r="G64" s="11">
        <f t="shared" si="38"/>
        <v>419807</v>
      </c>
      <c r="H64" s="11">
        <f t="shared" si="38"/>
        <v>317911</v>
      </c>
      <c r="I64" s="11">
        <f t="shared" si="38"/>
        <v>-1640117.64</v>
      </c>
      <c r="J64" s="11">
        <f t="shared" si="38"/>
        <v>2196695.4</v>
      </c>
      <c r="K64" s="11">
        <f t="shared" si="38"/>
        <v>1069613</v>
      </c>
      <c r="L64" s="11">
        <f t="shared" si="38"/>
        <v>1085246</v>
      </c>
      <c r="M64" s="11">
        <f t="shared" si="38"/>
        <v>1095331</v>
      </c>
      <c r="N64" s="11">
        <f t="shared" si="38"/>
        <v>1612348</v>
      </c>
      <c r="O64" s="11">
        <f t="shared" si="38"/>
        <v>522795.62</v>
      </c>
      <c r="P64" s="11">
        <f t="shared" si="38"/>
        <v>-726759</v>
      </c>
      <c r="Q64" s="11">
        <f t="shared" si="38"/>
        <v>2144324.32</v>
      </c>
      <c r="R64" s="11">
        <f t="shared" si="38"/>
        <v>1541129</v>
      </c>
      <c r="S64" s="11">
        <f t="shared" si="38"/>
        <v>1576801.21</v>
      </c>
      <c r="T64" s="11">
        <f t="shared" si="38"/>
        <v>1021702.39</v>
      </c>
      <c r="U64" s="11">
        <f t="shared" si="38"/>
        <v>1865371</v>
      </c>
      <c r="V64" s="11">
        <f t="shared" si="38"/>
        <v>1338712</v>
      </c>
      <c r="W64" s="11">
        <f t="shared" si="38"/>
        <v>1506005</v>
      </c>
      <c r="X64" s="11">
        <f t="shared" si="38"/>
        <v>814608</v>
      </c>
      <c r="Y64" s="11">
        <f t="shared" si="38"/>
        <v>49925</v>
      </c>
      <c r="Z64" s="11">
        <f t="shared" si="38"/>
        <v>82743</v>
      </c>
      <c r="AA64" s="11">
        <f t="shared" si="38"/>
        <v>488960</v>
      </c>
      <c r="AB64" s="11">
        <f t="shared" si="38"/>
        <v>-2858876</v>
      </c>
      <c r="AC64" s="11">
        <f t="shared" si="38"/>
        <v>-2281280</v>
      </c>
      <c r="AD64" s="11">
        <f t="shared" si="38"/>
        <v>3387030</v>
      </c>
      <c r="AE64" s="11">
        <f t="shared" si="38"/>
        <v>1436547</v>
      </c>
      <c r="AF64" s="11">
        <f t="shared" si="38"/>
        <v>7261857</v>
      </c>
      <c r="AG64" s="11">
        <f t="shared" si="38"/>
        <v>2817006</v>
      </c>
      <c r="AH64" s="11">
        <f t="shared" si="38"/>
        <v>-700815</v>
      </c>
      <c r="AI64" s="150"/>
      <c r="AJ64" s="151"/>
    </row>
    <row r="65" ht="15.75" customHeight="1">
      <c r="A65" s="65" t="s">
        <v>63</v>
      </c>
      <c r="B65" s="108">
        <f>B48-B63</f>
        <v>3820717.365</v>
      </c>
      <c r="C65" s="108">
        <f t="shared" si="16"/>
        <v>1128780.452</v>
      </c>
      <c r="D65" s="11">
        <f t="shared" ref="D65:AH65" si="39">D48-D63</f>
        <v>880497</v>
      </c>
      <c r="E65" s="11">
        <f t="shared" si="39"/>
        <v>52560</v>
      </c>
      <c r="F65" s="11">
        <f t="shared" si="39"/>
        <v>-1143657</v>
      </c>
      <c r="G65" s="11">
        <f t="shared" si="39"/>
        <v>204910</v>
      </c>
      <c r="H65" s="11">
        <f t="shared" si="39"/>
        <v>896621</v>
      </c>
      <c r="I65" s="11">
        <f t="shared" si="39"/>
        <v>-587092</v>
      </c>
      <c r="J65" s="11">
        <f t="shared" si="39"/>
        <v>518161</v>
      </c>
      <c r="K65" s="11">
        <f t="shared" si="39"/>
        <v>1444930</v>
      </c>
      <c r="L65" s="11">
        <f t="shared" si="39"/>
        <v>973477</v>
      </c>
      <c r="M65" s="11">
        <f t="shared" si="39"/>
        <v>931223</v>
      </c>
      <c r="N65" s="11">
        <f t="shared" si="39"/>
        <v>2363747</v>
      </c>
      <c r="O65" s="11">
        <f t="shared" si="39"/>
        <v>-819997</v>
      </c>
      <c r="P65" s="11">
        <f t="shared" si="39"/>
        <v>934027</v>
      </c>
      <c r="Q65" s="11">
        <f t="shared" si="39"/>
        <v>1606048</v>
      </c>
      <c r="R65" s="11">
        <f t="shared" si="39"/>
        <v>885502</v>
      </c>
      <c r="S65" s="11">
        <f t="shared" si="39"/>
        <v>2112821</v>
      </c>
      <c r="T65" s="11">
        <f t="shared" si="39"/>
        <v>769676</v>
      </c>
      <c r="U65" s="11">
        <f t="shared" si="39"/>
        <v>818621</v>
      </c>
      <c r="V65" s="11">
        <f t="shared" si="39"/>
        <v>1731727</v>
      </c>
      <c r="W65" s="11">
        <f t="shared" si="39"/>
        <v>795403</v>
      </c>
      <c r="X65" s="11">
        <f t="shared" si="39"/>
        <v>1399207</v>
      </c>
      <c r="Y65" s="11">
        <f t="shared" si="39"/>
        <v>1951516</v>
      </c>
      <c r="Z65" s="11">
        <f t="shared" si="39"/>
        <v>398290</v>
      </c>
      <c r="AA65" s="11">
        <f t="shared" si="39"/>
        <v>2318355</v>
      </c>
      <c r="AB65" s="11">
        <f t="shared" si="39"/>
        <v>2524046</v>
      </c>
      <c r="AC65" s="11">
        <f t="shared" si="39"/>
        <v>135371</v>
      </c>
      <c r="AD65" s="11">
        <f t="shared" si="39"/>
        <v>969419</v>
      </c>
      <c r="AE65" s="11">
        <f t="shared" si="39"/>
        <v>2234453</v>
      </c>
      <c r="AF65" s="11">
        <f t="shared" si="39"/>
        <v>3804410</v>
      </c>
      <c r="AG65" s="11">
        <f t="shared" si="39"/>
        <v>2757426</v>
      </c>
      <c r="AH65" s="11">
        <f t="shared" si="39"/>
        <v>1130496</v>
      </c>
      <c r="AI65" s="150"/>
      <c r="AJ65" s="151"/>
    </row>
    <row r="66" ht="15.75" customHeight="1">
      <c r="A66" s="172" t="s">
        <v>64</v>
      </c>
      <c r="B66" s="173"/>
      <c r="C66" s="174"/>
      <c r="D66" s="172"/>
      <c r="E66" s="172"/>
      <c r="F66" s="172"/>
      <c r="G66" s="172"/>
      <c r="H66" s="172"/>
      <c r="I66" s="172"/>
      <c r="J66" s="172"/>
      <c r="K66" s="172"/>
      <c r="L66" s="175" t="s">
        <v>275</v>
      </c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0"/>
      <c r="AI66" s="177"/>
      <c r="AJ66" s="178"/>
    </row>
    <row r="67" ht="15.75" customHeight="1">
      <c r="A67" s="65" t="s">
        <v>65</v>
      </c>
      <c r="B67" s="92"/>
      <c r="C67" s="92"/>
      <c r="D67" s="60"/>
      <c r="E67" s="60"/>
      <c r="F67" s="60"/>
      <c r="G67" s="60"/>
      <c r="H67" s="60"/>
      <c r="I67" s="60"/>
      <c r="J67" s="60"/>
      <c r="K67" s="60"/>
      <c r="L67" s="179" t="s">
        <v>276</v>
      </c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0"/>
      <c r="AI67" s="180"/>
      <c r="AJ67" s="181"/>
    </row>
    <row r="68" ht="15.75" customHeight="1">
      <c r="A68" s="172" t="s">
        <v>64</v>
      </c>
      <c r="B68" s="92"/>
      <c r="C68" s="92"/>
      <c r="D68" s="60"/>
      <c r="E68" s="60"/>
      <c r="F68" s="60"/>
      <c r="G68" s="60"/>
      <c r="H68" s="60"/>
      <c r="I68" s="60"/>
      <c r="J68" s="60"/>
      <c r="K68" s="60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3" t="s">
        <v>277</v>
      </c>
      <c r="Z68" s="176"/>
      <c r="AA68" s="176"/>
      <c r="AB68" s="176"/>
      <c r="AC68" s="176"/>
      <c r="AD68" s="176"/>
      <c r="AE68" s="176"/>
      <c r="AF68" s="176"/>
      <c r="AG68" s="176"/>
      <c r="AH68" s="10"/>
      <c r="AI68" s="180"/>
      <c r="AJ68" s="181"/>
    </row>
    <row r="69" ht="15.75" customHeight="1">
      <c r="A69" s="65" t="s">
        <v>65</v>
      </c>
      <c r="B69" s="92"/>
      <c r="C69" s="92"/>
      <c r="D69" s="60"/>
      <c r="E69" s="60"/>
      <c r="F69" s="60"/>
      <c r="G69" s="60"/>
      <c r="H69" s="60"/>
      <c r="I69" s="60"/>
      <c r="J69" s="60"/>
      <c r="K69" s="60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79" t="s">
        <v>278</v>
      </c>
      <c r="Z69" s="176"/>
      <c r="AA69" s="176"/>
      <c r="AB69" s="176"/>
      <c r="AC69" s="176"/>
      <c r="AD69" s="176"/>
      <c r="AE69" s="176"/>
      <c r="AF69" s="176"/>
      <c r="AG69" s="176"/>
      <c r="AH69" s="10"/>
      <c r="AI69" s="180"/>
      <c r="AJ69" s="181"/>
    </row>
    <row r="70" ht="15.75" customHeight="1">
      <c r="A70" s="172" t="s">
        <v>64</v>
      </c>
      <c r="B70" s="92"/>
      <c r="C70" s="92"/>
      <c r="D70" s="60"/>
      <c r="E70" s="60"/>
      <c r="F70" s="60"/>
      <c r="G70" s="60"/>
      <c r="H70" s="60"/>
      <c r="I70" s="60"/>
      <c r="J70" s="60"/>
      <c r="K70" s="60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75" t="s">
        <v>279</v>
      </c>
      <c r="Z70" s="176"/>
      <c r="AA70" s="176"/>
      <c r="AB70" s="176"/>
      <c r="AC70" s="176"/>
      <c r="AD70" s="176"/>
      <c r="AE70" s="176"/>
      <c r="AF70" s="176"/>
      <c r="AG70" s="176"/>
      <c r="AH70" s="10"/>
      <c r="AI70" s="177"/>
      <c r="AJ70" s="178"/>
    </row>
    <row r="71" ht="15.75" customHeight="1">
      <c r="A71" s="65" t="s">
        <v>65</v>
      </c>
      <c r="B71" s="92"/>
      <c r="C71" s="92"/>
      <c r="D71" s="60"/>
      <c r="E71" s="60"/>
      <c r="F71" s="60"/>
      <c r="G71" s="60"/>
      <c r="H71" s="60"/>
      <c r="I71" s="60"/>
      <c r="J71" s="60"/>
      <c r="K71" s="60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79" t="s">
        <v>280</v>
      </c>
      <c r="Z71" s="176"/>
      <c r="AA71" s="176"/>
      <c r="AB71" s="176"/>
      <c r="AC71" s="176"/>
      <c r="AD71" s="176"/>
      <c r="AE71" s="176"/>
      <c r="AF71" s="176"/>
      <c r="AG71" s="176"/>
      <c r="AH71" s="10"/>
      <c r="AI71" s="180"/>
      <c r="AJ71" s="181"/>
    </row>
    <row r="72" ht="15.75" customHeight="1">
      <c r="A72" s="172" t="s">
        <v>64</v>
      </c>
      <c r="B72" s="92"/>
      <c r="C72" s="92"/>
      <c r="D72" s="60"/>
      <c r="E72" s="60"/>
      <c r="F72" s="60"/>
      <c r="G72" s="60"/>
      <c r="H72" s="60"/>
      <c r="I72" s="60"/>
      <c r="J72" s="60"/>
      <c r="K72" s="60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4"/>
      <c r="AD72" s="175" t="s">
        <v>281</v>
      </c>
      <c r="AE72" s="176"/>
      <c r="AF72" s="176"/>
      <c r="AG72" s="176"/>
      <c r="AH72" s="10"/>
      <c r="AI72" s="177"/>
      <c r="AJ72" s="178"/>
    </row>
    <row r="73" ht="15.75" customHeight="1">
      <c r="A73" s="65" t="s">
        <v>65</v>
      </c>
      <c r="B73" s="92"/>
      <c r="C73" s="92"/>
      <c r="D73" s="60"/>
      <c r="E73" s="60"/>
      <c r="F73" s="60"/>
      <c r="G73" s="60"/>
      <c r="H73" s="60"/>
      <c r="I73" s="60"/>
      <c r="J73" s="60"/>
      <c r="K73" s="60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4"/>
      <c r="AD73" s="179" t="s">
        <v>282</v>
      </c>
      <c r="AE73" s="176"/>
      <c r="AF73" s="176"/>
      <c r="AG73" s="176"/>
      <c r="AH73" s="10"/>
      <c r="AI73" s="180"/>
      <c r="AJ73" s="181"/>
    </row>
    <row r="74" ht="15.75" customHeight="1">
      <c r="A74" s="65" t="s">
        <v>283</v>
      </c>
      <c r="B74" s="92"/>
      <c r="C74" s="92"/>
      <c r="D74" s="60"/>
      <c r="E74" s="60"/>
      <c r="F74" s="60"/>
      <c r="G74" s="60"/>
      <c r="H74" s="60"/>
      <c r="I74" s="60"/>
      <c r="J74" s="60"/>
      <c r="K74" s="60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4"/>
      <c r="AD74" s="175" t="s">
        <v>284</v>
      </c>
      <c r="AE74" s="176"/>
      <c r="AF74" s="176"/>
      <c r="AG74" s="176"/>
      <c r="AH74" s="10"/>
      <c r="AI74" s="177"/>
      <c r="AJ74" s="178"/>
    </row>
    <row r="75" ht="15.75" customHeight="1">
      <c r="A75" s="65"/>
      <c r="B75" s="92"/>
      <c r="C75" s="92"/>
      <c r="D75" s="60"/>
      <c r="E75" s="60"/>
      <c r="F75" s="60"/>
      <c r="G75" s="60"/>
      <c r="H75" s="60"/>
      <c r="I75" s="60"/>
      <c r="J75" s="60"/>
      <c r="K75" s="60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4"/>
      <c r="AD75" s="179" t="s">
        <v>280</v>
      </c>
      <c r="AE75" s="176"/>
      <c r="AF75" s="176"/>
      <c r="AG75" s="176"/>
      <c r="AH75" s="10"/>
      <c r="AI75" s="180"/>
      <c r="AJ75" s="181"/>
    </row>
    <row r="76" ht="15.75" customHeight="1">
      <c r="A76" s="65"/>
      <c r="B76" s="92"/>
      <c r="C76" s="92"/>
      <c r="D76" s="60"/>
      <c r="E76" s="60"/>
      <c r="F76" s="60"/>
      <c r="G76" s="60"/>
      <c r="H76" s="60"/>
      <c r="I76" s="60"/>
      <c r="J76" s="60"/>
      <c r="K76" s="60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4"/>
      <c r="AD76" s="182"/>
      <c r="AE76" s="182"/>
      <c r="AF76" s="182"/>
      <c r="AG76" s="175" t="s">
        <v>285</v>
      </c>
      <c r="AH76" s="10"/>
      <c r="AI76" s="180"/>
      <c r="AJ76" s="181"/>
    </row>
    <row r="77" ht="15.75" customHeight="1">
      <c r="A77" s="65"/>
      <c r="B77" s="92"/>
      <c r="C77" s="92"/>
      <c r="D77" s="60"/>
      <c r="E77" s="60"/>
      <c r="F77" s="60"/>
      <c r="G77" s="60"/>
      <c r="H77" s="60"/>
      <c r="I77" s="60"/>
      <c r="J77" s="60"/>
      <c r="K77" s="60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4"/>
      <c r="AD77" s="182"/>
      <c r="AE77" s="182"/>
      <c r="AF77" s="182"/>
      <c r="AG77" s="179" t="s">
        <v>280</v>
      </c>
      <c r="AH77" s="10"/>
      <c r="AI77" s="180"/>
      <c r="AJ77" s="181"/>
    </row>
    <row r="78" ht="15.75" customHeight="1">
      <c r="A78" s="65"/>
      <c r="B78" s="92"/>
      <c r="C78" s="92"/>
      <c r="D78" s="60"/>
      <c r="E78" s="60"/>
      <c r="F78" s="60"/>
      <c r="G78" s="60"/>
      <c r="H78" s="60"/>
      <c r="I78" s="60"/>
      <c r="J78" s="60"/>
      <c r="K78" s="60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4"/>
      <c r="AD78" s="182"/>
      <c r="AE78" s="182"/>
      <c r="AF78" s="182"/>
      <c r="AG78" s="182"/>
      <c r="AH78" s="183" t="s">
        <v>286</v>
      </c>
      <c r="AI78" s="180"/>
      <c r="AJ78" s="181"/>
    </row>
    <row r="79" ht="15.75" customHeight="1">
      <c r="A79" s="65"/>
      <c r="B79" s="92"/>
      <c r="C79" s="92"/>
      <c r="D79" s="60"/>
      <c r="E79" s="60"/>
      <c r="F79" s="60"/>
      <c r="G79" s="60"/>
      <c r="H79" s="60"/>
      <c r="I79" s="60"/>
      <c r="J79" s="60"/>
      <c r="K79" s="60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4"/>
      <c r="AD79" s="182"/>
      <c r="AE79" s="182"/>
      <c r="AF79" s="182"/>
      <c r="AG79" s="182"/>
      <c r="AH79" s="179" t="s">
        <v>287</v>
      </c>
      <c r="AI79" s="180"/>
      <c r="AJ79" s="181"/>
    </row>
    <row r="80" ht="15.75" customHeight="1">
      <c r="A80" s="56" t="s">
        <v>66</v>
      </c>
      <c r="B80" s="56">
        <f t="shared" ref="B80:B82" si="40">SUM(D80:AH80)</f>
        <v>0</v>
      </c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144"/>
      <c r="AI80" s="145"/>
      <c r="AJ80" s="146"/>
    </row>
    <row r="81" ht="15.75" customHeight="1">
      <c r="A81" s="60" t="s">
        <v>67</v>
      </c>
      <c r="B81" s="108">
        <f t="shared" si="40"/>
        <v>530986.7616</v>
      </c>
      <c r="C81" s="108">
        <f t="shared" ref="C81:C88" si="42">AVERAGE(D81:AH81)</f>
        <v>17128.60521</v>
      </c>
      <c r="D81" s="11">
        <f t="shared" ref="D81:AH81" si="41">D64/D4</f>
        <v>2443.468182</v>
      </c>
      <c r="E81" s="11">
        <f t="shared" si="41"/>
        <v>8328.708378</v>
      </c>
      <c r="F81" s="11">
        <f t="shared" si="41"/>
        <v>-39704.86207</v>
      </c>
      <c r="G81" s="11">
        <f t="shared" si="41"/>
        <v>7496.553571</v>
      </c>
      <c r="H81" s="11">
        <f t="shared" si="41"/>
        <v>8592.189189</v>
      </c>
      <c r="I81" s="11">
        <f t="shared" si="41"/>
        <v>-46860.504</v>
      </c>
      <c r="J81" s="11">
        <f t="shared" si="41"/>
        <v>57807.77368</v>
      </c>
      <c r="K81" s="11">
        <f t="shared" si="41"/>
        <v>34503.64516</v>
      </c>
      <c r="L81" s="11">
        <f t="shared" si="41"/>
        <v>31007.02857</v>
      </c>
      <c r="M81" s="11">
        <f t="shared" si="41"/>
        <v>25472.81395</v>
      </c>
      <c r="N81" s="11">
        <f t="shared" si="41"/>
        <v>50385.875</v>
      </c>
      <c r="O81" s="11">
        <f t="shared" si="41"/>
        <v>13757.77947</v>
      </c>
      <c r="P81" s="11">
        <f t="shared" si="41"/>
        <v>-15799.1087</v>
      </c>
      <c r="Q81" s="11">
        <f t="shared" si="41"/>
        <v>36344.48</v>
      </c>
      <c r="R81" s="11">
        <f t="shared" si="41"/>
        <v>21404.56944</v>
      </c>
      <c r="S81" s="11">
        <f t="shared" si="41"/>
        <v>18997.60494</v>
      </c>
      <c r="T81" s="11">
        <f t="shared" si="41"/>
        <v>16749.21951</v>
      </c>
      <c r="U81" s="11">
        <f t="shared" si="41"/>
        <v>64323.13793</v>
      </c>
      <c r="V81" s="11">
        <f t="shared" si="41"/>
        <v>44623.73333</v>
      </c>
      <c r="W81" s="11">
        <f t="shared" si="41"/>
        <v>41833.47222</v>
      </c>
      <c r="X81" s="11">
        <f t="shared" si="41"/>
        <v>18944.37209</v>
      </c>
      <c r="Y81" s="11">
        <f t="shared" si="41"/>
        <v>430.387931</v>
      </c>
      <c r="Z81" s="11">
        <f t="shared" si="41"/>
        <v>397.8028846</v>
      </c>
      <c r="AA81" s="11">
        <f t="shared" si="41"/>
        <v>2794.057143</v>
      </c>
      <c r="AB81" s="11">
        <f t="shared" si="41"/>
        <v>-13549.17536</v>
      </c>
      <c r="AC81" s="11">
        <f t="shared" si="41"/>
        <v>-14623.58974</v>
      </c>
      <c r="AD81" s="11">
        <f t="shared" si="41"/>
        <v>24193.07143</v>
      </c>
      <c r="AE81" s="11">
        <f t="shared" si="41"/>
        <v>10801.10526</v>
      </c>
      <c r="AF81" s="11">
        <f t="shared" si="41"/>
        <v>105244.3043</v>
      </c>
      <c r="AG81" s="11">
        <f t="shared" si="41"/>
        <v>17176.86585</v>
      </c>
      <c r="AH81" s="11">
        <f t="shared" si="41"/>
        <v>-2530.018051</v>
      </c>
      <c r="AI81" s="150"/>
      <c r="AJ81" s="151"/>
    </row>
    <row r="82" ht="15.75" customHeight="1">
      <c r="A82" s="60" t="s">
        <v>68</v>
      </c>
      <c r="B82" s="108">
        <f t="shared" si="40"/>
        <v>404607.5268</v>
      </c>
      <c r="C82" s="108">
        <f t="shared" si="42"/>
        <v>13051.8557</v>
      </c>
      <c r="D82" s="11">
        <f t="shared" ref="D82:AH82" si="43">D64/D25</f>
        <v>3665.202273</v>
      </c>
      <c r="E82" s="11">
        <f t="shared" si="43"/>
        <v>17120.12278</v>
      </c>
      <c r="F82" s="11">
        <f t="shared" si="43"/>
        <v>-54830.52381</v>
      </c>
      <c r="G82" s="11">
        <f t="shared" si="43"/>
        <v>27987.13333</v>
      </c>
      <c r="H82" s="11">
        <f t="shared" si="43"/>
        <v>8366.078947</v>
      </c>
      <c r="I82" s="11">
        <f t="shared" si="43"/>
        <v>-74550.80182</v>
      </c>
      <c r="J82" s="11">
        <f t="shared" si="43"/>
        <v>75748.11724</v>
      </c>
      <c r="K82" s="11">
        <f t="shared" si="43"/>
        <v>30560.37143</v>
      </c>
      <c r="L82" s="11">
        <f t="shared" si="43"/>
        <v>37422.27586</v>
      </c>
      <c r="M82" s="11">
        <f t="shared" si="43"/>
        <v>19915.10909</v>
      </c>
      <c r="N82" s="11">
        <f t="shared" si="43"/>
        <v>36644.27273</v>
      </c>
      <c r="O82" s="11">
        <f t="shared" si="43"/>
        <v>14129.61135</v>
      </c>
      <c r="P82" s="11">
        <f t="shared" si="43"/>
        <v>-16901.37209</v>
      </c>
      <c r="Q82" s="11">
        <f t="shared" si="43"/>
        <v>56429.58737</v>
      </c>
      <c r="R82" s="11">
        <f t="shared" si="43"/>
        <v>25685.48333</v>
      </c>
      <c r="S82" s="11">
        <f t="shared" si="43"/>
        <v>21308.12446</v>
      </c>
      <c r="T82" s="11">
        <f t="shared" si="43"/>
        <v>14595.74843</v>
      </c>
      <c r="U82" s="11">
        <f t="shared" si="43"/>
        <v>31616.45763</v>
      </c>
      <c r="V82" s="11">
        <f t="shared" si="43"/>
        <v>17849.49333</v>
      </c>
      <c r="W82" s="11">
        <f t="shared" si="43"/>
        <v>22818.25758</v>
      </c>
      <c r="X82" s="11">
        <f t="shared" si="43"/>
        <v>11805.91304</v>
      </c>
      <c r="Y82" s="11">
        <f t="shared" si="43"/>
        <v>703.1690141</v>
      </c>
      <c r="Z82" s="11">
        <f t="shared" si="43"/>
        <v>827.43</v>
      </c>
      <c r="AA82" s="11">
        <f t="shared" si="43"/>
        <v>5146.947368</v>
      </c>
      <c r="AB82" s="11">
        <f t="shared" si="43"/>
        <v>-23627.07438</v>
      </c>
      <c r="AC82" s="11">
        <f t="shared" si="43"/>
        <v>-15732.96552</v>
      </c>
      <c r="AD82" s="11">
        <f t="shared" si="43"/>
        <v>31073.66972</v>
      </c>
      <c r="AE82" s="11">
        <f t="shared" si="43"/>
        <v>11311.3937</v>
      </c>
      <c r="AF82" s="11">
        <f t="shared" si="43"/>
        <v>52243.57554</v>
      </c>
      <c r="AG82" s="11">
        <f t="shared" si="43"/>
        <v>18057.73077</v>
      </c>
      <c r="AH82" s="11">
        <f t="shared" si="43"/>
        <v>-2781.011905</v>
      </c>
      <c r="AI82" s="150"/>
      <c r="AJ82" s="151"/>
    </row>
    <row r="83" ht="15.75" customHeight="1">
      <c r="A83" s="12" t="s">
        <v>69</v>
      </c>
      <c r="B83" s="68">
        <f t="shared" ref="B83:B88" si="45">C83</f>
        <v>0.1653068759</v>
      </c>
      <c r="C83" s="68">
        <f t="shared" si="42"/>
        <v>0.1653068759</v>
      </c>
      <c r="D83" s="12">
        <f t="shared" ref="D83:AH83" si="44">D18/D4</f>
        <v>0.2424242424</v>
      </c>
      <c r="E83" s="12">
        <f t="shared" si="44"/>
        <v>0.2432432432</v>
      </c>
      <c r="F83" s="12">
        <f t="shared" si="44"/>
        <v>0.1724137931</v>
      </c>
      <c r="G83" s="12">
        <f t="shared" si="44"/>
        <v>0.1785714286</v>
      </c>
      <c r="H83" s="12">
        <f t="shared" si="44"/>
        <v>0.1621621622</v>
      </c>
      <c r="I83" s="12">
        <f t="shared" si="44"/>
        <v>0.1428571429</v>
      </c>
      <c r="J83" s="12">
        <f t="shared" si="44"/>
        <v>0.1842105263</v>
      </c>
      <c r="K83" s="12">
        <f t="shared" si="44"/>
        <v>0.1935483871</v>
      </c>
      <c r="L83" s="12">
        <f t="shared" si="44"/>
        <v>0.1714285714</v>
      </c>
      <c r="M83" s="12">
        <f t="shared" si="44"/>
        <v>0.2093023256</v>
      </c>
      <c r="N83" s="12">
        <f t="shared" si="44"/>
        <v>0.15625</v>
      </c>
      <c r="O83" s="12">
        <f t="shared" si="44"/>
        <v>0.2368421053</v>
      </c>
      <c r="P83" s="12">
        <f t="shared" si="44"/>
        <v>0.04347826087</v>
      </c>
      <c r="Q83" s="12">
        <f t="shared" si="44"/>
        <v>0.1694915254</v>
      </c>
      <c r="R83" s="12">
        <f t="shared" si="44"/>
        <v>0.1944444444</v>
      </c>
      <c r="S83" s="12">
        <f t="shared" si="44"/>
        <v>0.1807228916</v>
      </c>
      <c r="T83" s="12">
        <f t="shared" si="44"/>
        <v>0.1475409836</v>
      </c>
      <c r="U83" s="12">
        <f t="shared" si="44"/>
        <v>0.275862069</v>
      </c>
      <c r="V83" s="12">
        <f t="shared" si="44"/>
        <v>0.2333333333</v>
      </c>
      <c r="W83" s="12">
        <f t="shared" si="44"/>
        <v>0.1944444444</v>
      </c>
      <c r="X83" s="12">
        <f t="shared" si="44"/>
        <v>0.2093023256</v>
      </c>
      <c r="Y83" s="12">
        <f t="shared" si="44"/>
        <v>0.0775862069</v>
      </c>
      <c r="Z83" s="12">
        <f t="shared" si="44"/>
        <v>0.09615384615</v>
      </c>
      <c r="AA83" s="12">
        <f t="shared" si="44"/>
        <v>0.08</v>
      </c>
      <c r="AB83" s="12">
        <f t="shared" si="44"/>
        <v>0.0663507109</v>
      </c>
      <c r="AC83" s="12">
        <f t="shared" si="44"/>
        <v>0.1346153846</v>
      </c>
      <c r="AD83" s="12">
        <f t="shared" si="44"/>
        <v>0.1857142857</v>
      </c>
      <c r="AE83" s="12">
        <f t="shared" si="44"/>
        <v>0.06015037594</v>
      </c>
      <c r="AF83" s="12">
        <f t="shared" si="44"/>
        <v>0.1304347826</v>
      </c>
      <c r="AG83" s="12">
        <f t="shared" si="44"/>
        <v>0.1097560976</v>
      </c>
      <c r="AH83" s="12">
        <f t="shared" si="44"/>
        <v>0.2418772563</v>
      </c>
      <c r="AI83" s="155"/>
      <c r="AJ83" s="156"/>
    </row>
    <row r="84" ht="15.75" customHeight="1">
      <c r="A84" s="12" t="s">
        <v>70</v>
      </c>
      <c r="B84" s="68">
        <f t="shared" si="45"/>
        <v>0.4138234078</v>
      </c>
      <c r="C84" s="68">
        <f t="shared" si="42"/>
        <v>0.4138234078</v>
      </c>
      <c r="D84" s="12">
        <f t="shared" ref="D84:AH84" si="46">D12/D10</f>
        <v>0.3333333333</v>
      </c>
      <c r="E84" s="12">
        <f t="shared" si="46"/>
        <v>1</v>
      </c>
      <c r="F84" s="12">
        <f t="shared" si="46"/>
        <v>0</v>
      </c>
      <c r="G84" s="12">
        <f t="shared" si="46"/>
        <v>0.6666666667</v>
      </c>
      <c r="H84" s="12">
        <f t="shared" si="46"/>
        <v>0</v>
      </c>
      <c r="I84" s="12">
        <f t="shared" si="46"/>
        <v>0</v>
      </c>
      <c r="J84" s="12">
        <f t="shared" si="46"/>
        <v>1</v>
      </c>
      <c r="K84" s="12">
        <f t="shared" si="46"/>
        <v>0</v>
      </c>
      <c r="L84" s="12">
        <f t="shared" si="46"/>
        <v>0</v>
      </c>
      <c r="M84" s="12">
        <f t="shared" si="46"/>
        <v>0.5</v>
      </c>
      <c r="N84" s="12">
        <f t="shared" si="46"/>
        <v>0.5</v>
      </c>
      <c r="O84" s="12">
        <f t="shared" si="46"/>
        <v>0.5</v>
      </c>
      <c r="P84" s="12">
        <f t="shared" si="46"/>
        <v>1</v>
      </c>
      <c r="Q84" s="12">
        <f t="shared" si="46"/>
        <v>0.125</v>
      </c>
      <c r="R84" s="12">
        <f t="shared" si="46"/>
        <v>0.2222222222</v>
      </c>
      <c r="S84" s="12">
        <f t="shared" si="46"/>
        <v>0.4444444444</v>
      </c>
      <c r="T84" s="12">
        <f t="shared" si="46"/>
        <v>0.4</v>
      </c>
      <c r="U84" s="12">
        <f t="shared" si="46"/>
        <v>0.3333333333</v>
      </c>
      <c r="V84" s="12">
        <f t="shared" si="46"/>
        <v>2</v>
      </c>
      <c r="W84" s="12">
        <f t="shared" si="46"/>
        <v>0.4</v>
      </c>
      <c r="X84" s="12">
        <f t="shared" si="46"/>
        <v>0.125</v>
      </c>
      <c r="Y84" s="12">
        <f t="shared" si="46"/>
        <v>0.3333333333</v>
      </c>
      <c r="Z84" s="12">
        <f t="shared" si="46"/>
        <v>0.3076923077</v>
      </c>
      <c r="AA84" s="12">
        <f t="shared" si="46"/>
        <v>0.3333333333</v>
      </c>
      <c r="AB84" s="12">
        <f t="shared" si="46"/>
        <v>0.5</v>
      </c>
      <c r="AC84" s="12">
        <f t="shared" si="46"/>
        <v>0.1875</v>
      </c>
      <c r="AD84" s="12">
        <f t="shared" si="46"/>
        <v>0.5333333333</v>
      </c>
      <c r="AE84" s="12">
        <f t="shared" si="46"/>
        <v>0.3333333333</v>
      </c>
      <c r="AF84" s="12">
        <f t="shared" si="46"/>
        <v>0.4</v>
      </c>
      <c r="AG84" s="12">
        <f t="shared" si="46"/>
        <v>0.25</v>
      </c>
      <c r="AH84" s="12">
        <f t="shared" si="46"/>
        <v>0.1</v>
      </c>
      <c r="AI84" s="155"/>
      <c r="AJ84" s="156"/>
    </row>
    <row r="85" ht="15.75" customHeight="1">
      <c r="A85" s="12" t="s">
        <v>71</v>
      </c>
      <c r="B85" s="68">
        <f t="shared" si="45"/>
        <v>1.618456082</v>
      </c>
      <c r="C85" s="68">
        <f t="shared" si="42"/>
        <v>1.618456082</v>
      </c>
      <c r="D85" s="12">
        <f t="shared" ref="D85:AH85" si="47">D26/D4</f>
        <v>0.696969697</v>
      </c>
      <c r="E85" s="12">
        <f t="shared" si="47"/>
        <v>0.7567567568</v>
      </c>
      <c r="F85" s="12">
        <f t="shared" si="47"/>
        <v>0.9310344828</v>
      </c>
      <c r="G85" s="12">
        <f t="shared" si="47"/>
        <v>0.3392857143</v>
      </c>
      <c r="H85" s="12">
        <f t="shared" si="47"/>
        <v>1.189189189</v>
      </c>
      <c r="I85" s="12">
        <f t="shared" si="47"/>
        <v>0.8571428571</v>
      </c>
      <c r="J85" s="12">
        <f t="shared" si="47"/>
        <v>0.8947368421</v>
      </c>
      <c r="K85" s="12">
        <f t="shared" si="47"/>
        <v>1.322580645</v>
      </c>
      <c r="L85" s="12">
        <f t="shared" si="47"/>
        <v>1.085714286</v>
      </c>
      <c r="M85" s="12">
        <f t="shared" si="47"/>
        <v>1.558139535</v>
      </c>
      <c r="N85" s="12">
        <f t="shared" si="47"/>
        <v>1.65625</v>
      </c>
      <c r="O85" s="12">
        <f t="shared" si="47"/>
        <v>1.236842105</v>
      </c>
      <c r="P85" s="12">
        <f t="shared" si="47"/>
        <v>1.130434783</v>
      </c>
      <c r="Q85" s="12">
        <f t="shared" si="47"/>
        <v>0.8474576271</v>
      </c>
      <c r="R85" s="12">
        <f t="shared" si="47"/>
        <v>0.9722222222</v>
      </c>
      <c r="S85" s="12">
        <f t="shared" si="47"/>
        <v>1.060240964</v>
      </c>
      <c r="T85" s="12">
        <f t="shared" si="47"/>
        <v>1.409836066</v>
      </c>
      <c r="U85" s="12">
        <f t="shared" si="47"/>
        <v>2.827586207</v>
      </c>
      <c r="V85" s="12">
        <f t="shared" si="47"/>
        <v>3.233333333</v>
      </c>
      <c r="W85" s="12">
        <f t="shared" si="47"/>
        <v>2.583333333</v>
      </c>
      <c r="X85" s="12">
        <f t="shared" si="47"/>
        <v>2.046511628</v>
      </c>
      <c r="Y85" s="12">
        <f t="shared" si="47"/>
        <v>1.517241379</v>
      </c>
      <c r="Z85" s="12">
        <f t="shared" si="47"/>
        <v>1.480769231</v>
      </c>
      <c r="AA85" s="12">
        <f t="shared" si="47"/>
        <v>1.822857143</v>
      </c>
      <c r="AB85" s="12">
        <f t="shared" si="47"/>
        <v>1.611374408</v>
      </c>
      <c r="AC85" s="12">
        <f t="shared" si="47"/>
        <v>2.16025641</v>
      </c>
      <c r="AD85" s="12">
        <f t="shared" si="47"/>
        <v>2.135714286</v>
      </c>
      <c r="AE85" s="12">
        <f t="shared" si="47"/>
        <v>2.488721805</v>
      </c>
      <c r="AF85" s="12">
        <f t="shared" si="47"/>
        <v>4.347826087</v>
      </c>
      <c r="AG85" s="12">
        <f t="shared" si="47"/>
        <v>2.231707317</v>
      </c>
      <c r="AH85" s="12">
        <f t="shared" si="47"/>
        <v>1.740072202</v>
      </c>
      <c r="AI85" s="155"/>
      <c r="AJ85" s="156"/>
    </row>
    <row r="86" ht="15.75" customHeight="1">
      <c r="A86" s="12" t="s">
        <v>72</v>
      </c>
      <c r="B86" s="68">
        <f t="shared" si="45"/>
        <v>0.2773095108</v>
      </c>
      <c r="C86" s="68">
        <f t="shared" si="42"/>
        <v>0.2773095108</v>
      </c>
      <c r="D86" s="12">
        <f t="shared" ref="D86:AH86" si="48">D45/D27</f>
        <v>0.08528260798</v>
      </c>
      <c r="E86" s="12">
        <f t="shared" si="48"/>
        <v>0.8829862751</v>
      </c>
      <c r="F86" s="12">
        <f t="shared" si="48"/>
        <v>-2.623464061</v>
      </c>
      <c r="G86" s="12">
        <f t="shared" si="48"/>
        <v>0.5300526509</v>
      </c>
      <c r="H86" s="12">
        <f t="shared" si="48"/>
        <v>0.1931517644</v>
      </c>
      <c r="I86" s="12">
        <f t="shared" si="48"/>
        <v>-2.011150835</v>
      </c>
      <c r="J86" s="12">
        <f t="shared" si="48"/>
        <v>1.802223023</v>
      </c>
      <c r="K86" s="12">
        <f t="shared" si="48"/>
        <v>0.5355568151</v>
      </c>
      <c r="L86" s="12">
        <f t="shared" si="48"/>
        <v>0.7054028107</v>
      </c>
      <c r="M86" s="12">
        <f t="shared" si="48"/>
        <v>0.3710236414</v>
      </c>
      <c r="N86" s="12">
        <f t="shared" si="48"/>
        <v>0.5905387686</v>
      </c>
      <c r="O86" s="12">
        <f t="shared" si="48"/>
        <v>0.260161134</v>
      </c>
      <c r="P86" s="12">
        <f t="shared" si="48"/>
        <v>-0.3150480994</v>
      </c>
      <c r="Q86" s="12">
        <f t="shared" si="48"/>
        <v>0.7416878467</v>
      </c>
      <c r="R86" s="12">
        <f t="shared" si="48"/>
        <v>0.6937691414</v>
      </c>
      <c r="S86" s="12">
        <f t="shared" si="48"/>
        <v>0.4496754213</v>
      </c>
      <c r="T86" s="12">
        <f t="shared" si="48"/>
        <v>0.2440059728</v>
      </c>
      <c r="U86" s="12">
        <f t="shared" si="48"/>
        <v>0.8187591768</v>
      </c>
      <c r="V86" s="12">
        <f t="shared" si="48"/>
        <v>0.3839714707</v>
      </c>
      <c r="W86" s="12">
        <f t="shared" si="48"/>
        <v>0.6290982381</v>
      </c>
      <c r="X86" s="12">
        <f t="shared" si="48"/>
        <v>0.3691263463</v>
      </c>
      <c r="Y86" s="12">
        <f t="shared" si="48"/>
        <v>0.1110680515</v>
      </c>
      <c r="Z86" s="12">
        <f t="shared" si="48"/>
        <v>0.2444825268</v>
      </c>
      <c r="AA86" s="12">
        <f t="shared" si="48"/>
        <v>0.2703836231</v>
      </c>
      <c r="AB86" s="12">
        <f t="shared" si="48"/>
        <v>-0.3472511105</v>
      </c>
      <c r="AC86" s="12">
        <f t="shared" si="48"/>
        <v>-0.1193880138</v>
      </c>
      <c r="AD86" s="12">
        <f t="shared" si="48"/>
        <v>0.77828173</v>
      </c>
      <c r="AE86" s="12">
        <f t="shared" si="48"/>
        <v>0.5293512163</v>
      </c>
      <c r="AF86" s="12">
        <f t="shared" si="48"/>
        <v>1.091956854</v>
      </c>
      <c r="AG86" s="12">
        <f t="shared" si="48"/>
        <v>0.5652859428</v>
      </c>
      <c r="AH86" s="12">
        <f t="shared" si="48"/>
        <v>0.135613905</v>
      </c>
      <c r="AI86" s="155"/>
      <c r="AJ86" s="156"/>
    </row>
    <row r="87" ht="15.75" customHeight="1">
      <c r="A87" s="12" t="s">
        <v>73</v>
      </c>
      <c r="B87" s="68">
        <f t="shared" si="45"/>
        <v>0.2174524166</v>
      </c>
      <c r="C87" s="68">
        <f t="shared" si="42"/>
        <v>0.2174524166</v>
      </c>
      <c r="D87" s="12">
        <f t="shared" ref="D87:AH87" si="49">D64/D27</f>
        <v>0.08528260798</v>
      </c>
      <c r="E87" s="12">
        <f t="shared" si="49"/>
        <v>0.8829862751</v>
      </c>
      <c r="F87" s="12">
        <f t="shared" si="49"/>
        <v>-2.623464061</v>
      </c>
      <c r="G87" s="12">
        <f t="shared" si="49"/>
        <v>0.5300526509</v>
      </c>
      <c r="H87" s="12">
        <f t="shared" si="49"/>
        <v>0.1931517644</v>
      </c>
      <c r="I87" s="12">
        <f t="shared" si="49"/>
        <v>-2.011150835</v>
      </c>
      <c r="J87" s="12">
        <f t="shared" si="49"/>
        <v>1.802223023</v>
      </c>
      <c r="K87" s="12">
        <f t="shared" si="49"/>
        <v>0.5355568151</v>
      </c>
      <c r="L87" s="12">
        <f t="shared" si="49"/>
        <v>0.7054028107</v>
      </c>
      <c r="M87" s="12">
        <f t="shared" si="49"/>
        <v>0.3676669669</v>
      </c>
      <c r="N87" s="12">
        <f t="shared" si="49"/>
        <v>0.5905387686</v>
      </c>
      <c r="O87" s="12">
        <f t="shared" si="49"/>
        <v>0.260161134</v>
      </c>
      <c r="P87" s="12">
        <f t="shared" si="49"/>
        <v>-0.3194435531</v>
      </c>
      <c r="Q87" s="12">
        <f t="shared" si="49"/>
        <v>0.7382450603</v>
      </c>
      <c r="R87" s="12">
        <f t="shared" si="49"/>
        <v>0.6719679819</v>
      </c>
      <c r="S87" s="12">
        <f t="shared" si="49"/>
        <v>0.4279624762</v>
      </c>
      <c r="T87" s="12">
        <f t="shared" si="49"/>
        <v>0.2304714198</v>
      </c>
      <c r="U87" s="12">
        <f t="shared" si="49"/>
        <v>0.8057998273</v>
      </c>
      <c r="V87" s="12">
        <f t="shared" si="49"/>
        <v>0.375555424</v>
      </c>
      <c r="W87" s="12">
        <f t="shared" si="49"/>
        <v>0.6168112032</v>
      </c>
      <c r="X87" s="12">
        <f t="shared" si="49"/>
        <v>0.282445064</v>
      </c>
      <c r="Y87" s="12">
        <f t="shared" si="49"/>
        <v>0.01266215099</v>
      </c>
      <c r="Z87" s="12">
        <f t="shared" si="49"/>
        <v>0.02189918377</v>
      </c>
      <c r="AA87" s="12">
        <f t="shared" si="49"/>
        <v>0.1039394135</v>
      </c>
      <c r="AB87" s="12">
        <f t="shared" si="49"/>
        <v>-0.5558884636</v>
      </c>
      <c r="AC87" s="12">
        <f t="shared" si="49"/>
        <v>-0.3939901171</v>
      </c>
      <c r="AD87" s="12">
        <f t="shared" si="49"/>
        <v>0.6581882203</v>
      </c>
      <c r="AE87" s="12">
        <f t="shared" si="49"/>
        <v>0.401594416</v>
      </c>
      <c r="AF87" s="12">
        <f t="shared" si="49"/>
        <v>1.022537814</v>
      </c>
      <c r="AG87" s="12">
        <f t="shared" si="49"/>
        <v>0.4579842234</v>
      </c>
      <c r="AH87" s="12">
        <f t="shared" si="49"/>
        <v>-0.1361247504</v>
      </c>
      <c r="AI87" s="155"/>
      <c r="AJ87" s="156"/>
    </row>
    <row r="88" ht="15.75" customHeight="1">
      <c r="A88" s="185" t="s">
        <v>74</v>
      </c>
      <c r="B88" s="186">
        <f t="shared" si="45"/>
        <v>1.855538272</v>
      </c>
      <c r="C88" s="186">
        <f t="shared" si="42"/>
        <v>1.855538272</v>
      </c>
      <c r="D88" s="13">
        <f t="shared" ref="D88:AH88" si="50">D24/D25</f>
        <v>1.909090909</v>
      </c>
      <c r="E88" s="13">
        <f t="shared" si="50"/>
        <v>1.5</v>
      </c>
      <c r="F88" s="13">
        <f t="shared" si="50"/>
        <v>2.428571429</v>
      </c>
      <c r="G88" s="13">
        <f t="shared" si="50"/>
        <v>2.533333333</v>
      </c>
      <c r="H88" s="13">
        <f t="shared" si="50"/>
        <v>1.421052632</v>
      </c>
      <c r="I88" s="13">
        <f t="shared" si="50"/>
        <v>1.818181818</v>
      </c>
      <c r="J88" s="13">
        <f t="shared" si="50"/>
        <v>1.689655172</v>
      </c>
      <c r="K88" s="13">
        <f t="shared" si="50"/>
        <v>2.028571429</v>
      </c>
      <c r="L88" s="13">
        <f t="shared" si="50"/>
        <v>2.034482759</v>
      </c>
      <c r="M88" s="13">
        <f t="shared" si="50"/>
        <v>1.945454545</v>
      </c>
      <c r="N88" s="13">
        <f t="shared" si="50"/>
        <v>2.340909091</v>
      </c>
      <c r="O88" s="13">
        <f t="shared" si="50"/>
        <v>1.918918919</v>
      </c>
      <c r="P88" s="13">
        <f t="shared" si="50"/>
        <v>2.046511628</v>
      </c>
      <c r="Q88" s="13">
        <f t="shared" si="50"/>
        <v>1.684210526</v>
      </c>
      <c r="R88" s="13">
        <f t="shared" si="50"/>
        <v>1.933333333</v>
      </c>
      <c r="S88" s="13">
        <f t="shared" si="50"/>
        <v>1.702702703</v>
      </c>
      <c r="T88" s="13">
        <f t="shared" si="50"/>
        <v>2.114285714</v>
      </c>
      <c r="U88" s="13">
        <f t="shared" si="50"/>
        <v>1.830508475</v>
      </c>
      <c r="V88" s="13">
        <f t="shared" si="50"/>
        <v>2.066666667</v>
      </c>
      <c r="W88" s="13">
        <f t="shared" si="50"/>
        <v>1.818181818</v>
      </c>
      <c r="X88" s="13">
        <f t="shared" si="50"/>
        <v>1.724637681</v>
      </c>
      <c r="Y88" s="13">
        <f t="shared" si="50"/>
        <v>1.732394366</v>
      </c>
      <c r="Z88" s="13">
        <f t="shared" si="50"/>
        <v>1.84</v>
      </c>
      <c r="AA88" s="13">
        <f t="shared" si="50"/>
        <v>1.789473684</v>
      </c>
      <c r="AB88" s="13">
        <f t="shared" si="50"/>
        <v>1.909090909</v>
      </c>
      <c r="AC88" s="13">
        <f t="shared" si="50"/>
        <v>1.703448276</v>
      </c>
      <c r="AD88" s="13">
        <f t="shared" si="50"/>
        <v>1.779816514</v>
      </c>
      <c r="AE88" s="13">
        <f t="shared" si="50"/>
        <v>1.496062992</v>
      </c>
      <c r="AF88" s="13">
        <f t="shared" si="50"/>
        <v>1.661870504</v>
      </c>
      <c r="AG88" s="13">
        <f t="shared" si="50"/>
        <v>1.711538462</v>
      </c>
      <c r="AH88" s="13">
        <f t="shared" si="50"/>
        <v>1.408730159</v>
      </c>
      <c r="AI88" s="187"/>
      <c r="AJ88" s="188"/>
    </row>
    <row r="89" ht="15.75" customHeight="1">
      <c r="A89" s="60"/>
      <c r="B89" s="92">
        <f t="shared" ref="B89:B93" si="51">SUM(D89:AH89)</f>
        <v>0</v>
      </c>
      <c r="C89" s="92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189"/>
      <c r="AI89" s="150"/>
      <c r="AJ89" s="151"/>
    </row>
    <row r="90" ht="15.75" customHeight="1">
      <c r="A90" s="60" t="s">
        <v>64</v>
      </c>
      <c r="B90" s="92">
        <f t="shared" si="51"/>
        <v>0</v>
      </c>
      <c r="C90" s="92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189"/>
      <c r="AI90" s="150"/>
      <c r="AJ90" s="151"/>
    </row>
    <row r="91" ht="15.75" customHeight="1">
      <c r="A91" s="60" t="s">
        <v>75</v>
      </c>
      <c r="B91" s="92">
        <f t="shared" si="51"/>
        <v>0</v>
      </c>
      <c r="C91" s="92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189"/>
      <c r="AI91" s="150"/>
      <c r="AJ91" s="151"/>
    </row>
    <row r="92" ht="15.75" customHeight="1">
      <c r="A92" s="60"/>
      <c r="B92" s="92">
        <f t="shared" si="51"/>
        <v>0</v>
      </c>
      <c r="C92" s="92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189"/>
      <c r="AI92" s="150"/>
      <c r="AJ92" s="151"/>
    </row>
    <row r="93" ht="15.75" customHeight="1">
      <c r="A93" s="190" t="s">
        <v>76</v>
      </c>
      <c r="B93" s="56">
        <f t="shared" si="51"/>
        <v>0</v>
      </c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144"/>
      <c r="AI93" s="145"/>
      <c r="AJ93" s="146"/>
    </row>
    <row r="94" ht="15.75" customHeight="1">
      <c r="A94" s="60" t="s">
        <v>77</v>
      </c>
      <c r="B94" s="76">
        <v>1457.0</v>
      </c>
      <c r="C94" s="152">
        <f t="shared" ref="C94:C96" si="52">AVERAGE(D94:AH94)</f>
        <v>59.03225806</v>
      </c>
      <c r="D94" s="65">
        <v>30.0</v>
      </c>
      <c r="E94" s="65">
        <v>32.0</v>
      </c>
      <c r="F94" s="65">
        <v>24.0</v>
      </c>
      <c r="G94" s="65">
        <v>52.0</v>
      </c>
      <c r="H94" s="65">
        <v>29.0</v>
      </c>
      <c r="I94" s="65">
        <v>32.0</v>
      </c>
      <c r="J94" s="65">
        <v>36.0</v>
      </c>
      <c r="K94" s="65">
        <v>27.0</v>
      </c>
      <c r="L94" s="65">
        <v>34.0</v>
      </c>
      <c r="M94" s="65">
        <v>29.0</v>
      </c>
      <c r="N94" s="65">
        <v>30.0</v>
      </c>
      <c r="O94" s="65">
        <v>33.0</v>
      </c>
      <c r="P94" s="65">
        <v>7.0</v>
      </c>
      <c r="Q94" s="65">
        <v>50.0</v>
      </c>
      <c r="R94" s="65">
        <v>60.0</v>
      </c>
      <c r="S94" s="65">
        <v>60.0</v>
      </c>
      <c r="T94" s="65">
        <v>46.0</v>
      </c>
      <c r="U94" s="65">
        <v>18.0</v>
      </c>
      <c r="V94" s="65">
        <v>22.0</v>
      </c>
      <c r="W94" s="65">
        <v>32.0</v>
      </c>
      <c r="X94" s="65">
        <v>32.0</v>
      </c>
      <c r="Y94" s="65">
        <v>96.0</v>
      </c>
      <c r="Z94" s="65">
        <v>149.0</v>
      </c>
      <c r="AA94" s="65">
        <v>154.0</v>
      </c>
      <c r="AB94" s="65">
        <v>140.0</v>
      </c>
      <c r="AC94" s="65">
        <v>101.0</v>
      </c>
      <c r="AD94" s="65">
        <v>96.0</v>
      </c>
      <c r="AE94" s="65">
        <v>107.0</v>
      </c>
      <c r="AF94" s="65">
        <v>40.0</v>
      </c>
      <c r="AG94" s="65">
        <v>84.0</v>
      </c>
      <c r="AH94" s="153">
        <v>148.0</v>
      </c>
      <c r="AI94" s="150"/>
      <c r="AJ94" s="151"/>
    </row>
    <row r="95" ht="15.75" customHeight="1">
      <c r="A95" s="60" t="s">
        <v>78</v>
      </c>
      <c r="B95" s="76">
        <v>543.0</v>
      </c>
      <c r="C95" s="152">
        <f t="shared" si="52"/>
        <v>13.5483871</v>
      </c>
      <c r="D95" s="65">
        <v>5.0</v>
      </c>
      <c r="E95" s="65">
        <v>5.0</v>
      </c>
      <c r="F95" s="65">
        <v>2.0</v>
      </c>
      <c r="G95" s="65">
        <v>7.0</v>
      </c>
      <c r="H95" s="65">
        <v>1.0</v>
      </c>
      <c r="I95" s="65">
        <v>5.0</v>
      </c>
      <c r="J95" s="65">
        <v>2.0</v>
      </c>
      <c r="K95" s="65">
        <v>4.0</v>
      </c>
      <c r="L95" s="65">
        <v>2.0</v>
      </c>
      <c r="M95" s="65">
        <v>2.0</v>
      </c>
      <c r="N95" s="65">
        <v>4.0</v>
      </c>
      <c r="O95" s="65">
        <v>4.0</v>
      </c>
      <c r="P95" s="65">
        <v>1.0</v>
      </c>
      <c r="Q95" s="65">
        <v>5.0</v>
      </c>
      <c r="R95" s="65">
        <v>16.0</v>
      </c>
      <c r="S95" s="65">
        <v>11.0</v>
      </c>
      <c r="T95" s="65">
        <v>8.0</v>
      </c>
      <c r="U95" s="65">
        <v>5.0</v>
      </c>
      <c r="V95" s="65">
        <v>5.0</v>
      </c>
      <c r="W95" s="65">
        <v>5.0</v>
      </c>
      <c r="X95" s="65">
        <v>6.0</v>
      </c>
      <c r="Y95" s="65">
        <v>31.0</v>
      </c>
      <c r="Z95" s="65">
        <v>54.0</v>
      </c>
      <c r="AA95" s="65">
        <v>72.0</v>
      </c>
      <c r="AB95" s="65">
        <v>41.0</v>
      </c>
      <c r="AC95" s="65">
        <v>41.0</v>
      </c>
      <c r="AD95" s="65">
        <v>15.0</v>
      </c>
      <c r="AE95" s="65">
        <v>29.0</v>
      </c>
      <c r="AF95" s="65">
        <v>3.0</v>
      </c>
      <c r="AG95" s="65">
        <v>3.0</v>
      </c>
      <c r="AH95" s="153">
        <v>26.0</v>
      </c>
      <c r="AI95" s="150"/>
      <c r="AJ95" s="151"/>
    </row>
    <row r="96" ht="15.75" customHeight="1">
      <c r="A96" s="65" t="s">
        <v>79</v>
      </c>
      <c r="B96" s="76">
        <v>34.0</v>
      </c>
      <c r="C96" s="152">
        <f t="shared" si="52"/>
        <v>1.483870968</v>
      </c>
      <c r="D96" s="65">
        <v>1.0</v>
      </c>
      <c r="E96" s="65">
        <v>1.0</v>
      </c>
      <c r="F96" s="65">
        <v>0.0</v>
      </c>
      <c r="G96" s="65">
        <v>1.0</v>
      </c>
      <c r="H96" s="65">
        <v>1.0</v>
      </c>
      <c r="I96" s="65">
        <v>0.0</v>
      </c>
      <c r="J96" s="65">
        <v>2.0</v>
      </c>
      <c r="K96" s="65">
        <v>0.0</v>
      </c>
      <c r="L96" s="65">
        <v>3.0</v>
      </c>
      <c r="M96" s="65">
        <v>0.0</v>
      </c>
      <c r="N96" s="65">
        <v>0.0</v>
      </c>
      <c r="O96" s="65">
        <v>0.0</v>
      </c>
      <c r="P96" s="65">
        <v>1.0</v>
      </c>
      <c r="Q96" s="65">
        <v>1.0</v>
      </c>
      <c r="R96" s="65">
        <v>0.0</v>
      </c>
      <c r="S96" s="65">
        <v>3.0</v>
      </c>
      <c r="T96" s="65">
        <v>1.0</v>
      </c>
      <c r="U96" s="65">
        <v>4.0</v>
      </c>
      <c r="V96" s="65">
        <v>1.0</v>
      </c>
      <c r="W96" s="65">
        <v>0.0</v>
      </c>
      <c r="X96" s="65">
        <v>1.0</v>
      </c>
      <c r="Y96" s="65">
        <v>0.0</v>
      </c>
      <c r="Z96" s="65">
        <v>6.0</v>
      </c>
      <c r="AA96" s="65">
        <v>6.0</v>
      </c>
      <c r="AB96" s="65">
        <v>4.0</v>
      </c>
      <c r="AC96" s="65">
        <v>3.0</v>
      </c>
      <c r="AD96" s="65">
        <v>1.0</v>
      </c>
      <c r="AE96" s="65">
        <v>0.0</v>
      </c>
      <c r="AF96" s="65">
        <v>1.0</v>
      </c>
      <c r="AG96" s="65">
        <v>2.0</v>
      </c>
      <c r="AH96" s="153">
        <v>2.0</v>
      </c>
      <c r="AI96" s="150"/>
      <c r="AJ96" s="151"/>
    </row>
    <row r="97" ht="15.75" customHeight="1">
      <c r="A97" s="60" t="s">
        <v>80</v>
      </c>
      <c r="B97" s="191">
        <v>5.5061952E7</v>
      </c>
      <c r="C97" s="92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189"/>
      <c r="AI97" s="150"/>
      <c r="AJ97" s="151"/>
    </row>
    <row r="98" ht="15.75" customHeight="1">
      <c r="A98" s="60" t="s">
        <v>81</v>
      </c>
      <c r="B98" s="191">
        <v>3.6735633E7</v>
      </c>
      <c r="C98" s="92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189"/>
      <c r="AI98" s="150"/>
      <c r="AJ98" s="151"/>
    </row>
    <row r="99" ht="15.75" customHeight="1">
      <c r="A99" s="65" t="s">
        <v>82</v>
      </c>
      <c r="B99" s="191">
        <v>2.38046182E8</v>
      </c>
      <c r="C99" s="92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189"/>
      <c r="AI99" s="150"/>
      <c r="AJ99" s="151"/>
    </row>
    <row r="100" ht="15.75" customHeight="1">
      <c r="A100" s="65" t="s">
        <v>83</v>
      </c>
      <c r="B100" s="191">
        <v>2.27680021E8</v>
      </c>
      <c r="C100" s="92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189"/>
      <c r="AI100" s="150"/>
      <c r="AJ100" s="151"/>
    </row>
    <row r="101" ht="15.75" customHeight="1">
      <c r="A101" s="60" t="s">
        <v>84</v>
      </c>
      <c r="B101" s="68">
        <f>B100/B99</f>
        <v>0.9564531516</v>
      </c>
      <c r="C101" s="92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189"/>
      <c r="AI101" s="150"/>
      <c r="AJ101" s="151"/>
    </row>
    <row r="102" ht="15.75" customHeight="1">
      <c r="A102" s="60" t="s">
        <v>85</v>
      </c>
      <c r="B102" s="192">
        <f>B99-B100</f>
        <v>10366161</v>
      </c>
      <c r="C102" s="92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189"/>
      <c r="AI102" s="150"/>
      <c r="AJ102" s="151"/>
    </row>
    <row r="103" ht="15.75" customHeight="1">
      <c r="A103" s="60" t="s">
        <v>86</v>
      </c>
      <c r="B103" s="192">
        <f>B97-B98</f>
        <v>18326319</v>
      </c>
      <c r="C103" s="92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189"/>
      <c r="AI103" s="150"/>
      <c r="AJ103" s="151"/>
    </row>
    <row r="104" ht="15.75" customHeight="1">
      <c r="A104" s="60" t="s">
        <v>87</v>
      </c>
      <c r="B104" s="108">
        <f>SUM(D104:AH104)</f>
        <v>0</v>
      </c>
      <c r="C104" s="92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189"/>
      <c r="AI104" s="150"/>
      <c r="AJ104" s="151"/>
    </row>
    <row r="105" ht="15.75" customHeight="1">
      <c r="A105" s="11" t="s">
        <v>88</v>
      </c>
      <c r="B105" s="108">
        <f>SUM(D105:AH105)+71000</f>
        <v>1472829</v>
      </c>
      <c r="C105" s="108">
        <f>AVERAGE(D105:AH105)</f>
        <v>45220.29032</v>
      </c>
      <c r="D105" s="104">
        <v>0.0</v>
      </c>
      <c r="E105" s="104">
        <v>0.0</v>
      </c>
      <c r="F105" s="104">
        <v>0.0</v>
      </c>
      <c r="G105" s="104">
        <v>20000.0</v>
      </c>
      <c r="H105" s="104">
        <v>0.0</v>
      </c>
      <c r="I105" s="104">
        <v>0.0</v>
      </c>
      <c r="J105" s="104">
        <v>0.0</v>
      </c>
      <c r="K105" s="104">
        <v>0.0</v>
      </c>
      <c r="L105" s="104">
        <v>0.0</v>
      </c>
      <c r="M105" s="104">
        <v>0.0</v>
      </c>
      <c r="N105" s="104">
        <v>0.0</v>
      </c>
      <c r="O105" s="104">
        <v>100000.0</v>
      </c>
      <c r="P105" s="104">
        <v>68000.0</v>
      </c>
      <c r="Q105" s="104">
        <v>200000.0</v>
      </c>
      <c r="R105" s="104">
        <v>30000.0</v>
      </c>
      <c r="S105" s="104">
        <v>6829.0</v>
      </c>
      <c r="T105" s="104">
        <v>0.0</v>
      </c>
      <c r="U105" s="104">
        <v>100000.0</v>
      </c>
      <c r="V105" s="104">
        <v>10000.0</v>
      </c>
      <c r="W105" s="104">
        <v>100000.0</v>
      </c>
      <c r="X105" s="104">
        <v>100000.0</v>
      </c>
      <c r="Y105" s="104">
        <v>138000.0</v>
      </c>
      <c r="Z105" s="104">
        <v>23000.0</v>
      </c>
      <c r="AA105" s="104">
        <v>126000.0</v>
      </c>
      <c r="AB105" s="104">
        <v>30000.0</v>
      </c>
      <c r="AC105" s="104">
        <v>25000.0</v>
      </c>
      <c r="AD105" s="104">
        <v>60000.0</v>
      </c>
      <c r="AE105" s="104">
        <v>0.0</v>
      </c>
      <c r="AF105" s="104">
        <v>200000.0</v>
      </c>
      <c r="AG105" s="104">
        <v>65000.0</v>
      </c>
      <c r="AH105" s="167">
        <v>0.0</v>
      </c>
      <c r="AI105" s="164"/>
      <c r="AJ105" s="165"/>
    </row>
    <row r="106" ht="15.75" customHeight="1">
      <c r="A106" s="60" t="s">
        <v>89</v>
      </c>
      <c r="B106" s="108">
        <f t="shared" ref="B106:B107" si="53">SUM(D106:AH106)</f>
        <v>2859458</v>
      </c>
      <c r="C106" s="92"/>
      <c r="D106" s="104">
        <v>0.0</v>
      </c>
      <c r="E106" s="104">
        <v>0.0</v>
      </c>
      <c r="F106" s="104">
        <v>0.0</v>
      </c>
      <c r="G106" s="104">
        <v>0.0</v>
      </c>
      <c r="H106" s="104">
        <v>0.0</v>
      </c>
      <c r="I106" s="104">
        <v>0.0</v>
      </c>
      <c r="J106" s="104">
        <v>0.0</v>
      </c>
      <c r="K106" s="104">
        <v>0.0</v>
      </c>
      <c r="L106" s="104">
        <v>0.0</v>
      </c>
      <c r="M106" s="104">
        <v>0.0</v>
      </c>
      <c r="N106" s="104">
        <v>0.0</v>
      </c>
      <c r="O106" s="104">
        <v>0.0</v>
      </c>
      <c r="P106" s="104">
        <v>0.0</v>
      </c>
      <c r="Q106" s="104">
        <v>0.0</v>
      </c>
      <c r="R106" s="104">
        <v>0.0</v>
      </c>
      <c r="S106" s="104">
        <v>0.0</v>
      </c>
      <c r="T106" s="104">
        <v>0.0</v>
      </c>
      <c r="U106" s="104">
        <v>0.0</v>
      </c>
      <c r="V106" s="104">
        <v>0.0</v>
      </c>
      <c r="W106" s="104">
        <v>0.0</v>
      </c>
      <c r="X106" s="104">
        <v>0.0</v>
      </c>
      <c r="Y106" s="104">
        <v>1348918.0</v>
      </c>
      <c r="Z106" s="104">
        <v>0.0</v>
      </c>
      <c r="AA106" s="104">
        <v>0.0</v>
      </c>
      <c r="AB106" s="104">
        <v>30000.0</v>
      </c>
      <c r="AC106" s="104">
        <v>1015984.0</v>
      </c>
      <c r="AD106" s="104">
        <v>0.0</v>
      </c>
      <c r="AE106" s="104">
        <v>0.0</v>
      </c>
      <c r="AF106" s="104">
        <v>0.0</v>
      </c>
      <c r="AG106" s="167">
        <v>464556.0</v>
      </c>
      <c r="AH106" s="167">
        <v>0.0</v>
      </c>
      <c r="AI106" s="150"/>
      <c r="AJ106" s="151"/>
    </row>
    <row r="107" ht="15.75" customHeight="1">
      <c r="A107" s="60" t="s">
        <v>90</v>
      </c>
      <c r="B107" s="108">
        <f t="shared" si="53"/>
        <v>64607.5</v>
      </c>
      <c r="C107" s="92"/>
      <c r="D107" s="132">
        <v>64607.5</v>
      </c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189"/>
      <c r="AI107" s="150"/>
      <c r="AJ107" s="151"/>
    </row>
    <row r="108" ht="15.75" customHeight="1">
      <c r="A108" s="60" t="s">
        <v>91</v>
      </c>
      <c r="B108" s="109">
        <v>824188.04</v>
      </c>
      <c r="C108" s="92"/>
      <c r="D108" s="132">
        <v>824188.04</v>
      </c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189"/>
      <c r="AI108" s="150"/>
      <c r="AJ108" s="151"/>
    </row>
    <row r="109" ht="15.75" customHeight="1">
      <c r="A109" s="11" t="s">
        <v>92</v>
      </c>
      <c r="B109" s="108">
        <f>SUM(D109:AH109)</f>
        <v>3748253.54</v>
      </c>
      <c r="C109" s="108">
        <f>AVERAGE(D109:AH109)</f>
        <v>120911.4045</v>
      </c>
      <c r="D109" s="11">
        <f t="shared" ref="D109:AH109" si="54">SUM(D106:D108)</f>
        <v>888795.54</v>
      </c>
      <c r="E109" s="11">
        <f t="shared" si="54"/>
        <v>0</v>
      </c>
      <c r="F109" s="11">
        <f t="shared" si="54"/>
        <v>0</v>
      </c>
      <c r="G109" s="11">
        <f t="shared" si="54"/>
        <v>0</v>
      </c>
      <c r="H109" s="11">
        <f t="shared" si="54"/>
        <v>0</v>
      </c>
      <c r="I109" s="11">
        <f t="shared" si="54"/>
        <v>0</v>
      </c>
      <c r="J109" s="11">
        <f t="shared" si="54"/>
        <v>0</v>
      </c>
      <c r="K109" s="11">
        <f t="shared" si="54"/>
        <v>0</v>
      </c>
      <c r="L109" s="11">
        <f t="shared" si="54"/>
        <v>0</v>
      </c>
      <c r="M109" s="11">
        <f t="shared" si="54"/>
        <v>0</v>
      </c>
      <c r="N109" s="11">
        <f t="shared" si="54"/>
        <v>0</v>
      </c>
      <c r="O109" s="11">
        <f t="shared" si="54"/>
        <v>0</v>
      </c>
      <c r="P109" s="11">
        <f t="shared" si="54"/>
        <v>0</v>
      </c>
      <c r="Q109" s="11">
        <f t="shared" si="54"/>
        <v>0</v>
      </c>
      <c r="R109" s="11">
        <f t="shared" si="54"/>
        <v>0</v>
      </c>
      <c r="S109" s="11">
        <f t="shared" si="54"/>
        <v>0</v>
      </c>
      <c r="T109" s="11">
        <f t="shared" si="54"/>
        <v>0</v>
      </c>
      <c r="U109" s="11">
        <f t="shared" si="54"/>
        <v>0</v>
      </c>
      <c r="V109" s="11">
        <f t="shared" si="54"/>
        <v>0</v>
      </c>
      <c r="W109" s="11">
        <f t="shared" si="54"/>
        <v>0</v>
      </c>
      <c r="X109" s="11">
        <f t="shared" si="54"/>
        <v>0</v>
      </c>
      <c r="Y109" s="11">
        <f t="shared" si="54"/>
        <v>1348918</v>
      </c>
      <c r="Z109" s="11">
        <f t="shared" si="54"/>
        <v>0</v>
      </c>
      <c r="AA109" s="11">
        <f t="shared" si="54"/>
        <v>0</v>
      </c>
      <c r="AB109" s="11">
        <f t="shared" si="54"/>
        <v>30000</v>
      </c>
      <c r="AC109" s="11">
        <f t="shared" si="54"/>
        <v>1015984</v>
      </c>
      <c r="AD109" s="11">
        <f t="shared" si="54"/>
        <v>0</v>
      </c>
      <c r="AE109" s="11">
        <f t="shared" si="54"/>
        <v>0</v>
      </c>
      <c r="AF109" s="11">
        <f t="shared" si="54"/>
        <v>0</v>
      </c>
      <c r="AG109" s="11">
        <f t="shared" si="54"/>
        <v>464556</v>
      </c>
      <c r="AH109" s="11">
        <f t="shared" si="54"/>
        <v>0</v>
      </c>
      <c r="AI109" s="164"/>
      <c r="AJ109" s="165"/>
    </row>
    <row r="110" ht="15.75" customHeight="1">
      <c r="A110" s="60" t="s">
        <v>93</v>
      </c>
      <c r="B110" s="192">
        <f>B102-B109</f>
        <v>6617907.46</v>
      </c>
      <c r="C110" s="92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189"/>
      <c r="AI110" s="150"/>
      <c r="AJ110" s="151"/>
    </row>
    <row r="111" ht="15.75" customHeight="1">
      <c r="A111" s="60" t="s">
        <v>94</v>
      </c>
      <c r="B111" s="68">
        <f>B95/B94</f>
        <v>0.3726835964</v>
      </c>
      <c r="C111" s="68">
        <f>AVERAGE(D111:AH111)</f>
        <v>0.1805980005</v>
      </c>
      <c r="D111" s="12">
        <f t="shared" ref="D111:AH111" si="55">D95/D94</f>
        <v>0.1666666667</v>
      </c>
      <c r="E111" s="12">
        <f t="shared" si="55"/>
        <v>0.15625</v>
      </c>
      <c r="F111" s="12">
        <f t="shared" si="55"/>
        <v>0.08333333333</v>
      </c>
      <c r="G111" s="12">
        <f t="shared" si="55"/>
        <v>0.1346153846</v>
      </c>
      <c r="H111" s="12">
        <f t="shared" si="55"/>
        <v>0.03448275862</v>
      </c>
      <c r="I111" s="12">
        <f t="shared" si="55"/>
        <v>0.15625</v>
      </c>
      <c r="J111" s="12">
        <f t="shared" si="55"/>
        <v>0.05555555556</v>
      </c>
      <c r="K111" s="12">
        <f t="shared" si="55"/>
        <v>0.1481481481</v>
      </c>
      <c r="L111" s="12">
        <f t="shared" si="55"/>
        <v>0.05882352941</v>
      </c>
      <c r="M111" s="12">
        <f t="shared" si="55"/>
        <v>0.06896551724</v>
      </c>
      <c r="N111" s="12">
        <f t="shared" si="55"/>
        <v>0.1333333333</v>
      </c>
      <c r="O111" s="12">
        <f t="shared" si="55"/>
        <v>0.1212121212</v>
      </c>
      <c r="P111" s="12">
        <f t="shared" si="55"/>
        <v>0.1428571429</v>
      </c>
      <c r="Q111" s="12">
        <f t="shared" si="55"/>
        <v>0.1</v>
      </c>
      <c r="R111" s="12">
        <f t="shared" si="55"/>
        <v>0.2666666667</v>
      </c>
      <c r="S111" s="12">
        <f t="shared" si="55"/>
        <v>0.1833333333</v>
      </c>
      <c r="T111" s="12">
        <f t="shared" si="55"/>
        <v>0.1739130435</v>
      </c>
      <c r="U111" s="12">
        <f t="shared" si="55"/>
        <v>0.2777777778</v>
      </c>
      <c r="V111" s="12">
        <f t="shared" si="55"/>
        <v>0.2272727273</v>
      </c>
      <c r="W111" s="12">
        <f t="shared" si="55"/>
        <v>0.15625</v>
      </c>
      <c r="X111" s="12">
        <f t="shared" si="55"/>
        <v>0.1875</v>
      </c>
      <c r="Y111" s="12">
        <f t="shared" si="55"/>
        <v>0.3229166667</v>
      </c>
      <c r="Z111" s="12">
        <f t="shared" si="55"/>
        <v>0.3624161074</v>
      </c>
      <c r="AA111" s="12">
        <f t="shared" si="55"/>
        <v>0.4675324675</v>
      </c>
      <c r="AB111" s="12">
        <f t="shared" si="55"/>
        <v>0.2928571429</v>
      </c>
      <c r="AC111" s="12">
        <f t="shared" si="55"/>
        <v>0.4059405941</v>
      </c>
      <c r="AD111" s="12">
        <f t="shared" si="55"/>
        <v>0.15625</v>
      </c>
      <c r="AE111" s="12">
        <f t="shared" si="55"/>
        <v>0.2710280374</v>
      </c>
      <c r="AF111" s="12">
        <f t="shared" si="55"/>
        <v>0.075</v>
      </c>
      <c r="AG111" s="12">
        <f t="shared" si="55"/>
        <v>0.03571428571</v>
      </c>
      <c r="AH111" s="12">
        <f t="shared" si="55"/>
        <v>0.1756756757</v>
      </c>
      <c r="AI111" s="155"/>
      <c r="AJ111" s="156"/>
    </row>
    <row r="112" ht="15.75" customHeight="1">
      <c r="A112" s="60" t="s">
        <v>95</v>
      </c>
      <c r="B112" s="92">
        <f t="shared" ref="B112:B126" si="56">SUM(D112:AH112)</f>
        <v>0</v>
      </c>
      <c r="C112" s="92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189"/>
      <c r="AI112" s="150"/>
      <c r="AJ112" s="151"/>
    </row>
    <row r="113" ht="15.75" customHeight="1">
      <c r="A113" s="60" t="s">
        <v>75</v>
      </c>
      <c r="B113" s="92">
        <f t="shared" si="56"/>
        <v>0</v>
      </c>
      <c r="C113" s="92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189"/>
      <c r="AI113" s="150"/>
      <c r="AJ113" s="151"/>
    </row>
    <row r="114" ht="15.75" customHeight="1">
      <c r="A114" s="60"/>
      <c r="B114" s="92">
        <f t="shared" si="56"/>
        <v>0</v>
      </c>
      <c r="C114" s="92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189"/>
      <c r="AI114" s="150"/>
      <c r="AJ114" s="151"/>
    </row>
    <row r="115" ht="15.75" customHeight="1">
      <c r="A115" s="56" t="s">
        <v>96</v>
      </c>
      <c r="B115" s="56">
        <f t="shared" si="56"/>
        <v>0</v>
      </c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144"/>
      <c r="AI115" s="145"/>
      <c r="AJ115" s="146"/>
    </row>
    <row r="116" ht="15.75" customHeight="1">
      <c r="A116" s="11" t="s">
        <v>97</v>
      </c>
      <c r="B116" s="108">
        <f t="shared" si="56"/>
        <v>20308422.38</v>
      </c>
      <c r="C116" s="108">
        <f t="shared" ref="C116:C130" si="57">AVERAGE(D116:AH116)</f>
        <v>655110.3994</v>
      </c>
      <c r="D116" s="104">
        <v>132362.0</v>
      </c>
      <c r="E116" s="104">
        <v>112772.0</v>
      </c>
      <c r="F116" s="104">
        <v>287103.0</v>
      </c>
      <c r="G116" s="104">
        <v>172460.0</v>
      </c>
      <c r="H116" s="104">
        <v>76965.0</v>
      </c>
      <c r="I116" s="104">
        <v>328306.5</v>
      </c>
      <c r="J116" s="104">
        <v>483613.5</v>
      </c>
      <c r="K116" s="104">
        <v>457510.5</v>
      </c>
      <c r="L116" s="104">
        <v>515448.5</v>
      </c>
      <c r="M116" s="104">
        <v>586705.5</v>
      </c>
      <c r="N116" s="104">
        <v>590307.0</v>
      </c>
      <c r="O116" s="104">
        <v>494332.0</v>
      </c>
      <c r="P116" s="104">
        <v>574179.0</v>
      </c>
      <c r="Q116" s="104">
        <v>395513.5</v>
      </c>
      <c r="R116" s="104">
        <v>392478.5</v>
      </c>
      <c r="S116" s="104">
        <v>623654.0</v>
      </c>
      <c r="T116" s="104">
        <v>579339.5</v>
      </c>
      <c r="U116" s="104">
        <v>450793.75</v>
      </c>
      <c r="V116" s="104">
        <v>1040426.0</v>
      </c>
      <c r="W116" s="104">
        <v>847361.0</v>
      </c>
      <c r="X116" s="104">
        <v>397253.5</v>
      </c>
      <c r="Y116" s="104">
        <v>700586.5</v>
      </c>
      <c r="Z116" s="104">
        <v>1033664.38</v>
      </c>
      <c r="AA116" s="104">
        <v>1516627.5</v>
      </c>
      <c r="AB116" s="104">
        <v>1230430.5</v>
      </c>
      <c r="AC116" s="104">
        <v>1178029.5</v>
      </c>
      <c r="AD116" s="104">
        <v>1296404.25</v>
      </c>
      <c r="AE116" s="104">
        <v>821099.0</v>
      </c>
      <c r="AF116" s="104">
        <v>710138.0</v>
      </c>
      <c r="AG116" s="104">
        <v>1460953.0</v>
      </c>
      <c r="AH116" s="167">
        <v>821605.5</v>
      </c>
      <c r="AI116" s="164"/>
      <c r="AJ116" s="165"/>
    </row>
    <row r="117" ht="15.75" customHeight="1">
      <c r="A117" s="11" t="s">
        <v>98</v>
      </c>
      <c r="B117" s="108">
        <f t="shared" si="56"/>
        <v>15934677.3</v>
      </c>
      <c r="C117" s="108">
        <f t="shared" si="57"/>
        <v>514021.8484</v>
      </c>
      <c r="D117" s="104">
        <v>145126.0</v>
      </c>
      <c r="E117" s="104">
        <v>150149.7</v>
      </c>
      <c r="F117" s="104">
        <v>122733.0</v>
      </c>
      <c r="G117" s="104">
        <v>83140.2</v>
      </c>
      <c r="H117" s="104">
        <v>59686.8</v>
      </c>
      <c r="I117" s="104">
        <v>409948.0</v>
      </c>
      <c r="J117" s="104">
        <v>567889.5</v>
      </c>
      <c r="K117" s="104">
        <v>377584.0</v>
      </c>
      <c r="L117" s="104">
        <v>282145.7</v>
      </c>
      <c r="M117" s="104">
        <v>555975.4</v>
      </c>
      <c r="N117" s="104">
        <v>399033.8</v>
      </c>
      <c r="O117" s="104">
        <v>363017.8</v>
      </c>
      <c r="P117" s="104">
        <v>482841.8</v>
      </c>
      <c r="Q117" s="104">
        <v>294562.1</v>
      </c>
      <c r="R117" s="104">
        <v>223395.8</v>
      </c>
      <c r="S117" s="104">
        <v>432467.3</v>
      </c>
      <c r="T117" s="104">
        <v>300281.3</v>
      </c>
      <c r="U117" s="104">
        <v>331569.4</v>
      </c>
      <c r="V117" s="104">
        <v>651025.2</v>
      </c>
      <c r="W117" s="104">
        <v>600843.8</v>
      </c>
      <c r="X117" s="104">
        <v>437772.6</v>
      </c>
      <c r="Y117" s="104">
        <v>648733.5</v>
      </c>
      <c r="Z117" s="104">
        <v>862573.8</v>
      </c>
      <c r="AA117" s="104">
        <v>1315490.1</v>
      </c>
      <c r="AB117" s="104">
        <v>982117.7</v>
      </c>
      <c r="AC117" s="104">
        <v>1049477.1</v>
      </c>
      <c r="AD117" s="104">
        <v>814686.1</v>
      </c>
      <c r="AE117" s="104">
        <v>526990.3</v>
      </c>
      <c r="AF117" s="104">
        <v>510745.4</v>
      </c>
      <c r="AG117" s="104">
        <v>1032305.4</v>
      </c>
      <c r="AH117" s="167">
        <v>920368.7</v>
      </c>
      <c r="AI117" s="164"/>
      <c r="AJ117" s="165"/>
    </row>
    <row r="118" ht="15.75" customHeight="1">
      <c r="A118" s="60" t="s">
        <v>99</v>
      </c>
      <c r="B118" s="92">
        <f t="shared" si="56"/>
        <v>950</v>
      </c>
      <c r="C118" s="152">
        <f t="shared" si="57"/>
        <v>30.64516129</v>
      </c>
      <c r="D118" s="65">
        <v>7.0</v>
      </c>
      <c r="E118" s="65">
        <v>9.0</v>
      </c>
      <c r="F118" s="65">
        <v>9.0</v>
      </c>
      <c r="G118" s="65">
        <v>7.0</v>
      </c>
      <c r="H118" s="65">
        <v>10.0</v>
      </c>
      <c r="I118" s="65">
        <v>9.0</v>
      </c>
      <c r="J118" s="65">
        <v>18.0</v>
      </c>
      <c r="K118" s="65">
        <v>15.0</v>
      </c>
      <c r="L118" s="65">
        <v>122.0</v>
      </c>
      <c r="M118" s="65">
        <v>24.0</v>
      </c>
      <c r="N118" s="65">
        <v>21.0</v>
      </c>
      <c r="O118" s="65">
        <v>14.0</v>
      </c>
      <c r="P118" s="65">
        <v>17.0</v>
      </c>
      <c r="Q118" s="65">
        <v>19.0</v>
      </c>
      <c r="R118" s="65">
        <v>18.0</v>
      </c>
      <c r="S118" s="65">
        <v>24.0</v>
      </c>
      <c r="T118" s="65">
        <v>24.0</v>
      </c>
      <c r="U118" s="65">
        <v>19.0</v>
      </c>
      <c r="V118" s="65">
        <v>24.0</v>
      </c>
      <c r="W118" s="65">
        <v>29.0</v>
      </c>
      <c r="X118" s="65">
        <v>19.0</v>
      </c>
      <c r="Y118" s="65">
        <v>43.0</v>
      </c>
      <c r="Z118" s="65">
        <v>45.0</v>
      </c>
      <c r="AA118" s="65">
        <v>53.0</v>
      </c>
      <c r="AB118" s="65">
        <v>51.0</v>
      </c>
      <c r="AC118" s="65">
        <v>38.0</v>
      </c>
      <c r="AD118" s="65">
        <v>45.0</v>
      </c>
      <c r="AE118" s="65">
        <v>50.0</v>
      </c>
      <c r="AF118" s="65">
        <v>35.0</v>
      </c>
      <c r="AG118" s="65">
        <v>61.0</v>
      </c>
      <c r="AH118" s="153">
        <v>71.0</v>
      </c>
      <c r="AI118" s="150"/>
      <c r="AJ118" s="151"/>
    </row>
    <row r="119" ht="15.75" customHeight="1">
      <c r="A119" s="60" t="s">
        <v>100</v>
      </c>
      <c r="B119" s="92">
        <f t="shared" si="56"/>
        <v>4303</v>
      </c>
      <c r="C119" s="152">
        <f t="shared" si="57"/>
        <v>138.8064516</v>
      </c>
      <c r="D119" s="65">
        <v>38.0</v>
      </c>
      <c r="E119" s="65">
        <v>31.0</v>
      </c>
      <c r="F119" s="65">
        <v>43.0</v>
      </c>
      <c r="G119" s="65">
        <v>31.0</v>
      </c>
      <c r="H119" s="65">
        <v>35.0</v>
      </c>
      <c r="I119" s="65">
        <v>70.0</v>
      </c>
      <c r="J119" s="65">
        <v>118.0</v>
      </c>
      <c r="K119" s="65">
        <v>81.0</v>
      </c>
      <c r="L119" s="65">
        <v>155.0</v>
      </c>
      <c r="M119" s="65">
        <v>147.0</v>
      </c>
      <c r="N119" s="65">
        <v>124.0</v>
      </c>
      <c r="O119" s="65">
        <v>88.0</v>
      </c>
      <c r="P119" s="65">
        <v>115.0</v>
      </c>
      <c r="Q119" s="65">
        <v>134.0</v>
      </c>
      <c r="R119" s="65">
        <v>84.0</v>
      </c>
      <c r="S119" s="65">
        <v>133.0</v>
      </c>
      <c r="T119" s="65">
        <v>102.0</v>
      </c>
      <c r="U119" s="65">
        <v>102.0</v>
      </c>
      <c r="V119" s="65">
        <v>155.0</v>
      </c>
      <c r="W119" s="65">
        <v>178.0</v>
      </c>
      <c r="X119" s="65">
        <v>71.0</v>
      </c>
      <c r="Y119" s="65">
        <v>217.0</v>
      </c>
      <c r="Z119" s="65">
        <v>167.0</v>
      </c>
      <c r="AA119" s="65">
        <v>265.0</v>
      </c>
      <c r="AB119" s="65">
        <v>196.0</v>
      </c>
      <c r="AC119" s="65">
        <v>183.0</v>
      </c>
      <c r="AD119" s="65">
        <v>226.0</v>
      </c>
      <c r="AE119" s="65">
        <v>214.0</v>
      </c>
      <c r="AF119" s="65">
        <v>191.0</v>
      </c>
      <c r="AG119" s="65">
        <v>275.0</v>
      </c>
      <c r="AH119" s="153">
        <v>334.0</v>
      </c>
      <c r="AI119" s="150"/>
      <c r="AJ119" s="151"/>
    </row>
    <row r="120" ht="15.75" customHeight="1">
      <c r="A120" s="11" t="s">
        <v>101</v>
      </c>
      <c r="B120" s="108">
        <f t="shared" si="56"/>
        <v>0</v>
      </c>
      <c r="C120" s="108">
        <f t="shared" si="57"/>
        <v>0</v>
      </c>
      <c r="D120" s="104">
        <v>0.0</v>
      </c>
      <c r="E120" s="104">
        <v>0.0</v>
      </c>
      <c r="F120" s="104">
        <v>0.0</v>
      </c>
      <c r="G120" s="104">
        <v>0.0</v>
      </c>
      <c r="H120" s="104">
        <v>0.0</v>
      </c>
      <c r="I120" s="104">
        <v>0.0</v>
      </c>
      <c r="J120" s="104">
        <v>0.0</v>
      </c>
      <c r="K120" s="104">
        <v>0.0</v>
      </c>
      <c r="L120" s="104">
        <v>0.0</v>
      </c>
      <c r="M120" s="104">
        <v>0.0</v>
      </c>
      <c r="N120" s="104">
        <v>0.0</v>
      </c>
      <c r="O120" s="104">
        <v>0.0</v>
      </c>
      <c r="P120" s="104">
        <v>0.0</v>
      </c>
      <c r="Q120" s="104">
        <v>0.0</v>
      </c>
      <c r="R120" s="104">
        <v>0.0</v>
      </c>
      <c r="S120" s="104">
        <v>0.0</v>
      </c>
      <c r="T120" s="104">
        <v>0.0</v>
      </c>
      <c r="U120" s="104">
        <v>0.0</v>
      </c>
      <c r="V120" s="104">
        <v>0.0</v>
      </c>
      <c r="W120" s="104">
        <v>0.0</v>
      </c>
      <c r="X120" s="104">
        <v>0.0</v>
      </c>
      <c r="Y120" s="104">
        <v>0.0</v>
      </c>
      <c r="Z120" s="104">
        <v>0.0</v>
      </c>
      <c r="AA120" s="104">
        <v>0.0</v>
      </c>
      <c r="AB120" s="104">
        <v>0.0</v>
      </c>
      <c r="AC120" s="104">
        <v>0.0</v>
      </c>
      <c r="AD120" s="104">
        <v>0.0</v>
      </c>
      <c r="AE120" s="104">
        <v>0.0</v>
      </c>
      <c r="AF120" s="104">
        <v>0.0</v>
      </c>
      <c r="AG120" s="104">
        <v>0.0</v>
      </c>
      <c r="AH120" s="104">
        <v>0.0</v>
      </c>
      <c r="AI120" s="164"/>
      <c r="AJ120" s="165"/>
    </row>
    <row r="121" ht="15.75" customHeight="1">
      <c r="A121" s="11" t="s">
        <v>102</v>
      </c>
      <c r="B121" s="108">
        <f t="shared" si="56"/>
        <v>0</v>
      </c>
      <c r="C121" s="108">
        <f t="shared" si="57"/>
        <v>0</v>
      </c>
      <c r="D121" s="104">
        <v>0.0</v>
      </c>
      <c r="E121" s="104">
        <v>0.0</v>
      </c>
      <c r="F121" s="104">
        <v>0.0</v>
      </c>
      <c r="G121" s="104">
        <v>0.0</v>
      </c>
      <c r="H121" s="104">
        <v>0.0</v>
      </c>
      <c r="I121" s="104">
        <v>0.0</v>
      </c>
      <c r="J121" s="104">
        <v>0.0</v>
      </c>
      <c r="K121" s="104">
        <v>0.0</v>
      </c>
      <c r="L121" s="104">
        <v>0.0</v>
      </c>
      <c r="M121" s="104">
        <v>0.0</v>
      </c>
      <c r="N121" s="104">
        <v>0.0</v>
      </c>
      <c r="O121" s="104">
        <v>0.0</v>
      </c>
      <c r="P121" s="104">
        <v>0.0</v>
      </c>
      <c r="Q121" s="104">
        <v>0.0</v>
      </c>
      <c r="R121" s="104">
        <v>0.0</v>
      </c>
      <c r="S121" s="104">
        <v>0.0</v>
      </c>
      <c r="T121" s="104">
        <v>0.0</v>
      </c>
      <c r="U121" s="104">
        <v>0.0</v>
      </c>
      <c r="V121" s="104">
        <v>0.0</v>
      </c>
      <c r="W121" s="104">
        <v>0.0</v>
      </c>
      <c r="X121" s="104">
        <v>0.0</v>
      </c>
      <c r="Y121" s="104">
        <v>0.0</v>
      </c>
      <c r="Z121" s="104">
        <v>0.0</v>
      </c>
      <c r="AA121" s="104">
        <v>0.0</v>
      </c>
      <c r="AB121" s="104">
        <v>0.0</v>
      </c>
      <c r="AC121" s="104">
        <v>0.0</v>
      </c>
      <c r="AD121" s="104">
        <v>0.0</v>
      </c>
      <c r="AE121" s="104">
        <v>0.0</v>
      </c>
      <c r="AF121" s="104">
        <v>0.0</v>
      </c>
      <c r="AG121" s="104">
        <v>0.0</v>
      </c>
      <c r="AH121" s="104">
        <v>0.0</v>
      </c>
      <c r="AI121" s="164"/>
      <c r="AJ121" s="165"/>
    </row>
    <row r="122" ht="15.75" customHeight="1">
      <c r="A122" s="60" t="s">
        <v>103</v>
      </c>
      <c r="B122" s="92">
        <f t="shared" si="56"/>
        <v>0</v>
      </c>
      <c r="C122" s="92">
        <f t="shared" si="57"/>
        <v>0</v>
      </c>
      <c r="D122" s="65">
        <v>0.0</v>
      </c>
      <c r="E122" s="65">
        <v>0.0</v>
      </c>
      <c r="F122" s="65">
        <v>0.0</v>
      </c>
      <c r="G122" s="65">
        <v>0.0</v>
      </c>
      <c r="H122" s="65">
        <v>0.0</v>
      </c>
      <c r="I122" s="65">
        <v>0.0</v>
      </c>
      <c r="J122" s="65">
        <v>0.0</v>
      </c>
      <c r="K122" s="65">
        <v>0.0</v>
      </c>
      <c r="L122" s="65">
        <v>0.0</v>
      </c>
      <c r="M122" s="65">
        <v>0.0</v>
      </c>
      <c r="N122" s="65">
        <v>0.0</v>
      </c>
      <c r="O122" s="65">
        <v>0.0</v>
      </c>
      <c r="P122" s="65">
        <v>0.0</v>
      </c>
      <c r="Q122" s="65">
        <v>0.0</v>
      </c>
      <c r="R122" s="65">
        <v>0.0</v>
      </c>
      <c r="S122" s="65">
        <v>0.0</v>
      </c>
      <c r="T122" s="65">
        <v>0.0</v>
      </c>
      <c r="U122" s="65">
        <v>0.0</v>
      </c>
      <c r="V122" s="65">
        <v>0.0</v>
      </c>
      <c r="W122" s="65">
        <v>0.0</v>
      </c>
      <c r="X122" s="65">
        <v>0.0</v>
      </c>
      <c r="Y122" s="65">
        <v>0.0</v>
      </c>
      <c r="Z122" s="65">
        <v>0.0</v>
      </c>
      <c r="AA122" s="65">
        <v>0.0</v>
      </c>
      <c r="AB122" s="65">
        <v>0.0</v>
      </c>
      <c r="AC122" s="65">
        <v>0.0</v>
      </c>
      <c r="AD122" s="65">
        <v>0.0</v>
      </c>
      <c r="AE122" s="65">
        <v>0.0</v>
      </c>
      <c r="AF122" s="65">
        <v>0.0</v>
      </c>
      <c r="AG122" s="65">
        <v>0.0</v>
      </c>
      <c r="AH122" s="65">
        <v>0.0</v>
      </c>
      <c r="AI122" s="150"/>
      <c r="AJ122" s="151"/>
    </row>
    <row r="123" ht="15.75" customHeight="1">
      <c r="A123" s="60" t="s">
        <v>104</v>
      </c>
      <c r="B123" s="92">
        <f t="shared" si="56"/>
        <v>0</v>
      </c>
      <c r="C123" s="92">
        <f t="shared" si="57"/>
        <v>0</v>
      </c>
      <c r="D123" s="65">
        <v>0.0</v>
      </c>
      <c r="E123" s="65">
        <v>0.0</v>
      </c>
      <c r="F123" s="65">
        <v>0.0</v>
      </c>
      <c r="G123" s="65">
        <v>0.0</v>
      </c>
      <c r="H123" s="65">
        <v>0.0</v>
      </c>
      <c r="I123" s="65">
        <v>0.0</v>
      </c>
      <c r="J123" s="65">
        <v>0.0</v>
      </c>
      <c r="K123" s="65">
        <v>0.0</v>
      </c>
      <c r="L123" s="65">
        <v>0.0</v>
      </c>
      <c r="M123" s="65">
        <v>0.0</v>
      </c>
      <c r="N123" s="65">
        <v>0.0</v>
      </c>
      <c r="O123" s="65">
        <v>0.0</v>
      </c>
      <c r="P123" s="65">
        <v>0.0</v>
      </c>
      <c r="Q123" s="65">
        <v>0.0</v>
      </c>
      <c r="R123" s="65">
        <v>0.0</v>
      </c>
      <c r="S123" s="65">
        <v>0.0</v>
      </c>
      <c r="T123" s="65">
        <v>0.0</v>
      </c>
      <c r="U123" s="65">
        <v>0.0</v>
      </c>
      <c r="V123" s="65">
        <v>0.0</v>
      </c>
      <c r="W123" s="65">
        <v>0.0</v>
      </c>
      <c r="X123" s="65">
        <v>0.0</v>
      </c>
      <c r="Y123" s="65">
        <v>0.0</v>
      </c>
      <c r="Z123" s="65">
        <v>0.0</v>
      </c>
      <c r="AA123" s="65">
        <v>0.0</v>
      </c>
      <c r="AB123" s="65">
        <v>0.0</v>
      </c>
      <c r="AC123" s="65">
        <v>0.0</v>
      </c>
      <c r="AD123" s="65">
        <v>0.0</v>
      </c>
      <c r="AE123" s="65">
        <v>0.0</v>
      </c>
      <c r="AF123" s="65">
        <v>0.0</v>
      </c>
      <c r="AG123" s="65">
        <v>0.0</v>
      </c>
      <c r="AH123" s="65">
        <v>0.0</v>
      </c>
      <c r="AI123" s="150"/>
      <c r="AJ123" s="151"/>
    </row>
    <row r="124" ht="15.75" customHeight="1">
      <c r="A124" s="60" t="s">
        <v>105</v>
      </c>
      <c r="B124" s="92">
        <f t="shared" si="56"/>
        <v>950</v>
      </c>
      <c r="C124" s="152">
        <f t="shared" si="57"/>
        <v>30.64516129</v>
      </c>
      <c r="D124" s="60">
        <f t="shared" ref="D124:AH124" si="58">D118+D122</f>
        <v>7</v>
      </c>
      <c r="E124" s="60">
        <f t="shared" si="58"/>
        <v>9</v>
      </c>
      <c r="F124" s="60">
        <f t="shared" si="58"/>
        <v>9</v>
      </c>
      <c r="G124" s="60">
        <f t="shared" si="58"/>
        <v>7</v>
      </c>
      <c r="H124" s="60">
        <f t="shared" si="58"/>
        <v>10</v>
      </c>
      <c r="I124" s="60">
        <f t="shared" si="58"/>
        <v>9</v>
      </c>
      <c r="J124" s="60">
        <f t="shared" si="58"/>
        <v>18</v>
      </c>
      <c r="K124" s="60">
        <f t="shared" si="58"/>
        <v>15</v>
      </c>
      <c r="L124" s="60">
        <f t="shared" si="58"/>
        <v>122</v>
      </c>
      <c r="M124" s="60">
        <f t="shared" si="58"/>
        <v>24</v>
      </c>
      <c r="N124" s="60">
        <f t="shared" si="58"/>
        <v>21</v>
      </c>
      <c r="O124" s="60">
        <f t="shared" si="58"/>
        <v>14</v>
      </c>
      <c r="P124" s="60">
        <f t="shared" si="58"/>
        <v>17</v>
      </c>
      <c r="Q124" s="60">
        <f t="shared" si="58"/>
        <v>19</v>
      </c>
      <c r="R124" s="60">
        <f t="shared" si="58"/>
        <v>18</v>
      </c>
      <c r="S124" s="60">
        <f t="shared" si="58"/>
        <v>24</v>
      </c>
      <c r="T124" s="60">
        <f t="shared" si="58"/>
        <v>24</v>
      </c>
      <c r="U124" s="60">
        <f t="shared" si="58"/>
        <v>19</v>
      </c>
      <c r="V124" s="60">
        <f t="shared" si="58"/>
        <v>24</v>
      </c>
      <c r="W124" s="60">
        <f t="shared" si="58"/>
        <v>29</v>
      </c>
      <c r="X124" s="60">
        <f t="shared" si="58"/>
        <v>19</v>
      </c>
      <c r="Y124" s="60">
        <f t="shared" si="58"/>
        <v>43</v>
      </c>
      <c r="Z124" s="60">
        <f t="shared" si="58"/>
        <v>45</v>
      </c>
      <c r="AA124" s="60">
        <f t="shared" si="58"/>
        <v>53</v>
      </c>
      <c r="AB124" s="60">
        <f t="shared" si="58"/>
        <v>51</v>
      </c>
      <c r="AC124" s="60">
        <f t="shared" si="58"/>
        <v>38</v>
      </c>
      <c r="AD124" s="60">
        <f t="shared" si="58"/>
        <v>45</v>
      </c>
      <c r="AE124" s="60">
        <f t="shared" si="58"/>
        <v>50</v>
      </c>
      <c r="AF124" s="60">
        <f t="shared" si="58"/>
        <v>35</v>
      </c>
      <c r="AG124" s="60">
        <f t="shared" si="58"/>
        <v>61</v>
      </c>
      <c r="AH124" s="60">
        <f t="shared" si="58"/>
        <v>71</v>
      </c>
      <c r="AI124" s="150"/>
      <c r="AJ124" s="151"/>
    </row>
    <row r="125" ht="15.75" customHeight="1">
      <c r="A125" s="11" t="s">
        <v>106</v>
      </c>
      <c r="B125" s="108">
        <f t="shared" si="56"/>
        <v>20308422.38</v>
      </c>
      <c r="C125" s="108">
        <f t="shared" si="57"/>
        <v>655110.3994</v>
      </c>
      <c r="D125" s="11">
        <f t="shared" ref="D125:AH125" si="59">D116+D120</f>
        <v>132362</v>
      </c>
      <c r="E125" s="11">
        <f t="shared" si="59"/>
        <v>112772</v>
      </c>
      <c r="F125" s="11">
        <f t="shared" si="59"/>
        <v>287103</v>
      </c>
      <c r="G125" s="11">
        <f t="shared" si="59"/>
        <v>172460</v>
      </c>
      <c r="H125" s="11">
        <f t="shared" si="59"/>
        <v>76965</v>
      </c>
      <c r="I125" s="11">
        <f t="shared" si="59"/>
        <v>328306.5</v>
      </c>
      <c r="J125" s="11">
        <f t="shared" si="59"/>
        <v>483613.5</v>
      </c>
      <c r="K125" s="11">
        <f t="shared" si="59"/>
        <v>457510.5</v>
      </c>
      <c r="L125" s="11">
        <f t="shared" si="59"/>
        <v>515448.5</v>
      </c>
      <c r="M125" s="11">
        <f t="shared" si="59"/>
        <v>586705.5</v>
      </c>
      <c r="N125" s="11">
        <f t="shared" si="59"/>
        <v>590307</v>
      </c>
      <c r="O125" s="11">
        <f t="shared" si="59"/>
        <v>494332</v>
      </c>
      <c r="P125" s="11">
        <f t="shared" si="59"/>
        <v>574179</v>
      </c>
      <c r="Q125" s="11">
        <f t="shared" si="59"/>
        <v>395513.5</v>
      </c>
      <c r="R125" s="11">
        <f t="shared" si="59"/>
        <v>392478.5</v>
      </c>
      <c r="S125" s="11">
        <f t="shared" si="59"/>
        <v>623654</v>
      </c>
      <c r="T125" s="11">
        <f t="shared" si="59"/>
        <v>579339.5</v>
      </c>
      <c r="U125" s="11">
        <f t="shared" si="59"/>
        <v>450793.75</v>
      </c>
      <c r="V125" s="11">
        <f t="shared" si="59"/>
        <v>1040426</v>
      </c>
      <c r="W125" s="11">
        <f t="shared" si="59"/>
        <v>847361</v>
      </c>
      <c r="X125" s="11">
        <f t="shared" si="59"/>
        <v>397253.5</v>
      </c>
      <c r="Y125" s="11">
        <f t="shared" si="59"/>
        <v>700586.5</v>
      </c>
      <c r="Z125" s="11">
        <f t="shared" si="59"/>
        <v>1033664.38</v>
      </c>
      <c r="AA125" s="11">
        <f t="shared" si="59"/>
        <v>1516627.5</v>
      </c>
      <c r="AB125" s="11">
        <f t="shared" si="59"/>
        <v>1230430.5</v>
      </c>
      <c r="AC125" s="11">
        <f t="shared" si="59"/>
        <v>1178029.5</v>
      </c>
      <c r="AD125" s="11">
        <f t="shared" si="59"/>
        <v>1296404.25</v>
      </c>
      <c r="AE125" s="11">
        <f t="shared" si="59"/>
        <v>821099</v>
      </c>
      <c r="AF125" s="11">
        <f t="shared" si="59"/>
        <v>710138</v>
      </c>
      <c r="AG125" s="11">
        <f t="shared" si="59"/>
        <v>1460953</v>
      </c>
      <c r="AH125" s="11">
        <f t="shared" si="59"/>
        <v>821605.5</v>
      </c>
      <c r="AI125" s="164"/>
      <c r="AJ125" s="165"/>
    </row>
    <row r="126" ht="15.75" customHeight="1">
      <c r="A126" s="11" t="s">
        <v>107</v>
      </c>
      <c r="B126" s="108">
        <f t="shared" si="56"/>
        <v>15934677.3</v>
      </c>
      <c r="C126" s="108">
        <f t="shared" si="57"/>
        <v>514021.8484</v>
      </c>
      <c r="D126" s="11">
        <f t="shared" ref="D126:AH126" si="60">D117+D121</f>
        <v>145126</v>
      </c>
      <c r="E126" s="11">
        <f t="shared" si="60"/>
        <v>150149.7</v>
      </c>
      <c r="F126" s="11">
        <f t="shared" si="60"/>
        <v>122733</v>
      </c>
      <c r="G126" s="11">
        <f t="shared" si="60"/>
        <v>83140.2</v>
      </c>
      <c r="H126" s="11">
        <f t="shared" si="60"/>
        <v>59686.8</v>
      </c>
      <c r="I126" s="11">
        <f t="shared" si="60"/>
        <v>409948</v>
      </c>
      <c r="J126" s="11">
        <f t="shared" si="60"/>
        <v>567889.5</v>
      </c>
      <c r="K126" s="11">
        <f t="shared" si="60"/>
        <v>377584</v>
      </c>
      <c r="L126" s="11">
        <f t="shared" si="60"/>
        <v>282145.7</v>
      </c>
      <c r="M126" s="11">
        <f t="shared" si="60"/>
        <v>555975.4</v>
      </c>
      <c r="N126" s="11">
        <f t="shared" si="60"/>
        <v>399033.8</v>
      </c>
      <c r="O126" s="11">
        <f t="shared" si="60"/>
        <v>363017.8</v>
      </c>
      <c r="P126" s="11">
        <f t="shared" si="60"/>
        <v>482841.8</v>
      </c>
      <c r="Q126" s="11">
        <f t="shared" si="60"/>
        <v>294562.1</v>
      </c>
      <c r="R126" s="11">
        <f t="shared" si="60"/>
        <v>223395.8</v>
      </c>
      <c r="S126" s="11">
        <f t="shared" si="60"/>
        <v>432467.3</v>
      </c>
      <c r="T126" s="11">
        <f t="shared" si="60"/>
        <v>300281.3</v>
      </c>
      <c r="U126" s="11">
        <f t="shared" si="60"/>
        <v>331569.4</v>
      </c>
      <c r="V126" s="11">
        <f t="shared" si="60"/>
        <v>651025.2</v>
      </c>
      <c r="W126" s="11">
        <f t="shared" si="60"/>
        <v>600843.8</v>
      </c>
      <c r="X126" s="11">
        <f t="shared" si="60"/>
        <v>437772.6</v>
      </c>
      <c r="Y126" s="11">
        <f t="shared" si="60"/>
        <v>648733.5</v>
      </c>
      <c r="Z126" s="11">
        <f t="shared" si="60"/>
        <v>862573.8</v>
      </c>
      <c r="AA126" s="11">
        <f t="shared" si="60"/>
        <v>1315490.1</v>
      </c>
      <c r="AB126" s="11">
        <f t="shared" si="60"/>
        <v>982117.7</v>
      </c>
      <c r="AC126" s="11">
        <f t="shared" si="60"/>
        <v>1049477.1</v>
      </c>
      <c r="AD126" s="11">
        <f t="shared" si="60"/>
        <v>814686.1</v>
      </c>
      <c r="AE126" s="11">
        <f t="shared" si="60"/>
        <v>526990.3</v>
      </c>
      <c r="AF126" s="11">
        <f t="shared" si="60"/>
        <v>510745.4</v>
      </c>
      <c r="AG126" s="11">
        <f t="shared" si="60"/>
        <v>1032305.4</v>
      </c>
      <c r="AH126" s="11">
        <f t="shared" si="60"/>
        <v>920368.7</v>
      </c>
      <c r="AI126" s="164"/>
      <c r="AJ126" s="165"/>
    </row>
    <row r="127" ht="15.75" customHeight="1">
      <c r="A127" s="12" t="s">
        <v>40</v>
      </c>
      <c r="B127" s="68">
        <f>C127</f>
        <v>0.804472956</v>
      </c>
      <c r="C127" s="68">
        <f t="shared" si="57"/>
        <v>0.804472956</v>
      </c>
      <c r="D127" s="12">
        <f t="shared" ref="D127:AH127" si="61">D126/D125</f>
        <v>1.096432511</v>
      </c>
      <c r="E127" s="12">
        <f t="shared" si="61"/>
        <v>1.331444862</v>
      </c>
      <c r="F127" s="12">
        <f t="shared" si="61"/>
        <v>0.4274876961</v>
      </c>
      <c r="G127" s="12">
        <f t="shared" si="61"/>
        <v>0.4820839615</v>
      </c>
      <c r="H127" s="12">
        <f t="shared" si="61"/>
        <v>0.7755057494</v>
      </c>
      <c r="I127" s="12">
        <f t="shared" si="61"/>
        <v>1.248674638</v>
      </c>
      <c r="J127" s="12">
        <f t="shared" si="61"/>
        <v>1.174263125</v>
      </c>
      <c r="K127" s="12">
        <f t="shared" si="61"/>
        <v>0.8253012772</v>
      </c>
      <c r="L127" s="12">
        <f t="shared" si="61"/>
        <v>0.5473790301</v>
      </c>
      <c r="M127" s="12">
        <f t="shared" si="61"/>
        <v>0.9476226148</v>
      </c>
      <c r="N127" s="12">
        <f t="shared" si="61"/>
        <v>0.6759767375</v>
      </c>
      <c r="O127" s="12">
        <f t="shared" si="61"/>
        <v>0.7343603085</v>
      </c>
      <c r="P127" s="12">
        <f t="shared" si="61"/>
        <v>0.840925565</v>
      </c>
      <c r="Q127" s="12">
        <f t="shared" si="61"/>
        <v>0.7447586492</v>
      </c>
      <c r="R127" s="12">
        <f t="shared" si="61"/>
        <v>0.5691924526</v>
      </c>
      <c r="S127" s="12">
        <f t="shared" si="61"/>
        <v>0.6934410747</v>
      </c>
      <c r="T127" s="12">
        <f t="shared" si="61"/>
        <v>0.5183166347</v>
      </c>
      <c r="U127" s="12">
        <f t="shared" si="61"/>
        <v>0.7355235071</v>
      </c>
      <c r="V127" s="12">
        <f t="shared" si="61"/>
        <v>0.6257294608</v>
      </c>
      <c r="W127" s="12">
        <f t="shared" si="61"/>
        <v>0.7090765329</v>
      </c>
      <c r="X127" s="12">
        <f t="shared" si="61"/>
        <v>1.101998094</v>
      </c>
      <c r="Y127" s="12">
        <f t="shared" si="61"/>
        <v>0.9259862986</v>
      </c>
      <c r="Z127" s="12">
        <f t="shared" si="61"/>
        <v>0.8344814978</v>
      </c>
      <c r="AA127" s="12">
        <f t="shared" si="61"/>
        <v>0.8673785092</v>
      </c>
      <c r="AB127" s="12">
        <f t="shared" si="61"/>
        <v>0.7981903082</v>
      </c>
      <c r="AC127" s="12">
        <f t="shared" si="61"/>
        <v>0.8908750587</v>
      </c>
      <c r="AD127" s="12">
        <f t="shared" si="61"/>
        <v>0.6284198004</v>
      </c>
      <c r="AE127" s="12">
        <f t="shared" si="61"/>
        <v>0.6418109144</v>
      </c>
      <c r="AF127" s="12">
        <f t="shared" si="61"/>
        <v>0.7192199263</v>
      </c>
      <c r="AG127" s="12">
        <f t="shared" si="61"/>
        <v>0.706597269</v>
      </c>
      <c r="AH127" s="12">
        <f t="shared" si="61"/>
        <v>1.120207569</v>
      </c>
      <c r="AI127" s="155"/>
      <c r="AJ127" s="156"/>
    </row>
    <row r="128" ht="15.75" customHeight="1">
      <c r="A128" s="11" t="s">
        <v>43</v>
      </c>
      <c r="B128" s="108">
        <f t="shared" ref="B128:B145" si="63">SUM(D128:AH128)</f>
        <v>4373745.08</v>
      </c>
      <c r="C128" s="108">
        <f t="shared" si="57"/>
        <v>141088.551</v>
      </c>
      <c r="D128" s="11">
        <f t="shared" ref="D128:AH128" si="62">D125-D126</f>
        <v>-12764</v>
      </c>
      <c r="E128" s="11">
        <f t="shared" si="62"/>
        <v>-37377.7</v>
      </c>
      <c r="F128" s="11">
        <f t="shared" si="62"/>
        <v>164370</v>
      </c>
      <c r="G128" s="11">
        <f t="shared" si="62"/>
        <v>89319.8</v>
      </c>
      <c r="H128" s="11">
        <f t="shared" si="62"/>
        <v>17278.2</v>
      </c>
      <c r="I128" s="11">
        <f t="shared" si="62"/>
        <v>-81641.5</v>
      </c>
      <c r="J128" s="11">
        <f t="shared" si="62"/>
        <v>-84276</v>
      </c>
      <c r="K128" s="11">
        <f t="shared" si="62"/>
        <v>79926.5</v>
      </c>
      <c r="L128" s="11">
        <f t="shared" si="62"/>
        <v>233302.8</v>
      </c>
      <c r="M128" s="11">
        <f t="shared" si="62"/>
        <v>30730.1</v>
      </c>
      <c r="N128" s="11">
        <f t="shared" si="62"/>
        <v>191273.2</v>
      </c>
      <c r="O128" s="11">
        <f t="shared" si="62"/>
        <v>131314.2</v>
      </c>
      <c r="P128" s="11">
        <f t="shared" si="62"/>
        <v>91337.2</v>
      </c>
      <c r="Q128" s="11">
        <f t="shared" si="62"/>
        <v>100951.4</v>
      </c>
      <c r="R128" s="11">
        <f t="shared" si="62"/>
        <v>169082.7</v>
      </c>
      <c r="S128" s="11">
        <f t="shared" si="62"/>
        <v>191186.7</v>
      </c>
      <c r="T128" s="11">
        <f t="shared" si="62"/>
        <v>279058.2</v>
      </c>
      <c r="U128" s="11">
        <f t="shared" si="62"/>
        <v>119224.35</v>
      </c>
      <c r="V128" s="11">
        <f t="shared" si="62"/>
        <v>389400.8</v>
      </c>
      <c r="W128" s="11">
        <f t="shared" si="62"/>
        <v>246517.2</v>
      </c>
      <c r="X128" s="11">
        <f t="shared" si="62"/>
        <v>-40519.1</v>
      </c>
      <c r="Y128" s="11">
        <f t="shared" si="62"/>
        <v>51853</v>
      </c>
      <c r="Z128" s="11">
        <f t="shared" si="62"/>
        <v>171090.58</v>
      </c>
      <c r="AA128" s="11">
        <f t="shared" si="62"/>
        <v>201137.4</v>
      </c>
      <c r="AB128" s="11">
        <f t="shared" si="62"/>
        <v>248312.8</v>
      </c>
      <c r="AC128" s="11">
        <f t="shared" si="62"/>
        <v>128552.4</v>
      </c>
      <c r="AD128" s="11">
        <f t="shared" si="62"/>
        <v>481718.15</v>
      </c>
      <c r="AE128" s="11">
        <f t="shared" si="62"/>
        <v>294108.7</v>
      </c>
      <c r="AF128" s="11">
        <f t="shared" si="62"/>
        <v>199392.6</v>
      </c>
      <c r="AG128" s="11">
        <f t="shared" si="62"/>
        <v>428647.6</v>
      </c>
      <c r="AH128" s="11">
        <f t="shared" si="62"/>
        <v>-98763.2</v>
      </c>
      <c r="AI128" s="164"/>
      <c r="AJ128" s="165"/>
    </row>
    <row r="129" ht="15.75" customHeight="1">
      <c r="A129" s="11" t="s">
        <v>108</v>
      </c>
      <c r="B129" s="108">
        <f t="shared" si="63"/>
        <v>0</v>
      </c>
      <c r="C129" s="108">
        <f t="shared" si="57"/>
        <v>0</v>
      </c>
      <c r="D129" s="104">
        <v>0.0</v>
      </c>
      <c r="E129" s="104">
        <v>0.0</v>
      </c>
      <c r="F129" s="104">
        <v>0.0</v>
      </c>
      <c r="G129" s="104">
        <v>0.0</v>
      </c>
      <c r="H129" s="104">
        <v>0.0</v>
      </c>
      <c r="I129" s="104">
        <v>0.0</v>
      </c>
      <c r="J129" s="104">
        <v>0.0</v>
      </c>
      <c r="K129" s="104">
        <v>0.0</v>
      </c>
      <c r="L129" s="104">
        <v>0.0</v>
      </c>
      <c r="M129" s="104">
        <v>0.0</v>
      </c>
      <c r="N129" s="104">
        <v>0.0</v>
      </c>
      <c r="O129" s="104">
        <v>0.0</v>
      </c>
      <c r="P129" s="104">
        <v>0.0</v>
      </c>
      <c r="Q129" s="104">
        <v>0.0</v>
      </c>
      <c r="R129" s="104">
        <v>0.0</v>
      </c>
      <c r="S129" s="104">
        <v>0.0</v>
      </c>
      <c r="T129" s="104">
        <v>0.0</v>
      </c>
      <c r="U129" s="104">
        <v>0.0</v>
      </c>
      <c r="V129" s="104">
        <v>0.0</v>
      </c>
      <c r="W129" s="104">
        <v>0.0</v>
      </c>
      <c r="X129" s="104">
        <v>0.0</v>
      </c>
      <c r="Y129" s="104">
        <v>0.0</v>
      </c>
      <c r="Z129" s="104">
        <v>0.0</v>
      </c>
      <c r="AA129" s="104">
        <v>0.0</v>
      </c>
      <c r="AB129" s="104">
        <v>0.0</v>
      </c>
      <c r="AC129" s="104">
        <v>0.0</v>
      </c>
      <c r="AD129" s="104">
        <v>0.0</v>
      </c>
      <c r="AE129" s="104">
        <v>0.0</v>
      </c>
      <c r="AF129" s="104">
        <v>0.0</v>
      </c>
      <c r="AG129" s="104">
        <v>0.0</v>
      </c>
      <c r="AH129" s="104">
        <v>0.0</v>
      </c>
      <c r="AI129" s="164"/>
      <c r="AJ129" s="165"/>
    </row>
    <row r="130" ht="15.75" customHeight="1">
      <c r="A130" s="11" t="s">
        <v>62</v>
      </c>
      <c r="B130" s="108">
        <f t="shared" si="63"/>
        <v>4373745.08</v>
      </c>
      <c r="C130" s="108">
        <f t="shared" si="57"/>
        <v>141088.551</v>
      </c>
      <c r="D130" s="11">
        <f t="shared" ref="D130:AH130" si="64">D128-D129</f>
        <v>-12764</v>
      </c>
      <c r="E130" s="11">
        <f t="shared" si="64"/>
        <v>-37377.7</v>
      </c>
      <c r="F130" s="11">
        <f t="shared" si="64"/>
        <v>164370</v>
      </c>
      <c r="G130" s="11">
        <f t="shared" si="64"/>
        <v>89319.8</v>
      </c>
      <c r="H130" s="11">
        <f t="shared" si="64"/>
        <v>17278.2</v>
      </c>
      <c r="I130" s="11">
        <f t="shared" si="64"/>
        <v>-81641.5</v>
      </c>
      <c r="J130" s="11">
        <f t="shared" si="64"/>
        <v>-84276</v>
      </c>
      <c r="K130" s="11">
        <f t="shared" si="64"/>
        <v>79926.5</v>
      </c>
      <c r="L130" s="11">
        <f t="shared" si="64"/>
        <v>233302.8</v>
      </c>
      <c r="M130" s="11">
        <f t="shared" si="64"/>
        <v>30730.1</v>
      </c>
      <c r="N130" s="11">
        <f t="shared" si="64"/>
        <v>191273.2</v>
      </c>
      <c r="O130" s="11">
        <f t="shared" si="64"/>
        <v>131314.2</v>
      </c>
      <c r="P130" s="11">
        <f t="shared" si="64"/>
        <v>91337.2</v>
      </c>
      <c r="Q130" s="11">
        <f t="shared" si="64"/>
        <v>100951.4</v>
      </c>
      <c r="R130" s="11">
        <f t="shared" si="64"/>
        <v>169082.7</v>
      </c>
      <c r="S130" s="11">
        <f t="shared" si="64"/>
        <v>191186.7</v>
      </c>
      <c r="T130" s="11">
        <f t="shared" si="64"/>
        <v>279058.2</v>
      </c>
      <c r="U130" s="11">
        <f t="shared" si="64"/>
        <v>119224.35</v>
      </c>
      <c r="V130" s="11">
        <f t="shared" si="64"/>
        <v>389400.8</v>
      </c>
      <c r="W130" s="11">
        <f t="shared" si="64"/>
        <v>246517.2</v>
      </c>
      <c r="X130" s="11">
        <f t="shared" si="64"/>
        <v>-40519.1</v>
      </c>
      <c r="Y130" s="11">
        <f t="shared" si="64"/>
        <v>51853</v>
      </c>
      <c r="Z130" s="11">
        <f t="shared" si="64"/>
        <v>171090.58</v>
      </c>
      <c r="AA130" s="11">
        <f t="shared" si="64"/>
        <v>201137.4</v>
      </c>
      <c r="AB130" s="11">
        <f t="shared" si="64"/>
        <v>248312.8</v>
      </c>
      <c r="AC130" s="11">
        <f t="shared" si="64"/>
        <v>128552.4</v>
      </c>
      <c r="AD130" s="11">
        <f t="shared" si="64"/>
        <v>481718.15</v>
      </c>
      <c r="AE130" s="11">
        <f t="shared" si="64"/>
        <v>294108.7</v>
      </c>
      <c r="AF130" s="11">
        <f t="shared" si="64"/>
        <v>199392.6</v>
      </c>
      <c r="AG130" s="11">
        <f t="shared" si="64"/>
        <v>428647.6</v>
      </c>
      <c r="AH130" s="11">
        <f t="shared" si="64"/>
        <v>-98763.2</v>
      </c>
      <c r="AI130" s="164"/>
      <c r="AJ130" s="165"/>
    </row>
    <row r="131" ht="15.75" customHeight="1">
      <c r="A131" s="60" t="s">
        <v>64</v>
      </c>
      <c r="B131" s="92">
        <f t="shared" si="63"/>
        <v>0</v>
      </c>
      <c r="C131" s="92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189"/>
      <c r="AI131" s="150"/>
      <c r="AJ131" s="151"/>
    </row>
    <row r="132" ht="15.75" customHeight="1">
      <c r="A132" s="60" t="s">
        <v>75</v>
      </c>
      <c r="B132" s="92">
        <f t="shared" si="63"/>
        <v>0</v>
      </c>
      <c r="C132" s="92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189"/>
      <c r="AI132" s="150"/>
      <c r="AJ132" s="151"/>
    </row>
    <row r="133" ht="15.75" customHeight="1">
      <c r="A133" s="60"/>
      <c r="B133" s="92">
        <f t="shared" si="63"/>
        <v>0</v>
      </c>
      <c r="C133" s="92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189"/>
      <c r="AI133" s="150"/>
      <c r="AJ133" s="151"/>
    </row>
    <row r="134" ht="15.75" customHeight="1">
      <c r="A134" s="56" t="s">
        <v>109</v>
      </c>
      <c r="B134" s="56">
        <f t="shared" si="63"/>
        <v>0</v>
      </c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144"/>
      <c r="AI134" s="145"/>
      <c r="AJ134" s="146"/>
    </row>
    <row r="135" ht="15.75" customHeight="1">
      <c r="A135" s="11" t="s">
        <v>97</v>
      </c>
      <c r="B135" s="108">
        <f t="shared" si="63"/>
        <v>91523570</v>
      </c>
      <c r="C135" s="108">
        <f t="shared" ref="C135:C149" si="65">AVERAGE(D135:AH135)</f>
        <v>2952373.226</v>
      </c>
      <c r="D135" s="104">
        <v>1622880.0</v>
      </c>
      <c r="E135" s="104">
        <v>482165.0</v>
      </c>
      <c r="F135" s="104">
        <v>1143969.0</v>
      </c>
      <c r="G135" s="104">
        <v>724636.5</v>
      </c>
      <c r="H135" s="104">
        <v>1136990.0</v>
      </c>
      <c r="I135" s="104">
        <v>1696285.0</v>
      </c>
      <c r="J135" s="104">
        <v>1634116.5</v>
      </c>
      <c r="K135" s="104">
        <v>1296455.0</v>
      </c>
      <c r="L135" s="193">
        <v>1340457.0</v>
      </c>
      <c r="M135" s="104">
        <v>609680.5</v>
      </c>
      <c r="N135" s="104">
        <v>1844960.0</v>
      </c>
      <c r="O135" s="104">
        <v>1170662.0</v>
      </c>
      <c r="P135" s="104">
        <v>1435585.5</v>
      </c>
      <c r="Q135" s="104">
        <v>1733713.0</v>
      </c>
      <c r="R135" s="104">
        <v>2741084.0</v>
      </c>
      <c r="S135" s="104">
        <v>2690228.5</v>
      </c>
      <c r="T135" s="104">
        <v>1984022.0</v>
      </c>
      <c r="U135" s="104">
        <v>2148210.0</v>
      </c>
      <c r="V135" s="104">
        <v>5371480.5</v>
      </c>
      <c r="W135" s="104">
        <v>3986035.5</v>
      </c>
      <c r="X135" s="104">
        <v>3105996.5</v>
      </c>
      <c r="Y135" s="104">
        <v>3666766.5</v>
      </c>
      <c r="Z135" s="104">
        <v>5104185.0</v>
      </c>
      <c r="AA135" s="104">
        <v>6125199.5</v>
      </c>
      <c r="AB135" s="104">
        <v>5446438.0</v>
      </c>
      <c r="AC135" s="104">
        <v>4864247.0</v>
      </c>
      <c r="AD135" s="104">
        <v>3428373.5</v>
      </c>
      <c r="AE135" s="104">
        <v>3963545.0</v>
      </c>
      <c r="AF135" s="104">
        <v>5947656.0</v>
      </c>
      <c r="AG135" s="104">
        <v>6813230.0</v>
      </c>
      <c r="AH135" s="167">
        <v>6264317.5</v>
      </c>
      <c r="AI135" s="164"/>
      <c r="AJ135" s="165"/>
    </row>
    <row r="136" ht="15.75" customHeight="1">
      <c r="A136" s="11" t="s">
        <v>98</v>
      </c>
      <c r="B136" s="108">
        <f t="shared" si="63"/>
        <v>88337218.2</v>
      </c>
      <c r="C136" s="108">
        <f t="shared" si="65"/>
        <v>2849587.684</v>
      </c>
      <c r="D136" s="104">
        <v>1345037.0</v>
      </c>
      <c r="E136" s="104">
        <v>695346.3</v>
      </c>
      <c r="F136" s="104">
        <v>972289.8</v>
      </c>
      <c r="G136" s="104">
        <v>774451.9</v>
      </c>
      <c r="H136" s="104">
        <v>995699.3</v>
      </c>
      <c r="I136" s="104">
        <v>1457800.5</v>
      </c>
      <c r="J136" s="104">
        <v>1629602.6</v>
      </c>
      <c r="K136" s="104">
        <v>1254647.3</v>
      </c>
      <c r="L136" s="104">
        <v>1281866.7</v>
      </c>
      <c r="M136" s="104">
        <v>537333.7</v>
      </c>
      <c r="N136" s="104">
        <v>1757130.4</v>
      </c>
      <c r="O136" s="104">
        <v>1028515.5</v>
      </c>
      <c r="P136" s="104">
        <v>1287541.3</v>
      </c>
      <c r="Q136" s="104">
        <v>1475020.2</v>
      </c>
      <c r="R136" s="104">
        <v>2763301.1</v>
      </c>
      <c r="S136" s="104">
        <v>2799900.8</v>
      </c>
      <c r="T136" s="104">
        <v>1919501.2</v>
      </c>
      <c r="U136" s="104">
        <v>2007153.8</v>
      </c>
      <c r="V136" s="104">
        <v>5307240.0</v>
      </c>
      <c r="W136" s="104">
        <v>3902651.5</v>
      </c>
      <c r="X136" s="104">
        <v>2826822.2</v>
      </c>
      <c r="Y136" s="104">
        <v>3848899.7</v>
      </c>
      <c r="Z136" s="104">
        <v>4889791.2</v>
      </c>
      <c r="AA136" s="104">
        <v>5882016.1</v>
      </c>
      <c r="AB136" s="104">
        <v>5330134.3</v>
      </c>
      <c r="AC136" s="104">
        <v>4857705.0</v>
      </c>
      <c r="AD136" s="104">
        <v>3041514.3</v>
      </c>
      <c r="AE136" s="104">
        <v>3804722.8</v>
      </c>
      <c r="AF136" s="104">
        <v>5957505.4</v>
      </c>
      <c r="AG136" s="104">
        <v>6540001.1</v>
      </c>
      <c r="AH136" s="167">
        <v>6166075.2</v>
      </c>
      <c r="AI136" s="164"/>
      <c r="AJ136" s="165"/>
    </row>
    <row r="137" ht="15.75" customHeight="1">
      <c r="A137" s="60" t="s">
        <v>99</v>
      </c>
      <c r="B137" s="92">
        <f t="shared" si="63"/>
        <v>819</v>
      </c>
      <c r="C137" s="92">
        <f t="shared" si="65"/>
        <v>26.41935484</v>
      </c>
      <c r="D137" s="65">
        <v>6.0</v>
      </c>
      <c r="E137" s="65">
        <v>7.0</v>
      </c>
      <c r="F137" s="65">
        <v>7.0</v>
      </c>
      <c r="G137" s="65">
        <v>7.0</v>
      </c>
      <c r="H137" s="65">
        <v>7.0</v>
      </c>
      <c r="I137" s="65">
        <v>7.0</v>
      </c>
      <c r="J137" s="65">
        <v>12.0</v>
      </c>
      <c r="K137" s="65">
        <v>12.0</v>
      </c>
      <c r="L137" s="65">
        <v>11.0</v>
      </c>
      <c r="M137" s="65">
        <v>17.0</v>
      </c>
      <c r="N137" s="65">
        <v>16.0</v>
      </c>
      <c r="O137" s="65">
        <v>16.0</v>
      </c>
      <c r="P137" s="65">
        <v>16.0</v>
      </c>
      <c r="Q137" s="65">
        <v>18.0</v>
      </c>
      <c r="R137" s="65">
        <v>20.0</v>
      </c>
      <c r="S137" s="65">
        <v>24.0</v>
      </c>
      <c r="T137" s="65">
        <v>24.0</v>
      </c>
      <c r="U137" s="65">
        <v>19.0</v>
      </c>
      <c r="V137" s="65">
        <v>30.0</v>
      </c>
      <c r="W137" s="65">
        <v>29.0</v>
      </c>
      <c r="X137" s="65">
        <v>20.0</v>
      </c>
      <c r="Y137" s="65">
        <v>34.0</v>
      </c>
      <c r="Z137" s="65">
        <v>47.0</v>
      </c>
      <c r="AA137" s="65">
        <v>59.0</v>
      </c>
      <c r="AB137" s="65">
        <v>50.0</v>
      </c>
      <c r="AC137" s="65">
        <v>37.0</v>
      </c>
      <c r="AD137" s="65">
        <v>44.0</v>
      </c>
      <c r="AE137" s="65">
        <v>45.0</v>
      </c>
      <c r="AF137" s="65">
        <v>46.0</v>
      </c>
      <c r="AG137" s="65">
        <v>58.0</v>
      </c>
      <c r="AH137" s="153">
        <v>74.0</v>
      </c>
      <c r="AI137" s="150"/>
      <c r="AJ137" s="151"/>
    </row>
    <row r="138" ht="15.75" customHeight="1">
      <c r="A138" s="60" t="s">
        <v>100</v>
      </c>
      <c r="B138" s="92">
        <f t="shared" si="63"/>
        <v>4620</v>
      </c>
      <c r="C138" s="92">
        <f t="shared" si="65"/>
        <v>149.0322581</v>
      </c>
      <c r="D138" s="65">
        <v>29.0</v>
      </c>
      <c r="E138" s="65">
        <v>20.0</v>
      </c>
      <c r="F138" s="65">
        <v>32.0</v>
      </c>
      <c r="G138" s="65">
        <v>28.0</v>
      </c>
      <c r="H138" s="65">
        <v>33.0</v>
      </c>
      <c r="I138" s="65">
        <v>35.0</v>
      </c>
      <c r="J138" s="65">
        <v>71.0</v>
      </c>
      <c r="K138" s="65">
        <v>56.0</v>
      </c>
      <c r="L138" s="65">
        <v>83.0</v>
      </c>
      <c r="M138" s="65">
        <v>51.0</v>
      </c>
      <c r="N138" s="65">
        <v>95.0</v>
      </c>
      <c r="O138" s="65">
        <v>91.0</v>
      </c>
      <c r="P138" s="65">
        <v>78.0</v>
      </c>
      <c r="Q138" s="65">
        <v>131.0</v>
      </c>
      <c r="R138" s="65">
        <v>112.0</v>
      </c>
      <c r="S138" s="65">
        <v>128.0</v>
      </c>
      <c r="T138" s="65">
        <v>98.0</v>
      </c>
      <c r="U138" s="65">
        <v>110.0</v>
      </c>
      <c r="V138" s="65">
        <v>212.0</v>
      </c>
      <c r="W138" s="65">
        <v>214.0</v>
      </c>
      <c r="X138" s="65">
        <v>139.0</v>
      </c>
      <c r="Y138" s="65">
        <v>238.0</v>
      </c>
      <c r="Z138" s="65">
        <v>260.0</v>
      </c>
      <c r="AA138" s="65">
        <v>344.0</v>
      </c>
      <c r="AB138" s="65">
        <v>232.0</v>
      </c>
      <c r="AC138" s="65">
        <v>218.0</v>
      </c>
      <c r="AD138" s="65">
        <v>192.0</v>
      </c>
      <c r="AE138" s="65">
        <v>233.0</v>
      </c>
      <c r="AF138" s="65">
        <v>270.0</v>
      </c>
      <c r="AG138" s="65">
        <v>354.0</v>
      </c>
      <c r="AH138" s="153">
        <v>433.0</v>
      </c>
      <c r="AI138" s="150"/>
      <c r="AJ138" s="151"/>
    </row>
    <row r="139" ht="15.75" customHeight="1">
      <c r="A139" s="11" t="s">
        <v>101</v>
      </c>
      <c r="B139" s="108">
        <f t="shared" si="63"/>
        <v>0</v>
      </c>
      <c r="C139" s="108">
        <f t="shared" si="65"/>
        <v>0</v>
      </c>
      <c r="D139" s="104">
        <v>0.0</v>
      </c>
      <c r="E139" s="104">
        <v>0.0</v>
      </c>
      <c r="F139" s="104">
        <v>0.0</v>
      </c>
      <c r="G139" s="104">
        <v>0.0</v>
      </c>
      <c r="H139" s="104">
        <v>0.0</v>
      </c>
      <c r="I139" s="104">
        <v>0.0</v>
      </c>
      <c r="J139" s="104">
        <v>0.0</v>
      </c>
      <c r="K139" s="104">
        <v>0.0</v>
      </c>
      <c r="L139" s="104">
        <v>0.0</v>
      </c>
      <c r="M139" s="104">
        <v>0.0</v>
      </c>
      <c r="N139" s="104">
        <v>0.0</v>
      </c>
      <c r="O139" s="104">
        <v>0.0</v>
      </c>
      <c r="P139" s="104">
        <v>0.0</v>
      </c>
      <c r="Q139" s="104">
        <v>0.0</v>
      </c>
      <c r="R139" s="104">
        <v>0.0</v>
      </c>
      <c r="S139" s="104">
        <v>0.0</v>
      </c>
      <c r="T139" s="104">
        <v>0.0</v>
      </c>
      <c r="U139" s="104">
        <v>0.0</v>
      </c>
      <c r="V139" s="104">
        <v>0.0</v>
      </c>
      <c r="W139" s="104">
        <v>0.0</v>
      </c>
      <c r="X139" s="104">
        <v>0.0</v>
      </c>
      <c r="Y139" s="104">
        <v>0.0</v>
      </c>
      <c r="Z139" s="104">
        <v>0.0</v>
      </c>
      <c r="AA139" s="104">
        <v>0.0</v>
      </c>
      <c r="AB139" s="104">
        <v>0.0</v>
      </c>
      <c r="AC139" s="104">
        <v>0.0</v>
      </c>
      <c r="AD139" s="104">
        <v>0.0</v>
      </c>
      <c r="AE139" s="104">
        <v>0.0</v>
      </c>
      <c r="AF139" s="104">
        <v>0.0</v>
      </c>
      <c r="AG139" s="104">
        <v>0.0</v>
      </c>
      <c r="AH139" s="104">
        <v>0.0</v>
      </c>
      <c r="AI139" s="164"/>
      <c r="AJ139" s="165"/>
    </row>
    <row r="140" ht="15.75" customHeight="1">
      <c r="A140" s="11" t="s">
        <v>102</v>
      </c>
      <c r="B140" s="108">
        <f t="shared" si="63"/>
        <v>0</v>
      </c>
      <c r="C140" s="108">
        <f t="shared" si="65"/>
        <v>0</v>
      </c>
      <c r="D140" s="104">
        <v>0.0</v>
      </c>
      <c r="E140" s="104">
        <v>0.0</v>
      </c>
      <c r="F140" s="104">
        <v>0.0</v>
      </c>
      <c r="G140" s="104">
        <v>0.0</v>
      </c>
      <c r="H140" s="104">
        <v>0.0</v>
      </c>
      <c r="I140" s="104">
        <v>0.0</v>
      </c>
      <c r="J140" s="104">
        <v>0.0</v>
      </c>
      <c r="K140" s="104">
        <v>0.0</v>
      </c>
      <c r="L140" s="104">
        <v>0.0</v>
      </c>
      <c r="M140" s="104">
        <v>0.0</v>
      </c>
      <c r="N140" s="104">
        <v>0.0</v>
      </c>
      <c r="O140" s="104">
        <v>0.0</v>
      </c>
      <c r="P140" s="104">
        <v>0.0</v>
      </c>
      <c r="Q140" s="104">
        <v>0.0</v>
      </c>
      <c r="R140" s="104">
        <v>0.0</v>
      </c>
      <c r="S140" s="104">
        <v>0.0</v>
      </c>
      <c r="T140" s="104">
        <v>0.0</v>
      </c>
      <c r="U140" s="104">
        <v>0.0</v>
      </c>
      <c r="V140" s="104">
        <v>0.0</v>
      </c>
      <c r="W140" s="104">
        <v>0.0</v>
      </c>
      <c r="X140" s="104">
        <v>0.0</v>
      </c>
      <c r="Y140" s="104">
        <v>0.0</v>
      </c>
      <c r="Z140" s="104">
        <v>0.0</v>
      </c>
      <c r="AA140" s="104">
        <v>0.0</v>
      </c>
      <c r="AB140" s="104">
        <v>0.0</v>
      </c>
      <c r="AC140" s="104">
        <v>0.0</v>
      </c>
      <c r="AD140" s="104">
        <v>0.0</v>
      </c>
      <c r="AE140" s="104">
        <v>0.0</v>
      </c>
      <c r="AF140" s="104">
        <v>0.0</v>
      </c>
      <c r="AG140" s="104">
        <v>0.0</v>
      </c>
      <c r="AH140" s="104">
        <v>0.0</v>
      </c>
      <c r="AI140" s="164"/>
      <c r="AJ140" s="165"/>
    </row>
    <row r="141" ht="15.75" customHeight="1">
      <c r="A141" s="60" t="s">
        <v>103</v>
      </c>
      <c r="B141" s="92">
        <f t="shared" si="63"/>
        <v>0</v>
      </c>
      <c r="C141" s="92">
        <f t="shared" si="65"/>
        <v>0</v>
      </c>
      <c r="D141" s="65">
        <v>0.0</v>
      </c>
      <c r="E141" s="65">
        <v>0.0</v>
      </c>
      <c r="F141" s="65">
        <v>0.0</v>
      </c>
      <c r="G141" s="65">
        <v>0.0</v>
      </c>
      <c r="H141" s="65">
        <v>0.0</v>
      </c>
      <c r="I141" s="65">
        <v>0.0</v>
      </c>
      <c r="J141" s="65">
        <v>0.0</v>
      </c>
      <c r="K141" s="65">
        <v>0.0</v>
      </c>
      <c r="L141" s="65">
        <v>0.0</v>
      </c>
      <c r="M141" s="65">
        <v>0.0</v>
      </c>
      <c r="N141" s="65">
        <v>0.0</v>
      </c>
      <c r="O141" s="65">
        <v>0.0</v>
      </c>
      <c r="P141" s="65">
        <v>0.0</v>
      </c>
      <c r="Q141" s="65">
        <v>0.0</v>
      </c>
      <c r="R141" s="65">
        <v>0.0</v>
      </c>
      <c r="S141" s="65">
        <v>0.0</v>
      </c>
      <c r="T141" s="65">
        <v>0.0</v>
      </c>
      <c r="U141" s="65">
        <v>0.0</v>
      </c>
      <c r="V141" s="65">
        <v>0.0</v>
      </c>
      <c r="W141" s="65">
        <v>0.0</v>
      </c>
      <c r="X141" s="65">
        <v>0.0</v>
      </c>
      <c r="Y141" s="65">
        <v>0.0</v>
      </c>
      <c r="Z141" s="65">
        <v>0.0</v>
      </c>
      <c r="AA141" s="65">
        <v>0.0</v>
      </c>
      <c r="AB141" s="65">
        <v>0.0</v>
      </c>
      <c r="AC141" s="65">
        <v>0.0</v>
      </c>
      <c r="AD141" s="65">
        <v>0.0</v>
      </c>
      <c r="AE141" s="65">
        <v>0.0</v>
      </c>
      <c r="AF141" s="65">
        <v>0.0</v>
      </c>
      <c r="AG141" s="65">
        <v>0.0</v>
      </c>
      <c r="AH141" s="65">
        <v>0.0</v>
      </c>
      <c r="AI141" s="150"/>
      <c r="AJ141" s="151"/>
    </row>
    <row r="142" ht="15.75" customHeight="1">
      <c r="A142" s="60" t="s">
        <v>104</v>
      </c>
      <c r="B142" s="92">
        <f t="shared" si="63"/>
        <v>0</v>
      </c>
      <c r="C142" s="92">
        <f t="shared" si="65"/>
        <v>0</v>
      </c>
      <c r="D142" s="65">
        <v>0.0</v>
      </c>
      <c r="E142" s="65">
        <v>0.0</v>
      </c>
      <c r="F142" s="65">
        <v>0.0</v>
      </c>
      <c r="G142" s="65">
        <v>0.0</v>
      </c>
      <c r="H142" s="65">
        <v>0.0</v>
      </c>
      <c r="I142" s="65">
        <v>0.0</v>
      </c>
      <c r="J142" s="65">
        <v>0.0</v>
      </c>
      <c r="K142" s="65">
        <v>0.0</v>
      </c>
      <c r="L142" s="65">
        <v>0.0</v>
      </c>
      <c r="M142" s="65">
        <v>0.0</v>
      </c>
      <c r="N142" s="65">
        <v>0.0</v>
      </c>
      <c r="O142" s="65">
        <v>0.0</v>
      </c>
      <c r="P142" s="65">
        <v>0.0</v>
      </c>
      <c r="Q142" s="65">
        <v>0.0</v>
      </c>
      <c r="R142" s="65">
        <v>0.0</v>
      </c>
      <c r="S142" s="65">
        <v>0.0</v>
      </c>
      <c r="T142" s="65">
        <v>0.0</v>
      </c>
      <c r="U142" s="65">
        <v>0.0</v>
      </c>
      <c r="V142" s="65">
        <v>0.0</v>
      </c>
      <c r="W142" s="65">
        <v>0.0</v>
      </c>
      <c r="X142" s="65">
        <v>0.0</v>
      </c>
      <c r="Y142" s="65">
        <v>0.0</v>
      </c>
      <c r="Z142" s="65">
        <v>0.0</v>
      </c>
      <c r="AA142" s="65">
        <v>0.0</v>
      </c>
      <c r="AB142" s="65">
        <v>0.0</v>
      </c>
      <c r="AC142" s="65">
        <v>0.0</v>
      </c>
      <c r="AD142" s="65">
        <v>0.0</v>
      </c>
      <c r="AE142" s="65">
        <v>0.0</v>
      </c>
      <c r="AF142" s="65">
        <v>0.0</v>
      </c>
      <c r="AG142" s="65">
        <v>0.0</v>
      </c>
      <c r="AH142" s="65">
        <v>0.0</v>
      </c>
      <c r="AI142" s="150"/>
      <c r="AJ142" s="151"/>
    </row>
    <row r="143" ht="15.75" customHeight="1">
      <c r="A143" s="60" t="s">
        <v>105</v>
      </c>
      <c r="B143" s="92">
        <f t="shared" si="63"/>
        <v>819</v>
      </c>
      <c r="C143" s="92">
        <f t="shared" si="65"/>
        <v>26.41935484</v>
      </c>
      <c r="D143" s="60">
        <f t="shared" ref="D143:AH143" si="66">D137+D141</f>
        <v>6</v>
      </c>
      <c r="E143" s="60">
        <f t="shared" si="66"/>
        <v>7</v>
      </c>
      <c r="F143" s="60">
        <f t="shared" si="66"/>
        <v>7</v>
      </c>
      <c r="G143" s="60">
        <f t="shared" si="66"/>
        <v>7</v>
      </c>
      <c r="H143" s="60">
        <f t="shared" si="66"/>
        <v>7</v>
      </c>
      <c r="I143" s="60">
        <f t="shared" si="66"/>
        <v>7</v>
      </c>
      <c r="J143" s="60">
        <f t="shared" si="66"/>
        <v>12</v>
      </c>
      <c r="K143" s="60">
        <f t="shared" si="66"/>
        <v>12</v>
      </c>
      <c r="L143" s="60">
        <f t="shared" si="66"/>
        <v>11</v>
      </c>
      <c r="M143" s="60">
        <f t="shared" si="66"/>
        <v>17</v>
      </c>
      <c r="N143" s="60">
        <f t="shared" si="66"/>
        <v>16</v>
      </c>
      <c r="O143" s="60">
        <f t="shared" si="66"/>
        <v>16</v>
      </c>
      <c r="P143" s="60">
        <f t="shared" si="66"/>
        <v>16</v>
      </c>
      <c r="Q143" s="60">
        <f t="shared" si="66"/>
        <v>18</v>
      </c>
      <c r="R143" s="60">
        <f t="shared" si="66"/>
        <v>20</v>
      </c>
      <c r="S143" s="60">
        <f t="shared" si="66"/>
        <v>24</v>
      </c>
      <c r="T143" s="60">
        <f t="shared" si="66"/>
        <v>24</v>
      </c>
      <c r="U143" s="60">
        <f t="shared" si="66"/>
        <v>19</v>
      </c>
      <c r="V143" s="60">
        <f t="shared" si="66"/>
        <v>30</v>
      </c>
      <c r="W143" s="60">
        <f t="shared" si="66"/>
        <v>29</v>
      </c>
      <c r="X143" s="60">
        <f t="shared" si="66"/>
        <v>20</v>
      </c>
      <c r="Y143" s="60">
        <f t="shared" si="66"/>
        <v>34</v>
      </c>
      <c r="Z143" s="60">
        <f t="shared" si="66"/>
        <v>47</v>
      </c>
      <c r="AA143" s="60">
        <f t="shared" si="66"/>
        <v>59</v>
      </c>
      <c r="AB143" s="60">
        <f t="shared" si="66"/>
        <v>50</v>
      </c>
      <c r="AC143" s="60">
        <f t="shared" si="66"/>
        <v>37</v>
      </c>
      <c r="AD143" s="60">
        <f t="shared" si="66"/>
        <v>44</v>
      </c>
      <c r="AE143" s="60">
        <f t="shared" si="66"/>
        <v>45</v>
      </c>
      <c r="AF143" s="60">
        <f t="shared" si="66"/>
        <v>46</v>
      </c>
      <c r="AG143" s="60">
        <f t="shared" si="66"/>
        <v>58</v>
      </c>
      <c r="AH143" s="60">
        <f t="shared" si="66"/>
        <v>74</v>
      </c>
      <c r="AI143" s="150"/>
      <c r="AJ143" s="151"/>
    </row>
    <row r="144" ht="15.75" customHeight="1">
      <c r="A144" s="11" t="s">
        <v>106</v>
      </c>
      <c r="B144" s="108">
        <f t="shared" si="63"/>
        <v>91523570</v>
      </c>
      <c r="C144" s="108">
        <f t="shared" si="65"/>
        <v>2952373.226</v>
      </c>
      <c r="D144" s="11">
        <f t="shared" ref="D144:AH144" si="67">D135+D139</f>
        <v>1622880</v>
      </c>
      <c r="E144" s="11">
        <f t="shared" si="67"/>
        <v>482165</v>
      </c>
      <c r="F144" s="11">
        <f t="shared" si="67"/>
        <v>1143969</v>
      </c>
      <c r="G144" s="11">
        <f t="shared" si="67"/>
        <v>724636.5</v>
      </c>
      <c r="H144" s="11">
        <f t="shared" si="67"/>
        <v>1136990</v>
      </c>
      <c r="I144" s="11">
        <f t="shared" si="67"/>
        <v>1696285</v>
      </c>
      <c r="J144" s="11">
        <f t="shared" si="67"/>
        <v>1634116.5</v>
      </c>
      <c r="K144" s="11">
        <f t="shared" si="67"/>
        <v>1296455</v>
      </c>
      <c r="L144" s="11">
        <f t="shared" si="67"/>
        <v>1340457</v>
      </c>
      <c r="M144" s="11">
        <f t="shared" si="67"/>
        <v>609680.5</v>
      </c>
      <c r="N144" s="11">
        <f t="shared" si="67"/>
        <v>1844960</v>
      </c>
      <c r="O144" s="11">
        <f t="shared" si="67"/>
        <v>1170662</v>
      </c>
      <c r="P144" s="11">
        <f t="shared" si="67"/>
        <v>1435585.5</v>
      </c>
      <c r="Q144" s="11">
        <f t="shared" si="67"/>
        <v>1733713</v>
      </c>
      <c r="R144" s="11">
        <f t="shared" si="67"/>
        <v>2741084</v>
      </c>
      <c r="S144" s="11">
        <f t="shared" si="67"/>
        <v>2690228.5</v>
      </c>
      <c r="T144" s="11">
        <f t="shared" si="67"/>
        <v>1984022</v>
      </c>
      <c r="U144" s="11">
        <f t="shared" si="67"/>
        <v>2148210</v>
      </c>
      <c r="V144" s="11">
        <f t="shared" si="67"/>
        <v>5371480.5</v>
      </c>
      <c r="W144" s="11">
        <f t="shared" si="67"/>
        <v>3986035.5</v>
      </c>
      <c r="X144" s="11">
        <f t="shared" si="67"/>
        <v>3105996.5</v>
      </c>
      <c r="Y144" s="11">
        <f t="shared" si="67"/>
        <v>3666766.5</v>
      </c>
      <c r="Z144" s="11">
        <f t="shared" si="67"/>
        <v>5104185</v>
      </c>
      <c r="AA144" s="11">
        <f t="shared" si="67"/>
        <v>6125199.5</v>
      </c>
      <c r="AB144" s="11">
        <f t="shared" si="67"/>
        <v>5446438</v>
      </c>
      <c r="AC144" s="11">
        <f t="shared" si="67"/>
        <v>4864247</v>
      </c>
      <c r="AD144" s="11">
        <f t="shared" si="67"/>
        <v>3428373.5</v>
      </c>
      <c r="AE144" s="11">
        <f t="shared" si="67"/>
        <v>3963545</v>
      </c>
      <c r="AF144" s="11">
        <f t="shared" si="67"/>
        <v>5947656</v>
      </c>
      <c r="AG144" s="11">
        <f t="shared" si="67"/>
        <v>6813230</v>
      </c>
      <c r="AH144" s="11">
        <f t="shared" si="67"/>
        <v>6264317.5</v>
      </c>
      <c r="AI144" s="164"/>
      <c r="AJ144" s="165"/>
    </row>
    <row r="145" ht="15.75" customHeight="1">
      <c r="A145" s="11" t="s">
        <v>107</v>
      </c>
      <c r="B145" s="108">
        <f t="shared" si="63"/>
        <v>88337218.2</v>
      </c>
      <c r="C145" s="108">
        <f t="shared" si="65"/>
        <v>2849587.684</v>
      </c>
      <c r="D145" s="11">
        <f t="shared" ref="D145:AH145" si="68">D136+D140</f>
        <v>1345037</v>
      </c>
      <c r="E145" s="11">
        <f t="shared" si="68"/>
        <v>695346.3</v>
      </c>
      <c r="F145" s="11">
        <f t="shared" si="68"/>
        <v>972289.8</v>
      </c>
      <c r="G145" s="11">
        <f t="shared" si="68"/>
        <v>774451.9</v>
      </c>
      <c r="H145" s="11">
        <f t="shared" si="68"/>
        <v>995699.3</v>
      </c>
      <c r="I145" s="11">
        <f t="shared" si="68"/>
        <v>1457800.5</v>
      </c>
      <c r="J145" s="11">
        <f t="shared" si="68"/>
        <v>1629602.6</v>
      </c>
      <c r="K145" s="11">
        <f t="shared" si="68"/>
        <v>1254647.3</v>
      </c>
      <c r="L145" s="11">
        <f t="shared" si="68"/>
        <v>1281866.7</v>
      </c>
      <c r="M145" s="11">
        <f t="shared" si="68"/>
        <v>537333.7</v>
      </c>
      <c r="N145" s="11">
        <f t="shared" si="68"/>
        <v>1757130.4</v>
      </c>
      <c r="O145" s="11">
        <f t="shared" si="68"/>
        <v>1028515.5</v>
      </c>
      <c r="P145" s="11">
        <f t="shared" si="68"/>
        <v>1287541.3</v>
      </c>
      <c r="Q145" s="11">
        <f t="shared" si="68"/>
        <v>1475020.2</v>
      </c>
      <c r="R145" s="11">
        <f t="shared" si="68"/>
        <v>2763301.1</v>
      </c>
      <c r="S145" s="11">
        <f t="shared" si="68"/>
        <v>2799900.8</v>
      </c>
      <c r="T145" s="11">
        <f t="shared" si="68"/>
        <v>1919501.2</v>
      </c>
      <c r="U145" s="11">
        <f t="shared" si="68"/>
        <v>2007153.8</v>
      </c>
      <c r="V145" s="11">
        <f t="shared" si="68"/>
        <v>5307240</v>
      </c>
      <c r="W145" s="11">
        <f t="shared" si="68"/>
        <v>3902651.5</v>
      </c>
      <c r="X145" s="11">
        <f t="shared" si="68"/>
        <v>2826822.2</v>
      </c>
      <c r="Y145" s="11">
        <f t="shared" si="68"/>
        <v>3848899.7</v>
      </c>
      <c r="Z145" s="11">
        <f t="shared" si="68"/>
        <v>4889791.2</v>
      </c>
      <c r="AA145" s="11">
        <f t="shared" si="68"/>
        <v>5882016.1</v>
      </c>
      <c r="AB145" s="11">
        <f t="shared" si="68"/>
        <v>5330134.3</v>
      </c>
      <c r="AC145" s="11">
        <f t="shared" si="68"/>
        <v>4857705</v>
      </c>
      <c r="AD145" s="11">
        <f t="shared" si="68"/>
        <v>3041514.3</v>
      </c>
      <c r="AE145" s="11">
        <f t="shared" si="68"/>
        <v>3804722.8</v>
      </c>
      <c r="AF145" s="11">
        <f t="shared" si="68"/>
        <v>5957505.4</v>
      </c>
      <c r="AG145" s="11">
        <f t="shared" si="68"/>
        <v>6540001.1</v>
      </c>
      <c r="AH145" s="11">
        <f t="shared" si="68"/>
        <v>6166075.2</v>
      </c>
      <c r="AI145" s="164"/>
      <c r="AJ145" s="165"/>
    </row>
    <row r="146" ht="15.75" customHeight="1">
      <c r="A146" s="12" t="s">
        <v>40</v>
      </c>
      <c r="B146" s="68">
        <f>C146</f>
        <v>0.9636176609</v>
      </c>
      <c r="C146" s="68">
        <f t="shared" si="65"/>
        <v>0.9636176609</v>
      </c>
      <c r="D146" s="12">
        <f t="shared" ref="D146:AH146" si="69">D145/D144</f>
        <v>0.8287963374</v>
      </c>
      <c r="E146" s="12">
        <f t="shared" si="69"/>
        <v>1.442133502</v>
      </c>
      <c r="F146" s="12">
        <f t="shared" si="69"/>
        <v>0.8499267026</v>
      </c>
      <c r="G146" s="12">
        <f t="shared" si="69"/>
        <v>1.068745364</v>
      </c>
      <c r="H146" s="12">
        <f t="shared" si="69"/>
        <v>0.8757326801</v>
      </c>
      <c r="I146" s="12">
        <f t="shared" si="69"/>
        <v>0.8594077646</v>
      </c>
      <c r="J146" s="12">
        <f t="shared" si="69"/>
        <v>0.9972377122</v>
      </c>
      <c r="K146" s="12">
        <f t="shared" si="69"/>
        <v>0.9677522938</v>
      </c>
      <c r="L146" s="12">
        <f t="shared" si="69"/>
        <v>0.9562908023</v>
      </c>
      <c r="M146" s="12">
        <f t="shared" si="69"/>
        <v>0.8813365361</v>
      </c>
      <c r="N146" s="12">
        <f t="shared" si="69"/>
        <v>0.9523948487</v>
      </c>
      <c r="O146" s="12">
        <f t="shared" si="69"/>
        <v>0.8785759681</v>
      </c>
      <c r="P146" s="12">
        <f t="shared" si="69"/>
        <v>0.8968753864</v>
      </c>
      <c r="Q146" s="12">
        <f t="shared" si="69"/>
        <v>0.8507868373</v>
      </c>
      <c r="R146" s="12">
        <f t="shared" si="69"/>
        <v>1.008105224</v>
      </c>
      <c r="S146" s="12">
        <f t="shared" si="69"/>
        <v>1.040766909</v>
      </c>
      <c r="T146" s="12">
        <f t="shared" si="69"/>
        <v>0.9674797961</v>
      </c>
      <c r="U146" s="12">
        <f t="shared" si="69"/>
        <v>0.9343377975</v>
      </c>
      <c r="V146" s="12">
        <f t="shared" si="69"/>
        <v>0.9880404481</v>
      </c>
      <c r="W146" s="12">
        <f t="shared" si="69"/>
        <v>0.979080969</v>
      </c>
      <c r="X146" s="12">
        <f t="shared" si="69"/>
        <v>0.9101176386</v>
      </c>
      <c r="Y146" s="12">
        <f t="shared" si="69"/>
        <v>1.049671338</v>
      </c>
      <c r="Z146" s="12">
        <f t="shared" si="69"/>
        <v>0.9579964676</v>
      </c>
      <c r="AA146" s="12">
        <f t="shared" si="69"/>
        <v>0.9602978809</v>
      </c>
      <c r="AB146" s="12">
        <f t="shared" si="69"/>
        <v>0.978645915</v>
      </c>
      <c r="AC146" s="12">
        <f t="shared" si="69"/>
        <v>0.9986550847</v>
      </c>
      <c r="AD146" s="12">
        <f t="shared" si="69"/>
        <v>0.8871595525</v>
      </c>
      <c r="AE146" s="12">
        <f t="shared" si="69"/>
        <v>0.9599292553</v>
      </c>
      <c r="AF146" s="12">
        <f t="shared" si="69"/>
        <v>1.001656014</v>
      </c>
      <c r="AG146" s="12">
        <f t="shared" si="69"/>
        <v>0.9598973027</v>
      </c>
      <c r="AH146" s="12">
        <f t="shared" si="69"/>
        <v>0.9843171583</v>
      </c>
      <c r="AI146" s="155"/>
      <c r="AJ146" s="156"/>
    </row>
    <row r="147" ht="15.75" customHeight="1">
      <c r="A147" s="11" t="s">
        <v>43</v>
      </c>
      <c r="B147" s="108">
        <f t="shared" ref="B147:B164" si="71">SUM(D147:AH147)</f>
        <v>3186351.8</v>
      </c>
      <c r="C147" s="108">
        <f t="shared" si="65"/>
        <v>102785.5419</v>
      </c>
      <c r="D147" s="11">
        <f t="shared" ref="D147:AH147" si="70">D144-D145</f>
        <v>277843</v>
      </c>
      <c r="E147" s="11">
        <f t="shared" si="70"/>
        <v>-213181.3</v>
      </c>
      <c r="F147" s="11">
        <f t="shared" si="70"/>
        <v>171679.2</v>
      </c>
      <c r="G147" s="11">
        <f t="shared" si="70"/>
        <v>-49815.4</v>
      </c>
      <c r="H147" s="11">
        <f t="shared" si="70"/>
        <v>141290.7</v>
      </c>
      <c r="I147" s="11">
        <f t="shared" si="70"/>
        <v>238484.5</v>
      </c>
      <c r="J147" s="11">
        <f t="shared" si="70"/>
        <v>4513.9</v>
      </c>
      <c r="K147" s="11">
        <f t="shared" si="70"/>
        <v>41807.7</v>
      </c>
      <c r="L147" s="11">
        <f t="shared" si="70"/>
        <v>58590.3</v>
      </c>
      <c r="M147" s="11">
        <f t="shared" si="70"/>
        <v>72346.8</v>
      </c>
      <c r="N147" s="11">
        <f t="shared" si="70"/>
        <v>87829.6</v>
      </c>
      <c r="O147" s="11">
        <f t="shared" si="70"/>
        <v>142146.5</v>
      </c>
      <c r="P147" s="11">
        <f t="shared" si="70"/>
        <v>148044.2</v>
      </c>
      <c r="Q147" s="11">
        <f t="shared" si="70"/>
        <v>258692.8</v>
      </c>
      <c r="R147" s="11">
        <f t="shared" si="70"/>
        <v>-22217.1</v>
      </c>
      <c r="S147" s="11">
        <f t="shared" si="70"/>
        <v>-109672.3</v>
      </c>
      <c r="T147" s="11">
        <f t="shared" si="70"/>
        <v>64520.8</v>
      </c>
      <c r="U147" s="11">
        <f t="shared" si="70"/>
        <v>141056.2</v>
      </c>
      <c r="V147" s="11">
        <f t="shared" si="70"/>
        <v>64240.5</v>
      </c>
      <c r="W147" s="11">
        <f t="shared" si="70"/>
        <v>83384</v>
      </c>
      <c r="X147" s="11">
        <f t="shared" si="70"/>
        <v>279174.3</v>
      </c>
      <c r="Y147" s="11">
        <f t="shared" si="70"/>
        <v>-182133.2</v>
      </c>
      <c r="Z147" s="11">
        <f t="shared" si="70"/>
        <v>214393.8</v>
      </c>
      <c r="AA147" s="11">
        <f t="shared" si="70"/>
        <v>243183.4</v>
      </c>
      <c r="AB147" s="11">
        <f t="shared" si="70"/>
        <v>116303.7</v>
      </c>
      <c r="AC147" s="11">
        <f t="shared" si="70"/>
        <v>6542</v>
      </c>
      <c r="AD147" s="11">
        <f t="shared" si="70"/>
        <v>386859.2</v>
      </c>
      <c r="AE147" s="11">
        <f t="shared" si="70"/>
        <v>158822.2</v>
      </c>
      <c r="AF147" s="11">
        <f t="shared" si="70"/>
        <v>-9849.4</v>
      </c>
      <c r="AG147" s="11">
        <f t="shared" si="70"/>
        <v>273228.9</v>
      </c>
      <c r="AH147" s="11">
        <f t="shared" si="70"/>
        <v>98242.3</v>
      </c>
      <c r="AI147" s="164"/>
      <c r="AJ147" s="165"/>
    </row>
    <row r="148" ht="15.75" customHeight="1">
      <c r="A148" s="11" t="s">
        <v>110</v>
      </c>
      <c r="B148" s="108">
        <f t="shared" si="71"/>
        <v>0</v>
      </c>
      <c r="C148" s="108">
        <f t="shared" si="65"/>
        <v>0</v>
      </c>
      <c r="D148" s="104">
        <v>0.0</v>
      </c>
      <c r="E148" s="104">
        <v>0.0</v>
      </c>
      <c r="F148" s="104">
        <v>0.0</v>
      </c>
      <c r="G148" s="104">
        <v>0.0</v>
      </c>
      <c r="H148" s="104">
        <v>0.0</v>
      </c>
      <c r="I148" s="104">
        <v>0.0</v>
      </c>
      <c r="J148" s="104">
        <v>0.0</v>
      </c>
      <c r="K148" s="104">
        <v>0.0</v>
      </c>
      <c r="L148" s="104">
        <v>0.0</v>
      </c>
      <c r="M148" s="104">
        <v>0.0</v>
      </c>
      <c r="N148" s="104">
        <v>0.0</v>
      </c>
      <c r="O148" s="104">
        <v>0.0</v>
      </c>
      <c r="P148" s="104">
        <v>0.0</v>
      </c>
      <c r="Q148" s="104">
        <v>0.0</v>
      </c>
      <c r="R148" s="104">
        <v>0.0</v>
      </c>
      <c r="S148" s="104">
        <v>0.0</v>
      </c>
      <c r="T148" s="104">
        <v>0.0</v>
      </c>
      <c r="U148" s="104">
        <v>0.0</v>
      </c>
      <c r="V148" s="104">
        <v>0.0</v>
      </c>
      <c r="W148" s="104">
        <v>0.0</v>
      </c>
      <c r="X148" s="104">
        <v>0.0</v>
      </c>
      <c r="Y148" s="104">
        <v>0.0</v>
      </c>
      <c r="Z148" s="104">
        <v>0.0</v>
      </c>
      <c r="AA148" s="104">
        <v>0.0</v>
      </c>
      <c r="AB148" s="104">
        <v>0.0</v>
      </c>
      <c r="AC148" s="104">
        <v>0.0</v>
      </c>
      <c r="AD148" s="104">
        <v>0.0</v>
      </c>
      <c r="AE148" s="104">
        <v>0.0</v>
      </c>
      <c r="AF148" s="104">
        <v>0.0</v>
      </c>
      <c r="AG148" s="104">
        <v>0.0</v>
      </c>
      <c r="AH148" s="104">
        <v>0.0</v>
      </c>
      <c r="AI148" s="164"/>
      <c r="AJ148" s="165"/>
    </row>
    <row r="149" ht="15.75" customHeight="1">
      <c r="A149" s="11" t="s">
        <v>62</v>
      </c>
      <c r="B149" s="108">
        <f t="shared" si="71"/>
        <v>3186351.8</v>
      </c>
      <c r="C149" s="108">
        <f t="shared" si="65"/>
        <v>102785.5419</v>
      </c>
      <c r="D149" s="11">
        <f t="shared" ref="D149:AH149" si="72">D147-D148</f>
        <v>277843</v>
      </c>
      <c r="E149" s="11">
        <f t="shared" si="72"/>
        <v>-213181.3</v>
      </c>
      <c r="F149" s="11">
        <f t="shared" si="72"/>
        <v>171679.2</v>
      </c>
      <c r="G149" s="11">
        <f t="shared" si="72"/>
        <v>-49815.4</v>
      </c>
      <c r="H149" s="11">
        <f t="shared" si="72"/>
        <v>141290.7</v>
      </c>
      <c r="I149" s="11">
        <f t="shared" si="72"/>
        <v>238484.5</v>
      </c>
      <c r="J149" s="11">
        <f t="shared" si="72"/>
        <v>4513.9</v>
      </c>
      <c r="K149" s="11">
        <f t="shared" si="72"/>
        <v>41807.7</v>
      </c>
      <c r="L149" s="11">
        <f t="shared" si="72"/>
        <v>58590.3</v>
      </c>
      <c r="M149" s="11">
        <f t="shared" si="72"/>
        <v>72346.8</v>
      </c>
      <c r="N149" s="11">
        <f t="shared" si="72"/>
        <v>87829.6</v>
      </c>
      <c r="O149" s="11">
        <f t="shared" si="72"/>
        <v>142146.5</v>
      </c>
      <c r="P149" s="11">
        <f t="shared" si="72"/>
        <v>148044.2</v>
      </c>
      <c r="Q149" s="11">
        <f t="shared" si="72"/>
        <v>258692.8</v>
      </c>
      <c r="R149" s="11">
        <f t="shared" si="72"/>
        <v>-22217.1</v>
      </c>
      <c r="S149" s="11">
        <f t="shared" si="72"/>
        <v>-109672.3</v>
      </c>
      <c r="T149" s="11">
        <f t="shared" si="72"/>
        <v>64520.8</v>
      </c>
      <c r="U149" s="11">
        <f t="shared" si="72"/>
        <v>141056.2</v>
      </c>
      <c r="V149" s="11">
        <f t="shared" si="72"/>
        <v>64240.5</v>
      </c>
      <c r="W149" s="11">
        <f t="shared" si="72"/>
        <v>83384</v>
      </c>
      <c r="X149" s="11">
        <f t="shared" si="72"/>
        <v>279174.3</v>
      </c>
      <c r="Y149" s="11">
        <f t="shared" si="72"/>
        <v>-182133.2</v>
      </c>
      <c r="Z149" s="11">
        <f t="shared" si="72"/>
        <v>214393.8</v>
      </c>
      <c r="AA149" s="11">
        <f t="shared" si="72"/>
        <v>243183.4</v>
      </c>
      <c r="AB149" s="11">
        <f t="shared" si="72"/>
        <v>116303.7</v>
      </c>
      <c r="AC149" s="11">
        <f t="shared" si="72"/>
        <v>6542</v>
      </c>
      <c r="AD149" s="11">
        <f t="shared" si="72"/>
        <v>386859.2</v>
      </c>
      <c r="AE149" s="11">
        <f t="shared" si="72"/>
        <v>158822.2</v>
      </c>
      <c r="AF149" s="11">
        <f t="shared" si="72"/>
        <v>-9849.4</v>
      </c>
      <c r="AG149" s="11">
        <f t="shared" si="72"/>
        <v>273228.9</v>
      </c>
      <c r="AH149" s="11">
        <f t="shared" si="72"/>
        <v>98242.3</v>
      </c>
      <c r="AI149" s="164"/>
      <c r="AJ149" s="165"/>
    </row>
    <row r="150" ht="15.75" customHeight="1">
      <c r="A150" s="60" t="s">
        <v>64</v>
      </c>
      <c r="B150" s="92">
        <f t="shared" si="71"/>
        <v>0</v>
      </c>
      <c r="C150" s="92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189"/>
      <c r="AI150" s="150"/>
      <c r="AJ150" s="151"/>
    </row>
    <row r="151" ht="15.75" customHeight="1">
      <c r="A151" s="60" t="s">
        <v>75</v>
      </c>
      <c r="B151" s="92">
        <f t="shared" si="71"/>
        <v>0</v>
      </c>
      <c r="C151" s="92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189"/>
      <c r="AI151" s="150"/>
      <c r="AJ151" s="151"/>
    </row>
    <row r="152" ht="15.75" customHeight="1">
      <c r="A152" s="60"/>
      <c r="B152" s="92">
        <f t="shared" si="71"/>
        <v>0</v>
      </c>
      <c r="C152" s="92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189"/>
      <c r="AI152" s="150"/>
      <c r="AJ152" s="151"/>
    </row>
    <row r="153" ht="15.75" customHeight="1">
      <c r="A153" s="56" t="s">
        <v>111</v>
      </c>
      <c r="B153" s="56">
        <f t="shared" si="71"/>
        <v>0</v>
      </c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144"/>
      <c r="AI153" s="145"/>
      <c r="AJ153" s="146"/>
    </row>
    <row r="154" ht="15.75" customHeight="1">
      <c r="A154" s="11" t="s">
        <v>97</v>
      </c>
      <c r="B154" s="108">
        <f t="shared" si="71"/>
        <v>390234793.9</v>
      </c>
      <c r="C154" s="108">
        <f t="shared" ref="C154:C168" si="73">AVERAGE(D154:AH154)</f>
        <v>12588219.16</v>
      </c>
      <c r="D154" s="104">
        <v>1700824.0</v>
      </c>
      <c r="E154" s="104">
        <v>1634405.31</v>
      </c>
      <c r="F154" s="104">
        <v>1433096.3</v>
      </c>
      <c r="G154" s="104">
        <v>2013983.8</v>
      </c>
      <c r="H154" s="104">
        <v>5350348.48</v>
      </c>
      <c r="I154" s="104">
        <v>3284712.8</v>
      </c>
      <c r="J154" s="104">
        <v>1998952.04</v>
      </c>
      <c r="K154" s="193">
        <v>7994511.2</v>
      </c>
      <c r="L154" s="104">
        <v>4064178.5</v>
      </c>
      <c r="M154" s="104">
        <v>5668816.6</v>
      </c>
      <c r="N154" s="104">
        <v>1.02286304E7</v>
      </c>
      <c r="O154" s="104">
        <v>5845765.9</v>
      </c>
      <c r="P154" s="104">
        <v>5309919.9</v>
      </c>
      <c r="Q154" s="104">
        <v>1.12859401E7</v>
      </c>
      <c r="R154" s="104">
        <v>8926568.1</v>
      </c>
      <c r="S154" s="104">
        <v>1.26881123E7</v>
      </c>
      <c r="T154" s="104">
        <v>1.35620833E7</v>
      </c>
      <c r="U154" s="104">
        <v>9717562.2</v>
      </c>
      <c r="V154" s="104">
        <v>1.291416779E7</v>
      </c>
      <c r="W154" s="104">
        <v>8954257.1</v>
      </c>
      <c r="X154" s="104">
        <v>7694442.8</v>
      </c>
      <c r="Y154" s="104">
        <v>1.24200255E7</v>
      </c>
      <c r="Z154" s="104">
        <v>1.448259736E7</v>
      </c>
      <c r="AA154" s="104">
        <v>2.305777685E7</v>
      </c>
      <c r="AB154" s="104">
        <v>1.968073997E7</v>
      </c>
      <c r="AC154" s="104">
        <v>3.138321372E7</v>
      </c>
      <c r="AD154" s="104">
        <v>4.94283288E7</v>
      </c>
      <c r="AE154" s="104">
        <v>3.520171262E7</v>
      </c>
      <c r="AF154" s="104">
        <v>3.29448632E7</v>
      </c>
      <c r="AG154" s="104">
        <v>1.90338343E7</v>
      </c>
      <c r="AH154" s="167">
        <v>1.033042262E7</v>
      </c>
      <c r="AI154" s="164"/>
      <c r="AJ154" s="165"/>
    </row>
    <row r="155" ht="15.75" customHeight="1">
      <c r="A155" s="11" t="s">
        <v>98</v>
      </c>
      <c r="B155" s="108">
        <f t="shared" si="71"/>
        <v>372979812.4</v>
      </c>
      <c r="C155" s="108">
        <f t="shared" si="73"/>
        <v>12031606.85</v>
      </c>
      <c r="D155" s="104">
        <v>1529450.0</v>
      </c>
      <c r="E155" s="104">
        <v>1789270.48</v>
      </c>
      <c r="F155" s="104">
        <v>1312994.8</v>
      </c>
      <c r="G155" s="104">
        <v>2098786.45</v>
      </c>
      <c r="H155" s="104">
        <v>5269978.21</v>
      </c>
      <c r="I155" s="104">
        <v>3296095.94</v>
      </c>
      <c r="J155" s="104">
        <v>1845856.9</v>
      </c>
      <c r="K155" s="104">
        <v>7564103.87</v>
      </c>
      <c r="L155" s="104">
        <v>3676129.5</v>
      </c>
      <c r="M155" s="104">
        <v>4920779.26</v>
      </c>
      <c r="N155" s="193">
        <v>9320369.43</v>
      </c>
      <c r="O155" s="104">
        <v>4163304.69</v>
      </c>
      <c r="P155" s="104">
        <v>6134928.14</v>
      </c>
      <c r="Q155" s="104">
        <v>1.02567725E7</v>
      </c>
      <c r="R155" s="104">
        <v>8335338.89</v>
      </c>
      <c r="S155" s="104">
        <v>1.235844692E7</v>
      </c>
      <c r="T155" s="104">
        <v>1.321820808E7</v>
      </c>
      <c r="U155" s="104">
        <v>8488164.02</v>
      </c>
      <c r="V155" s="104">
        <v>1.168161201E7</v>
      </c>
      <c r="W155" s="104">
        <v>8144548.37</v>
      </c>
      <c r="X155" s="104">
        <v>7460382.45</v>
      </c>
      <c r="Y155" s="104">
        <v>1.194779818E7</v>
      </c>
      <c r="Z155" s="104">
        <v>1.30388776E7</v>
      </c>
      <c r="AA155" s="104">
        <v>2.184611801E7</v>
      </c>
      <c r="AB155" s="104">
        <v>2.199857304E7</v>
      </c>
      <c r="AC155" s="104">
        <v>3.498089529E7</v>
      </c>
      <c r="AD155" s="104">
        <v>4.522608282E7</v>
      </c>
      <c r="AE155" s="104">
        <v>3.463168953E7</v>
      </c>
      <c r="AF155" s="104">
        <v>2.909580192E7</v>
      </c>
      <c r="AG155" s="104">
        <v>1.793061266E7</v>
      </c>
      <c r="AH155" s="194">
        <v>9417842.48</v>
      </c>
      <c r="AI155" s="164"/>
      <c r="AJ155" s="165"/>
    </row>
    <row r="156" ht="15.75" customHeight="1">
      <c r="A156" s="60" t="s">
        <v>99</v>
      </c>
      <c r="B156" s="92">
        <f t="shared" si="71"/>
        <v>2998</v>
      </c>
      <c r="C156" s="92">
        <f t="shared" si="73"/>
        <v>96.70967742</v>
      </c>
      <c r="D156" s="65">
        <v>12.0</v>
      </c>
      <c r="E156" s="65">
        <v>18.0</v>
      </c>
      <c r="F156" s="65">
        <v>14.0</v>
      </c>
      <c r="G156" s="65">
        <v>12.0</v>
      </c>
      <c r="H156" s="65">
        <v>27.0</v>
      </c>
      <c r="I156" s="65">
        <v>17.0</v>
      </c>
      <c r="J156" s="65">
        <v>20.0</v>
      </c>
      <c r="K156" s="65">
        <v>27.0</v>
      </c>
      <c r="L156" s="65">
        <v>27.0</v>
      </c>
      <c r="M156" s="65">
        <v>43.0</v>
      </c>
      <c r="N156" s="65">
        <v>32.0</v>
      </c>
      <c r="O156" s="65">
        <v>23.0</v>
      </c>
      <c r="P156" s="65">
        <v>31.0</v>
      </c>
      <c r="Q156" s="65">
        <v>33.0</v>
      </c>
      <c r="R156" s="65">
        <v>48.0</v>
      </c>
      <c r="S156" s="65">
        <v>60.0</v>
      </c>
      <c r="T156" s="65">
        <v>49.0</v>
      </c>
      <c r="U156" s="65">
        <v>49.0</v>
      </c>
      <c r="V156" s="65">
        <v>59.0</v>
      </c>
      <c r="W156" s="65">
        <v>56.0</v>
      </c>
      <c r="X156" s="65">
        <v>48.0</v>
      </c>
      <c r="Y156" s="65">
        <v>167.0</v>
      </c>
      <c r="Z156" s="65">
        <v>180.0</v>
      </c>
      <c r="AA156" s="65">
        <v>244.0</v>
      </c>
      <c r="AB156" s="65">
        <v>260.0</v>
      </c>
      <c r="AC156" s="65">
        <v>182.0</v>
      </c>
      <c r="AD156" s="65">
        <v>179.0</v>
      </c>
      <c r="AE156" s="65">
        <v>200.0</v>
      </c>
      <c r="AF156" s="65">
        <v>193.0</v>
      </c>
      <c r="AG156" s="65">
        <v>309.0</v>
      </c>
      <c r="AH156" s="153">
        <v>379.0</v>
      </c>
      <c r="AI156" s="150"/>
      <c r="AJ156" s="151"/>
    </row>
    <row r="157" ht="15.75" customHeight="1">
      <c r="A157" s="60" t="s">
        <v>100</v>
      </c>
      <c r="B157" s="92">
        <f t="shared" si="71"/>
        <v>15292</v>
      </c>
      <c r="C157" s="152">
        <f t="shared" si="73"/>
        <v>493.2903226</v>
      </c>
      <c r="D157" s="65">
        <v>75.0</v>
      </c>
      <c r="E157" s="65">
        <v>94.0</v>
      </c>
      <c r="F157" s="65">
        <v>112.0</v>
      </c>
      <c r="G157" s="65">
        <v>94.0</v>
      </c>
      <c r="H157" s="65">
        <v>185.0</v>
      </c>
      <c r="I157" s="65">
        <v>117.0</v>
      </c>
      <c r="J157" s="65">
        <v>153.0</v>
      </c>
      <c r="K157" s="65">
        <v>154.0</v>
      </c>
      <c r="L157" s="65">
        <v>173.0</v>
      </c>
      <c r="M157" s="65">
        <v>240.0</v>
      </c>
      <c r="N157" s="65">
        <v>268.0</v>
      </c>
      <c r="O157" s="65">
        <v>190.0</v>
      </c>
      <c r="P157" s="65">
        <v>218.0</v>
      </c>
      <c r="Q157" s="65">
        <v>256.0</v>
      </c>
      <c r="R157" s="65">
        <v>300.0</v>
      </c>
      <c r="S157" s="65">
        <v>567.0</v>
      </c>
      <c r="T157" s="65">
        <v>344.0</v>
      </c>
      <c r="U157" s="65">
        <v>387.0</v>
      </c>
      <c r="V157" s="65">
        <v>585.0</v>
      </c>
      <c r="W157" s="65">
        <v>328.0</v>
      </c>
      <c r="X157" s="65">
        <v>354.0</v>
      </c>
      <c r="Y157" s="65">
        <v>795.0</v>
      </c>
      <c r="Z157" s="65">
        <v>717.0</v>
      </c>
      <c r="AA157" s="65">
        <v>1019.0</v>
      </c>
      <c r="AB157" s="65">
        <v>977.0</v>
      </c>
      <c r="AC157" s="65">
        <v>916.0</v>
      </c>
      <c r="AD157" s="65">
        <v>981.0</v>
      </c>
      <c r="AE157" s="65">
        <v>950.0</v>
      </c>
      <c r="AF157" s="65">
        <v>1037.0</v>
      </c>
      <c r="AG157" s="65">
        <v>1265.0</v>
      </c>
      <c r="AH157" s="153">
        <v>1441.0</v>
      </c>
      <c r="AI157" s="150"/>
      <c r="AJ157" s="151"/>
    </row>
    <row r="158" ht="15.75" customHeight="1">
      <c r="A158" s="11" t="s">
        <v>101</v>
      </c>
      <c r="B158" s="108">
        <f t="shared" si="71"/>
        <v>0</v>
      </c>
      <c r="C158" s="108">
        <f t="shared" si="73"/>
        <v>0</v>
      </c>
      <c r="D158" s="104">
        <v>0.0</v>
      </c>
      <c r="E158" s="104">
        <v>0.0</v>
      </c>
      <c r="F158" s="104">
        <v>0.0</v>
      </c>
      <c r="G158" s="104">
        <v>0.0</v>
      </c>
      <c r="H158" s="104">
        <v>0.0</v>
      </c>
      <c r="I158" s="104">
        <v>0.0</v>
      </c>
      <c r="J158" s="104">
        <v>0.0</v>
      </c>
      <c r="K158" s="104">
        <v>0.0</v>
      </c>
      <c r="L158" s="104">
        <v>0.0</v>
      </c>
      <c r="M158" s="104">
        <v>0.0</v>
      </c>
      <c r="N158" s="104">
        <v>0.0</v>
      </c>
      <c r="O158" s="104">
        <v>0.0</v>
      </c>
      <c r="P158" s="104">
        <v>0.0</v>
      </c>
      <c r="Q158" s="104">
        <v>0.0</v>
      </c>
      <c r="R158" s="104">
        <v>0.0</v>
      </c>
      <c r="S158" s="104">
        <v>0.0</v>
      </c>
      <c r="T158" s="104">
        <v>0.0</v>
      </c>
      <c r="U158" s="104">
        <v>0.0</v>
      </c>
      <c r="V158" s="104">
        <v>0.0</v>
      </c>
      <c r="W158" s="104">
        <v>0.0</v>
      </c>
      <c r="X158" s="104">
        <v>0.0</v>
      </c>
      <c r="Y158" s="104">
        <v>0.0</v>
      </c>
      <c r="Z158" s="104">
        <v>0.0</v>
      </c>
      <c r="AA158" s="104">
        <v>0.0</v>
      </c>
      <c r="AB158" s="104">
        <v>0.0</v>
      </c>
      <c r="AC158" s="104">
        <v>0.0</v>
      </c>
      <c r="AD158" s="104">
        <v>0.0</v>
      </c>
      <c r="AE158" s="104">
        <v>0.0</v>
      </c>
      <c r="AF158" s="104">
        <v>0.0</v>
      </c>
      <c r="AG158" s="104">
        <v>0.0</v>
      </c>
      <c r="AH158" s="104">
        <v>0.0</v>
      </c>
      <c r="AI158" s="164"/>
      <c r="AJ158" s="165"/>
    </row>
    <row r="159" ht="15.75" customHeight="1">
      <c r="A159" s="11" t="s">
        <v>102</v>
      </c>
      <c r="B159" s="108">
        <f t="shared" si="71"/>
        <v>0</v>
      </c>
      <c r="C159" s="108">
        <f t="shared" si="73"/>
        <v>0</v>
      </c>
      <c r="D159" s="104">
        <v>0.0</v>
      </c>
      <c r="E159" s="104">
        <v>0.0</v>
      </c>
      <c r="F159" s="104">
        <v>0.0</v>
      </c>
      <c r="G159" s="104">
        <v>0.0</v>
      </c>
      <c r="H159" s="104">
        <v>0.0</v>
      </c>
      <c r="I159" s="104">
        <v>0.0</v>
      </c>
      <c r="J159" s="104">
        <v>0.0</v>
      </c>
      <c r="K159" s="104">
        <v>0.0</v>
      </c>
      <c r="L159" s="104">
        <v>0.0</v>
      </c>
      <c r="M159" s="104">
        <v>0.0</v>
      </c>
      <c r="N159" s="104">
        <v>0.0</v>
      </c>
      <c r="O159" s="104">
        <v>0.0</v>
      </c>
      <c r="P159" s="104">
        <v>0.0</v>
      </c>
      <c r="Q159" s="104">
        <v>0.0</v>
      </c>
      <c r="R159" s="104">
        <v>0.0</v>
      </c>
      <c r="S159" s="104">
        <v>0.0</v>
      </c>
      <c r="T159" s="104">
        <v>0.0</v>
      </c>
      <c r="U159" s="104">
        <v>0.0</v>
      </c>
      <c r="V159" s="104">
        <v>0.0</v>
      </c>
      <c r="W159" s="104">
        <v>0.0</v>
      </c>
      <c r="X159" s="104">
        <v>0.0</v>
      </c>
      <c r="Y159" s="104">
        <v>0.0</v>
      </c>
      <c r="Z159" s="104">
        <v>0.0</v>
      </c>
      <c r="AA159" s="104">
        <v>0.0</v>
      </c>
      <c r="AB159" s="104">
        <v>0.0</v>
      </c>
      <c r="AC159" s="104">
        <v>0.0</v>
      </c>
      <c r="AD159" s="104">
        <v>0.0</v>
      </c>
      <c r="AE159" s="104">
        <v>0.0</v>
      </c>
      <c r="AF159" s="104">
        <v>0.0</v>
      </c>
      <c r="AG159" s="104">
        <v>0.0</v>
      </c>
      <c r="AH159" s="104">
        <v>0.0</v>
      </c>
      <c r="AI159" s="164"/>
      <c r="AJ159" s="165"/>
    </row>
    <row r="160" ht="15.75" customHeight="1">
      <c r="A160" s="60" t="s">
        <v>103</v>
      </c>
      <c r="B160" s="92">
        <f t="shared" si="71"/>
        <v>0</v>
      </c>
      <c r="C160" s="92">
        <f t="shared" si="73"/>
        <v>0</v>
      </c>
      <c r="D160" s="65">
        <v>0.0</v>
      </c>
      <c r="E160" s="65">
        <v>0.0</v>
      </c>
      <c r="F160" s="65">
        <v>0.0</v>
      </c>
      <c r="G160" s="65">
        <v>0.0</v>
      </c>
      <c r="H160" s="65">
        <v>0.0</v>
      </c>
      <c r="I160" s="65">
        <v>0.0</v>
      </c>
      <c r="J160" s="65">
        <v>0.0</v>
      </c>
      <c r="K160" s="65">
        <v>0.0</v>
      </c>
      <c r="L160" s="65">
        <v>0.0</v>
      </c>
      <c r="M160" s="65">
        <v>0.0</v>
      </c>
      <c r="N160" s="65">
        <v>0.0</v>
      </c>
      <c r="O160" s="65">
        <v>0.0</v>
      </c>
      <c r="P160" s="65">
        <v>0.0</v>
      </c>
      <c r="Q160" s="65">
        <v>0.0</v>
      </c>
      <c r="R160" s="65">
        <v>0.0</v>
      </c>
      <c r="S160" s="65">
        <v>0.0</v>
      </c>
      <c r="T160" s="65">
        <v>0.0</v>
      </c>
      <c r="U160" s="65">
        <v>0.0</v>
      </c>
      <c r="V160" s="65">
        <v>0.0</v>
      </c>
      <c r="W160" s="65">
        <v>0.0</v>
      </c>
      <c r="X160" s="65">
        <v>0.0</v>
      </c>
      <c r="Y160" s="65">
        <v>0.0</v>
      </c>
      <c r="Z160" s="65">
        <v>0.0</v>
      </c>
      <c r="AA160" s="65">
        <v>0.0</v>
      </c>
      <c r="AB160" s="65">
        <v>0.0</v>
      </c>
      <c r="AC160" s="65">
        <v>0.0</v>
      </c>
      <c r="AD160" s="65">
        <v>0.0</v>
      </c>
      <c r="AE160" s="65">
        <v>0.0</v>
      </c>
      <c r="AF160" s="65">
        <v>0.0</v>
      </c>
      <c r="AG160" s="65">
        <v>0.0</v>
      </c>
      <c r="AH160" s="65">
        <v>0.0</v>
      </c>
      <c r="AI160" s="150"/>
      <c r="AJ160" s="151"/>
    </row>
    <row r="161" ht="15.75" customHeight="1">
      <c r="A161" s="60" t="s">
        <v>104</v>
      </c>
      <c r="B161" s="92">
        <f t="shared" si="71"/>
        <v>0</v>
      </c>
      <c r="C161" s="92">
        <f t="shared" si="73"/>
        <v>0</v>
      </c>
      <c r="D161" s="65">
        <v>0.0</v>
      </c>
      <c r="E161" s="65">
        <v>0.0</v>
      </c>
      <c r="F161" s="65">
        <v>0.0</v>
      </c>
      <c r="G161" s="65">
        <v>0.0</v>
      </c>
      <c r="H161" s="65">
        <v>0.0</v>
      </c>
      <c r="I161" s="65">
        <v>0.0</v>
      </c>
      <c r="J161" s="65">
        <v>0.0</v>
      </c>
      <c r="K161" s="65">
        <v>0.0</v>
      </c>
      <c r="L161" s="65">
        <v>0.0</v>
      </c>
      <c r="M161" s="65">
        <v>0.0</v>
      </c>
      <c r="N161" s="65">
        <v>0.0</v>
      </c>
      <c r="O161" s="65">
        <v>0.0</v>
      </c>
      <c r="P161" s="65">
        <v>0.0</v>
      </c>
      <c r="Q161" s="65">
        <v>0.0</v>
      </c>
      <c r="R161" s="65">
        <v>0.0</v>
      </c>
      <c r="S161" s="65">
        <v>0.0</v>
      </c>
      <c r="T161" s="65">
        <v>0.0</v>
      </c>
      <c r="U161" s="65">
        <v>0.0</v>
      </c>
      <c r="V161" s="65">
        <v>0.0</v>
      </c>
      <c r="W161" s="65">
        <v>0.0</v>
      </c>
      <c r="X161" s="65">
        <v>0.0</v>
      </c>
      <c r="Y161" s="65">
        <v>0.0</v>
      </c>
      <c r="Z161" s="65">
        <v>0.0</v>
      </c>
      <c r="AA161" s="65">
        <v>0.0</v>
      </c>
      <c r="AB161" s="65">
        <v>0.0</v>
      </c>
      <c r="AC161" s="65">
        <v>0.0</v>
      </c>
      <c r="AD161" s="65">
        <v>0.0</v>
      </c>
      <c r="AE161" s="65">
        <v>0.0</v>
      </c>
      <c r="AF161" s="65">
        <v>0.0</v>
      </c>
      <c r="AG161" s="65">
        <v>0.0</v>
      </c>
      <c r="AH161" s="65">
        <v>0.0</v>
      </c>
      <c r="AI161" s="150"/>
      <c r="AJ161" s="151"/>
    </row>
    <row r="162" ht="15.75" customHeight="1">
      <c r="A162" s="60" t="s">
        <v>105</v>
      </c>
      <c r="B162" s="92">
        <f t="shared" si="71"/>
        <v>2998</v>
      </c>
      <c r="C162" s="92">
        <f t="shared" si="73"/>
        <v>96.70967742</v>
      </c>
      <c r="D162" s="60">
        <f t="shared" ref="D162:AH162" si="74">D156+D160</f>
        <v>12</v>
      </c>
      <c r="E162" s="60">
        <f t="shared" si="74"/>
        <v>18</v>
      </c>
      <c r="F162" s="60">
        <f t="shared" si="74"/>
        <v>14</v>
      </c>
      <c r="G162" s="60">
        <f t="shared" si="74"/>
        <v>12</v>
      </c>
      <c r="H162" s="60">
        <f t="shared" si="74"/>
        <v>27</v>
      </c>
      <c r="I162" s="60">
        <f t="shared" si="74"/>
        <v>17</v>
      </c>
      <c r="J162" s="60">
        <f t="shared" si="74"/>
        <v>20</v>
      </c>
      <c r="K162" s="60">
        <f t="shared" si="74"/>
        <v>27</v>
      </c>
      <c r="L162" s="60">
        <f t="shared" si="74"/>
        <v>27</v>
      </c>
      <c r="M162" s="60">
        <f t="shared" si="74"/>
        <v>43</v>
      </c>
      <c r="N162" s="60">
        <f t="shared" si="74"/>
        <v>32</v>
      </c>
      <c r="O162" s="60">
        <f t="shared" si="74"/>
        <v>23</v>
      </c>
      <c r="P162" s="60">
        <f t="shared" si="74"/>
        <v>31</v>
      </c>
      <c r="Q162" s="60">
        <f t="shared" si="74"/>
        <v>33</v>
      </c>
      <c r="R162" s="60">
        <f t="shared" si="74"/>
        <v>48</v>
      </c>
      <c r="S162" s="60">
        <f t="shared" si="74"/>
        <v>60</v>
      </c>
      <c r="T162" s="60">
        <f t="shared" si="74"/>
        <v>49</v>
      </c>
      <c r="U162" s="60">
        <f t="shared" si="74"/>
        <v>49</v>
      </c>
      <c r="V162" s="60">
        <f t="shared" si="74"/>
        <v>59</v>
      </c>
      <c r="W162" s="60">
        <f t="shared" si="74"/>
        <v>56</v>
      </c>
      <c r="X162" s="60">
        <f t="shared" si="74"/>
        <v>48</v>
      </c>
      <c r="Y162" s="60">
        <f t="shared" si="74"/>
        <v>167</v>
      </c>
      <c r="Z162" s="60">
        <f t="shared" si="74"/>
        <v>180</v>
      </c>
      <c r="AA162" s="60">
        <f t="shared" si="74"/>
        <v>244</v>
      </c>
      <c r="AB162" s="60">
        <f t="shared" si="74"/>
        <v>260</v>
      </c>
      <c r="AC162" s="60">
        <f t="shared" si="74"/>
        <v>182</v>
      </c>
      <c r="AD162" s="60">
        <f t="shared" si="74"/>
        <v>179</v>
      </c>
      <c r="AE162" s="60">
        <f t="shared" si="74"/>
        <v>200</v>
      </c>
      <c r="AF162" s="60">
        <f t="shared" si="74"/>
        <v>193</v>
      </c>
      <c r="AG162" s="60">
        <f t="shared" si="74"/>
        <v>309</v>
      </c>
      <c r="AH162" s="60">
        <f t="shared" si="74"/>
        <v>379</v>
      </c>
      <c r="AI162" s="150"/>
      <c r="AJ162" s="151"/>
    </row>
    <row r="163" ht="15.75" customHeight="1">
      <c r="A163" s="11" t="s">
        <v>106</v>
      </c>
      <c r="B163" s="108">
        <f t="shared" si="71"/>
        <v>390234793.9</v>
      </c>
      <c r="C163" s="108">
        <f t="shared" si="73"/>
        <v>12588219.16</v>
      </c>
      <c r="D163" s="11">
        <f t="shared" ref="D163:AH163" si="75">D154+D158</f>
        <v>1700824</v>
      </c>
      <c r="E163" s="11">
        <f t="shared" si="75"/>
        <v>1634405.31</v>
      </c>
      <c r="F163" s="11">
        <f t="shared" si="75"/>
        <v>1433096.3</v>
      </c>
      <c r="G163" s="11">
        <f t="shared" si="75"/>
        <v>2013983.8</v>
      </c>
      <c r="H163" s="11">
        <f t="shared" si="75"/>
        <v>5350348.48</v>
      </c>
      <c r="I163" s="11">
        <f t="shared" si="75"/>
        <v>3284712.8</v>
      </c>
      <c r="J163" s="11">
        <f t="shared" si="75"/>
        <v>1998952.04</v>
      </c>
      <c r="K163" s="11">
        <f t="shared" si="75"/>
        <v>7994511.2</v>
      </c>
      <c r="L163" s="11">
        <f t="shared" si="75"/>
        <v>4064178.5</v>
      </c>
      <c r="M163" s="11">
        <f t="shared" si="75"/>
        <v>5668816.6</v>
      </c>
      <c r="N163" s="11">
        <f t="shared" si="75"/>
        <v>10228630.4</v>
      </c>
      <c r="O163" s="11">
        <f t="shared" si="75"/>
        <v>5845765.9</v>
      </c>
      <c r="P163" s="11">
        <f t="shared" si="75"/>
        <v>5309919.9</v>
      </c>
      <c r="Q163" s="11">
        <f t="shared" si="75"/>
        <v>11285940.1</v>
      </c>
      <c r="R163" s="11">
        <f t="shared" si="75"/>
        <v>8926568.1</v>
      </c>
      <c r="S163" s="11">
        <f t="shared" si="75"/>
        <v>12688112.3</v>
      </c>
      <c r="T163" s="11">
        <f t="shared" si="75"/>
        <v>13562083.3</v>
      </c>
      <c r="U163" s="11">
        <f t="shared" si="75"/>
        <v>9717562.2</v>
      </c>
      <c r="V163" s="11">
        <f t="shared" si="75"/>
        <v>12914167.79</v>
      </c>
      <c r="W163" s="11">
        <f t="shared" si="75"/>
        <v>8954257.1</v>
      </c>
      <c r="X163" s="11">
        <f t="shared" si="75"/>
        <v>7694442.8</v>
      </c>
      <c r="Y163" s="11">
        <f t="shared" si="75"/>
        <v>12420025.5</v>
      </c>
      <c r="Z163" s="11">
        <f t="shared" si="75"/>
        <v>14482597.36</v>
      </c>
      <c r="AA163" s="11">
        <f t="shared" si="75"/>
        <v>23057776.85</v>
      </c>
      <c r="AB163" s="11">
        <f t="shared" si="75"/>
        <v>19680739.97</v>
      </c>
      <c r="AC163" s="11">
        <f t="shared" si="75"/>
        <v>31383213.72</v>
      </c>
      <c r="AD163" s="11">
        <f t="shared" si="75"/>
        <v>49428328.8</v>
      </c>
      <c r="AE163" s="11">
        <f t="shared" si="75"/>
        <v>35201712.62</v>
      </c>
      <c r="AF163" s="11">
        <f t="shared" si="75"/>
        <v>32944863.2</v>
      </c>
      <c r="AG163" s="11">
        <f t="shared" si="75"/>
        <v>19033834.3</v>
      </c>
      <c r="AH163" s="11">
        <f t="shared" si="75"/>
        <v>10330422.62</v>
      </c>
      <c r="AI163" s="164"/>
      <c r="AJ163" s="165"/>
    </row>
    <row r="164" ht="15.75" customHeight="1">
      <c r="A164" s="11" t="s">
        <v>107</v>
      </c>
      <c r="B164" s="108">
        <f t="shared" si="71"/>
        <v>372979812.4</v>
      </c>
      <c r="C164" s="108">
        <f t="shared" si="73"/>
        <v>12031606.85</v>
      </c>
      <c r="D164" s="11">
        <f t="shared" ref="D164:AH164" si="76">D155+D159</f>
        <v>1529450</v>
      </c>
      <c r="E164" s="11">
        <f t="shared" si="76"/>
        <v>1789270.48</v>
      </c>
      <c r="F164" s="11">
        <f t="shared" si="76"/>
        <v>1312994.8</v>
      </c>
      <c r="G164" s="11">
        <f t="shared" si="76"/>
        <v>2098786.45</v>
      </c>
      <c r="H164" s="11">
        <f t="shared" si="76"/>
        <v>5269978.21</v>
      </c>
      <c r="I164" s="11">
        <f t="shared" si="76"/>
        <v>3296095.94</v>
      </c>
      <c r="J164" s="11">
        <f t="shared" si="76"/>
        <v>1845856.9</v>
      </c>
      <c r="K164" s="11">
        <f t="shared" si="76"/>
        <v>7564103.87</v>
      </c>
      <c r="L164" s="11">
        <f t="shared" si="76"/>
        <v>3676129.5</v>
      </c>
      <c r="M164" s="11">
        <f t="shared" si="76"/>
        <v>4920779.26</v>
      </c>
      <c r="N164" s="11">
        <f t="shared" si="76"/>
        <v>9320369.43</v>
      </c>
      <c r="O164" s="11">
        <f t="shared" si="76"/>
        <v>4163304.69</v>
      </c>
      <c r="P164" s="11">
        <f t="shared" si="76"/>
        <v>6134928.14</v>
      </c>
      <c r="Q164" s="11">
        <f t="shared" si="76"/>
        <v>10256772.5</v>
      </c>
      <c r="R164" s="11">
        <f t="shared" si="76"/>
        <v>8335338.89</v>
      </c>
      <c r="S164" s="11">
        <f t="shared" si="76"/>
        <v>12358446.92</v>
      </c>
      <c r="T164" s="11">
        <f t="shared" si="76"/>
        <v>13218208.08</v>
      </c>
      <c r="U164" s="11">
        <f t="shared" si="76"/>
        <v>8488164.02</v>
      </c>
      <c r="V164" s="11">
        <f t="shared" si="76"/>
        <v>11681612.01</v>
      </c>
      <c r="W164" s="11">
        <f t="shared" si="76"/>
        <v>8144548.37</v>
      </c>
      <c r="X164" s="11">
        <f t="shared" si="76"/>
        <v>7460382.45</v>
      </c>
      <c r="Y164" s="11">
        <f t="shared" si="76"/>
        <v>11947798.18</v>
      </c>
      <c r="Z164" s="11">
        <f t="shared" si="76"/>
        <v>13038877.6</v>
      </c>
      <c r="AA164" s="11">
        <f t="shared" si="76"/>
        <v>21846118.01</v>
      </c>
      <c r="AB164" s="11">
        <f t="shared" si="76"/>
        <v>21998573.04</v>
      </c>
      <c r="AC164" s="11">
        <f t="shared" si="76"/>
        <v>34980895.29</v>
      </c>
      <c r="AD164" s="11">
        <f t="shared" si="76"/>
        <v>45226082.82</v>
      </c>
      <c r="AE164" s="11">
        <f t="shared" si="76"/>
        <v>34631689.53</v>
      </c>
      <c r="AF164" s="11">
        <f t="shared" si="76"/>
        <v>29095801.92</v>
      </c>
      <c r="AG164" s="11">
        <f t="shared" si="76"/>
        <v>17930612.66</v>
      </c>
      <c r="AH164" s="11">
        <f t="shared" si="76"/>
        <v>9417842.48</v>
      </c>
      <c r="AI164" s="164"/>
      <c r="AJ164" s="165"/>
    </row>
    <row r="165" ht="15.75" customHeight="1">
      <c r="A165" s="12" t="s">
        <v>40</v>
      </c>
      <c r="B165" s="68">
        <f>C165</f>
        <v>0.9512222373</v>
      </c>
      <c r="C165" s="68">
        <f t="shared" si="73"/>
        <v>0.9512222373</v>
      </c>
      <c r="D165" s="12">
        <f t="shared" ref="D165:AH165" si="77">D164/D163</f>
        <v>0.8992406034</v>
      </c>
      <c r="E165" s="12">
        <f t="shared" si="77"/>
        <v>1.094753223</v>
      </c>
      <c r="F165" s="12">
        <f t="shared" si="77"/>
        <v>0.9161943967</v>
      </c>
      <c r="G165" s="12">
        <f t="shared" si="77"/>
        <v>1.042106918</v>
      </c>
      <c r="H165" s="12">
        <f t="shared" si="77"/>
        <v>0.9849784981</v>
      </c>
      <c r="I165" s="12">
        <f t="shared" si="77"/>
        <v>1.00346549</v>
      </c>
      <c r="J165" s="12">
        <f t="shared" si="77"/>
        <v>0.9234122996</v>
      </c>
      <c r="K165" s="12">
        <f t="shared" si="77"/>
        <v>0.9461621456</v>
      </c>
      <c r="L165" s="12">
        <f t="shared" si="77"/>
        <v>0.9045196957</v>
      </c>
      <c r="M165" s="12">
        <f t="shared" si="77"/>
        <v>0.8680434749</v>
      </c>
      <c r="N165" s="12">
        <f t="shared" si="77"/>
        <v>0.9112040484</v>
      </c>
      <c r="O165" s="12">
        <f t="shared" si="77"/>
        <v>0.7121914838</v>
      </c>
      <c r="P165" s="12">
        <f t="shared" si="77"/>
        <v>1.155371127</v>
      </c>
      <c r="Q165" s="12">
        <f t="shared" si="77"/>
        <v>0.9088097588</v>
      </c>
      <c r="R165" s="12">
        <f t="shared" si="77"/>
        <v>0.9337674677</v>
      </c>
      <c r="S165" s="12">
        <f t="shared" si="77"/>
        <v>0.9740177757</v>
      </c>
      <c r="T165" s="12">
        <f t="shared" si="77"/>
        <v>0.974644366</v>
      </c>
      <c r="U165" s="12">
        <f t="shared" si="77"/>
        <v>0.873486976</v>
      </c>
      <c r="V165" s="12">
        <f t="shared" si="77"/>
        <v>0.9045578623</v>
      </c>
      <c r="W165" s="12">
        <f t="shared" si="77"/>
        <v>0.9095727629</v>
      </c>
      <c r="X165" s="12">
        <f t="shared" si="77"/>
        <v>0.9695805978</v>
      </c>
      <c r="Y165" s="12">
        <f t="shared" si="77"/>
        <v>0.9619785547</v>
      </c>
      <c r="Z165" s="12">
        <f t="shared" si="77"/>
        <v>0.900313478</v>
      </c>
      <c r="AA165" s="12">
        <f t="shared" si="77"/>
        <v>0.9474511854</v>
      </c>
      <c r="AB165" s="12">
        <f t="shared" si="77"/>
        <v>1.117771642</v>
      </c>
      <c r="AC165" s="12">
        <f t="shared" si="77"/>
        <v>1.114637131</v>
      </c>
      <c r="AD165" s="12">
        <f t="shared" si="77"/>
        <v>0.9149830455</v>
      </c>
      <c r="AE165" s="12">
        <f t="shared" si="77"/>
        <v>0.9838069501</v>
      </c>
      <c r="AF165" s="12">
        <f t="shared" si="77"/>
        <v>0.8831665727</v>
      </c>
      <c r="AG165" s="12">
        <f t="shared" si="77"/>
        <v>0.9420389175</v>
      </c>
      <c r="AH165" s="12">
        <f t="shared" si="77"/>
        <v>0.9116609094</v>
      </c>
      <c r="AI165" s="155"/>
      <c r="AJ165" s="156"/>
    </row>
    <row r="166" ht="15.75" customHeight="1">
      <c r="A166" s="60" t="s">
        <v>43</v>
      </c>
      <c r="B166" s="108">
        <f t="shared" ref="B166:B183" si="79">SUM(D166:AH166)</f>
        <v>17254981.42</v>
      </c>
      <c r="C166" s="108">
        <f t="shared" si="73"/>
        <v>556612.3039</v>
      </c>
      <c r="D166" s="11">
        <f t="shared" ref="D166:AH166" si="78">D163-D164</f>
        <v>171374</v>
      </c>
      <c r="E166" s="11">
        <f t="shared" si="78"/>
        <v>-154865.17</v>
      </c>
      <c r="F166" s="11">
        <f t="shared" si="78"/>
        <v>120101.5</v>
      </c>
      <c r="G166" s="11">
        <f t="shared" si="78"/>
        <v>-84802.65</v>
      </c>
      <c r="H166" s="11">
        <f t="shared" si="78"/>
        <v>80370.27</v>
      </c>
      <c r="I166" s="11">
        <f t="shared" si="78"/>
        <v>-11383.14</v>
      </c>
      <c r="J166" s="11">
        <f t="shared" si="78"/>
        <v>153095.14</v>
      </c>
      <c r="K166" s="11">
        <f t="shared" si="78"/>
        <v>430407.33</v>
      </c>
      <c r="L166" s="11">
        <f t="shared" si="78"/>
        <v>388049</v>
      </c>
      <c r="M166" s="11">
        <f t="shared" si="78"/>
        <v>748037.34</v>
      </c>
      <c r="N166" s="11">
        <f t="shared" si="78"/>
        <v>908260.97</v>
      </c>
      <c r="O166" s="11">
        <f t="shared" si="78"/>
        <v>1682461.21</v>
      </c>
      <c r="P166" s="11">
        <f t="shared" si="78"/>
        <v>-825008.24</v>
      </c>
      <c r="Q166" s="11">
        <f t="shared" si="78"/>
        <v>1029167.6</v>
      </c>
      <c r="R166" s="11">
        <f t="shared" si="78"/>
        <v>591229.21</v>
      </c>
      <c r="S166" s="11">
        <f t="shared" si="78"/>
        <v>329665.38</v>
      </c>
      <c r="T166" s="11">
        <f t="shared" si="78"/>
        <v>343875.22</v>
      </c>
      <c r="U166" s="11">
        <f t="shared" si="78"/>
        <v>1229398.18</v>
      </c>
      <c r="V166" s="11">
        <f t="shared" si="78"/>
        <v>1232555.78</v>
      </c>
      <c r="W166" s="11">
        <f t="shared" si="78"/>
        <v>809708.73</v>
      </c>
      <c r="X166" s="11">
        <f t="shared" si="78"/>
        <v>234060.35</v>
      </c>
      <c r="Y166" s="11">
        <f t="shared" si="78"/>
        <v>472227.32</v>
      </c>
      <c r="Z166" s="11">
        <f t="shared" si="78"/>
        <v>1443719.76</v>
      </c>
      <c r="AA166" s="11">
        <f t="shared" si="78"/>
        <v>1211658.84</v>
      </c>
      <c r="AB166" s="11">
        <f t="shared" si="78"/>
        <v>-2317833.07</v>
      </c>
      <c r="AC166" s="11">
        <f t="shared" si="78"/>
        <v>-3597681.57</v>
      </c>
      <c r="AD166" s="11">
        <f t="shared" si="78"/>
        <v>4202245.98</v>
      </c>
      <c r="AE166" s="11">
        <f t="shared" si="78"/>
        <v>570023.09</v>
      </c>
      <c r="AF166" s="11">
        <f t="shared" si="78"/>
        <v>3849061.28</v>
      </c>
      <c r="AG166" s="11">
        <f t="shared" si="78"/>
        <v>1103221.64</v>
      </c>
      <c r="AH166" s="11">
        <f t="shared" si="78"/>
        <v>912580.14</v>
      </c>
      <c r="AI166" s="150"/>
      <c r="AJ166" s="151"/>
    </row>
    <row r="167" ht="15.75" customHeight="1">
      <c r="A167" s="11" t="s">
        <v>112</v>
      </c>
      <c r="B167" s="108">
        <f t="shared" si="79"/>
        <v>0</v>
      </c>
      <c r="C167" s="108">
        <f t="shared" si="73"/>
        <v>0</v>
      </c>
      <c r="D167" s="104">
        <v>0.0</v>
      </c>
      <c r="E167" s="104">
        <v>0.0</v>
      </c>
      <c r="F167" s="104">
        <v>0.0</v>
      </c>
      <c r="G167" s="104">
        <v>0.0</v>
      </c>
      <c r="H167" s="104">
        <v>0.0</v>
      </c>
      <c r="I167" s="104">
        <v>0.0</v>
      </c>
      <c r="J167" s="104">
        <v>0.0</v>
      </c>
      <c r="K167" s="104">
        <v>0.0</v>
      </c>
      <c r="L167" s="104">
        <v>0.0</v>
      </c>
      <c r="M167" s="104">
        <v>0.0</v>
      </c>
      <c r="N167" s="104">
        <v>0.0</v>
      </c>
      <c r="O167" s="104">
        <v>0.0</v>
      </c>
      <c r="P167" s="104">
        <v>0.0</v>
      </c>
      <c r="Q167" s="104">
        <v>0.0</v>
      </c>
      <c r="R167" s="104">
        <v>0.0</v>
      </c>
      <c r="S167" s="104">
        <v>0.0</v>
      </c>
      <c r="T167" s="104">
        <v>0.0</v>
      </c>
      <c r="U167" s="104">
        <v>0.0</v>
      </c>
      <c r="V167" s="104">
        <v>0.0</v>
      </c>
      <c r="W167" s="104">
        <v>0.0</v>
      </c>
      <c r="X167" s="104">
        <v>0.0</v>
      </c>
      <c r="Y167" s="104">
        <v>0.0</v>
      </c>
      <c r="Z167" s="104">
        <v>0.0</v>
      </c>
      <c r="AA167" s="104">
        <v>0.0</v>
      </c>
      <c r="AB167" s="104">
        <v>0.0</v>
      </c>
      <c r="AC167" s="104">
        <v>0.0</v>
      </c>
      <c r="AD167" s="104">
        <v>0.0</v>
      </c>
      <c r="AE167" s="104">
        <v>0.0</v>
      </c>
      <c r="AF167" s="104">
        <v>0.0</v>
      </c>
      <c r="AG167" s="104">
        <v>0.0</v>
      </c>
      <c r="AH167" s="104">
        <v>0.0</v>
      </c>
      <c r="AI167" s="164"/>
      <c r="AJ167" s="165"/>
    </row>
    <row r="168" ht="15.75" customHeight="1">
      <c r="A168" s="60" t="s">
        <v>62</v>
      </c>
      <c r="B168" s="108">
        <f t="shared" si="79"/>
        <v>17254981.42</v>
      </c>
      <c r="C168" s="108">
        <f t="shared" si="73"/>
        <v>556612.3039</v>
      </c>
      <c r="D168" s="11">
        <f t="shared" ref="D168:AH168" si="80">D166-D167</f>
        <v>171374</v>
      </c>
      <c r="E168" s="11">
        <f t="shared" si="80"/>
        <v>-154865.17</v>
      </c>
      <c r="F168" s="11">
        <f t="shared" si="80"/>
        <v>120101.5</v>
      </c>
      <c r="G168" s="11">
        <f t="shared" si="80"/>
        <v>-84802.65</v>
      </c>
      <c r="H168" s="11">
        <f t="shared" si="80"/>
        <v>80370.27</v>
      </c>
      <c r="I168" s="11">
        <f t="shared" si="80"/>
        <v>-11383.14</v>
      </c>
      <c r="J168" s="11">
        <f t="shared" si="80"/>
        <v>153095.14</v>
      </c>
      <c r="K168" s="11">
        <f t="shared" si="80"/>
        <v>430407.33</v>
      </c>
      <c r="L168" s="11">
        <f t="shared" si="80"/>
        <v>388049</v>
      </c>
      <c r="M168" s="11">
        <f t="shared" si="80"/>
        <v>748037.34</v>
      </c>
      <c r="N168" s="11">
        <f t="shared" si="80"/>
        <v>908260.97</v>
      </c>
      <c r="O168" s="11">
        <f t="shared" si="80"/>
        <v>1682461.21</v>
      </c>
      <c r="P168" s="11">
        <f t="shared" si="80"/>
        <v>-825008.24</v>
      </c>
      <c r="Q168" s="11">
        <f t="shared" si="80"/>
        <v>1029167.6</v>
      </c>
      <c r="R168" s="11">
        <f t="shared" si="80"/>
        <v>591229.21</v>
      </c>
      <c r="S168" s="11">
        <f t="shared" si="80"/>
        <v>329665.38</v>
      </c>
      <c r="T168" s="11">
        <f t="shared" si="80"/>
        <v>343875.22</v>
      </c>
      <c r="U168" s="11">
        <f t="shared" si="80"/>
        <v>1229398.18</v>
      </c>
      <c r="V168" s="11">
        <f t="shared" si="80"/>
        <v>1232555.78</v>
      </c>
      <c r="W168" s="11">
        <f t="shared" si="80"/>
        <v>809708.73</v>
      </c>
      <c r="X168" s="11">
        <f t="shared" si="80"/>
        <v>234060.35</v>
      </c>
      <c r="Y168" s="11">
        <f t="shared" si="80"/>
        <v>472227.32</v>
      </c>
      <c r="Z168" s="11">
        <f t="shared" si="80"/>
        <v>1443719.76</v>
      </c>
      <c r="AA168" s="11">
        <f t="shared" si="80"/>
        <v>1211658.84</v>
      </c>
      <c r="AB168" s="11">
        <f t="shared" si="80"/>
        <v>-2317833.07</v>
      </c>
      <c r="AC168" s="11">
        <f t="shared" si="80"/>
        <v>-3597681.57</v>
      </c>
      <c r="AD168" s="11">
        <f t="shared" si="80"/>
        <v>4202245.98</v>
      </c>
      <c r="AE168" s="11">
        <f t="shared" si="80"/>
        <v>570023.09</v>
      </c>
      <c r="AF168" s="11">
        <f t="shared" si="80"/>
        <v>3849061.28</v>
      </c>
      <c r="AG168" s="11">
        <f t="shared" si="80"/>
        <v>1103221.64</v>
      </c>
      <c r="AH168" s="11">
        <f t="shared" si="80"/>
        <v>912580.14</v>
      </c>
      <c r="AI168" s="150"/>
      <c r="AJ168" s="151"/>
    </row>
    <row r="169" ht="15.75" customHeight="1">
      <c r="A169" s="60" t="s">
        <v>64</v>
      </c>
      <c r="B169" s="92">
        <f t="shared" si="79"/>
        <v>0</v>
      </c>
      <c r="C169" s="92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189"/>
      <c r="AI169" s="150"/>
      <c r="AJ169" s="151"/>
    </row>
    <row r="170" ht="15.75" customHeight="1">
      <c r="A170" s="60" t="s">
        <v>75</v>
      </c>
      <c r="B170" s="92">
        <f t="shared" si="79"/>
        <v>0</v>
      </c>
      <c r="C170" s="92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189"/>
      <c r="AI170" s="150"/>
      <c r="AJ170" s="151"/>
    </row>
    <row r="171" ht="15.75" customHeight="1">
      <c r="A171" s="60"/>
      <c r="B171" s="92">
        <f t="shared" si="79"/>
        <v>0</v>
      </c>
      <c r="C171" s="92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189"/>
      <c r="AI171" s="150"/>
      <c r="AJ171" s="151"/>
    </row>
    <row r="172" ht="15.75" customHeight="1">
      <c r="A172" s="56" t="s">
        <v>113</v>
      </c>
      <c r="B172" s="56">
        <f t="shared" si="79"/>
        <v>0</v>
      </c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144"/>
      <c r="AI172" s="145"/>
      <c r="AJ172" s="146"/>
    </row>
    <row r="173" ht="15.75" customHeight="1">
      <c r="A173" s="11" t="s">
        <v>97</v>
      </c>
      <c r="B173" s="108">
        <f t="shared" si="79"/>
        <v>471424419.2</v>
      </c>
      <c r="C173" s="108">
        <f t="shared" ref="C173:C187" si="81">AVERAGE(D173:AH173)</f>
        <v>15207239.33</v>
      </c>
      <c r="D173" s="104">
        <v>4659217.0</v>
      </c>
      <c r="E173" s="104">
        <v>1.06407E7</v>
      </c>
      <c r="F173" s="104">
        <v>1.2619879E7</v>
      </c>
      <c r="G173" s="104">
        <v>1923350.0</v>
      </c>
      <c r="H173" s="104">
        <v>8230136.0</v>
      </c>
      <c r="I173" s="104">
        <v>9550506.0</v>
      </c>
      <c r="J173" s="104">
        <v>3942152.08</v>
      </c>
      <c r="K173" s="104">
        <v>1.1080402E7</v>
      </c>
      <c r="L173" s="104">
        <v>3956423.99</v>
      </c>
      <c r="M173" s="104">
        <v>6006948.2</v>
      </c>
      <c r="N173" s="104">
        <v>1.2871142E7</v>
      </c>
      <c r="O173" s="104">
        <v>5504121.52</v>
      </c>
      <c r="P173" s="104">
        <v>5274154.0</v>
      </c>
      <c r="Q173" s="104">
        <v>1.4625621E7</v>
      </c>
      <c r="R173" s="104">
        <v>9808813.0</v>
      </c>
      <c r="S173" s="104">
        <v>2.547201025E7</v>
      </c>
      <c r="T173" s="104">
        <v>5508520.6</v>
      </c>
      <c r="U173" s="104">
        <v>3.172591506E7</v>
      </c>
      <c r="V173" s="104">
        <v>6963022.0</v>
      </c>
      <c r="W173" s="104">
        <v>4534208.17</v>
      </c>
      <c r="X173" s="104">
        <v>3119733.0</v>
      </c>
      <c r="Y173" s="104">
        <v>7960954.1</v>
      </c>
      <c r="Z173" s="104">
        <v>1.622527E7</v>
      </c>
      <c r="AA173" s="104">
        <v>2.644425999E7</v>
      </c>
      <c r="AB173" s="104">
        <v>2.392987096E7</v>
      </c>
      <c r="AC173" s="104">
        <v>2.285472766E7</v>
      </c>
      <c r="AD173" s="104">
        <v>6.6431394E7</v>
      </c>
      <c r="AE173" s="104">
        <v>2.1240621E7</v>
      </c>
      <c r="AF173" s="104">
        <v>5.071313424E7</v>
      </c>
      <c r="AG173" s="104">
        <v>2.793645636E7</v>
      </c>
      <c r="AH173" s="167">
        <v>9670756.0</v>
      </c>
      <c r="AI173" s="164"/>
      <c r="AJ173" s="165"/>
    </row>
    <row r="174" ht="15.75" customHeight="1">
      <c r="A174" s="11" t="s">
        <v>98</v>
      </c>
      <c r="B174" s="108">
        <f t="shared" si="79"/>
        <v>466845101</v>
      </c>
      <c r="C174" s="108">
        <f t="shared" si="81"/>
        <v>15059519.39</v>
      </c>
      <c r="D174" s="104">
        <v>5150848.0</v>
      </c>
      <c r="E174" s="104">
        <v>1.019176967E7</v>
      </c>
      <c r="F174" s="104">
        <v>1.3742015E7</v>
      </c>
      <c r="G174" s="104">
        <v>1858850.0</v>
      </c>
      <c r="H174" s="104">
        <v>8225846.0</v>
      </c>
      <c r="I174" s="104">
        <v>9737048.0</v>
      </c>
      <c r="J174" s="104">
        <v>3840866.18</v>
      </c>
      <c r="K174" s="104">
        <v>1.0173274E7</v>
      </c>
      <c r="L174" s="104">
        <v>3766077.0</v>
      </c>
      <c r="M174" s="104">
        <v>5211265.15</v>
      </c>
      <c r="N174" s="104">
        <v>1.5561957E7</v>
      </c>
      <c r="O174" s="104">
        <v>5621104.43</v>
      </c>
      <c r="P174" s="193">
        <v>4719312.0</v>
      </c>
      <c r="Q174" s="193">
        <v>1.386765833E7</v>
      </c>
      <c r="R174" s="104">
        <v>1.001086562E7</v>
      </c>
      <c r="S174" s="104">
        <v>2.443200552E7</v>
      </c>
      <c r="T174" s="104">
        <v>5252939.63</v>
      </c>
      <c r="U174" s="104">
        <v>3.168653356E7</v>
      </c>
      <c r="V174" s="104">
        <v>6945478.5</v>
      </c>
      <c r="W174" s="104">
        <v>4428534.41</v>
      </c>
      <c r="X174" s="104">
        <v>2860616.0</v>
      </c>
      <c r="Y174" s="104">
        <v>8152784.98</v>
      </c>
      <c r="Z174" s="104">
        <v>1.691430661E7</v>
      </c>
      <c r="AA174" s="104">
        <v>2.62874135E7</v>
      </c>
      <c r="AB174" s="104">
        <v>2.490600536E7</v>
      </c>
      <c r="AC174" s="104">
        <v>1.998711199E7</v>
      </c>
      <c r="AD174" s="104">
        <v>6.880471231E7</v>
      </c>
      <c r="AE174" s="104">
        <v>2.152471834E7</v>
      </c>
      <c r="AF174" s="104">
        <v>4.671387058E7</v>
      </c>
      <c r="AG174" s="104">
        <v>2.649229934E7</v>
      </c>
      <c r="AH174" s="167">
        <v>9777013.97</v>
      </c>
      <c r="AI174" s="164"/>
      <c r="AJ174" s="165"/>
    </row>
    <row r="175" ht="15.75" customHeight="1">
      <c r="A175" s="60" t="s">
        <v>99</v>
      </c>
      <c r="B175" s="92">
        <f t="shared" si="79"/>
        <v>1942</v>
      </c>
      <c r="C175" s="152">
        <f t="shared" si="81"/>
        <v>62.64516129</v>
      </c>
      <c r="D175" s="65">
        <v>11.0</v>
      </c>
      <c r="E175" s="65">
        <v>18.0</v>
      </c>
      <c r="F175" s="65">
        <v>16.0</v>
      </c>
      <c r="G175" s="65">
        <v>14.0</v>
      </c>
      <c r="H175" s="65">
        <v>27.0</v>
      </c>
      <c r="I175" s="65">
        <v>14.0</v>
      </c>
      <c r="J175" s="65">
        <v>21.0</v>
      </c>
      <c r="K175" s="65">
        <v>22.0</v>
      </c>
      <c r="L175" s="65">
        <v>24.0</v>
      </c>
      <c r="M175" s="65">
        <v>32.0</v>
      </c>
      <c r="N175" s="65">
        <v>28.0</v>
      </c>
      <c r="O175" s="65">
        <v>21.0</v>
      </c>
      <c r="P175" s="65">
        <v>24.0</v>
      </c>
      <c r="Q175" s="65">
        <v>30.0</v>
      </c>
      <c r="R175" s="65">
        <v>38.0</v>
      </c>
      <c r="S175" s="65">
        <v>45.0</v>
      </c>
      <c r="T175" s="65">
        <v>41.0</v>
      </c>
      <c r="U175" s="65">
        <v>46.0</v>
      </c>
      <c r="V175" s="65">
        <v>53.0</v>
      </c>
      <c r="W175" s="65">
        <v>54.0</v>
      </c>
      <c r="X175" s="65">
        <v>44.0</v>
      </c>
      <c r="Y175" s="65">
        <v>76.0</v>
      </c>
      <c r="Z175" s="65">
        <v>121.0</v>
      </c>
      <c r="AA175" s="65">
        <v>119.0</v>
      </c>
      <c r="AB175" s="65">
        <v>118.0</v>
      </c>
      <c r="AC175" s="65">
        <v>120.0</v>
      </c>
      <c r="AD175" s="65">
        <v>80.0</v>
      </c>
      <c r="AE175" s="65">
        <v>105.0</v>
      </c>
      <c r="AF175" s="65">
        <v>100.0</v>
      </c>
      <c r="AG175" s="65">
        <v>312.0</v>
      </c>
      <c r="AH175" s="153">
        <v>168.0</v>
      </c>
      <c r="AI175" s="150"/>
      <c r="AJ175" s="151"/>
    </row>
    <row r="176" ht="15.75" customHeight="1">
      <c r="A176" s="60" t="s">
        <v>100</v>
      </c>
      <c r="B176" s="92">
        <f t="shared" si="79"/>
        <v>8405</v>
      </c>
      <c r="C176" s="152">
        <f t="shared" si="81"/>
        <v>271.1290323</v>
      </c>
      <c r="D176" s="65">
        <v>107.0</v>
      </c>
      <c r="E176" s="65">
        <v>125.0</v>
      </c>
      <c r="F176" s="65">
        <v>168.0</v>
      </c>
      <c r="G176" s="65">
        <v>74.0</v>
      </c>
      <c r="H176" s="65">
        <v>130.0</v>
      </c>
      <c r="I176" s="65">
        <v>79.0</v>
      </c>
      <c r="J176" s="65">
        <v>149.0</v>
      </c>
      <c r="K176" s="65">
        <v>182.0</v>
      </c>
      <c r="L176" s="65">
        <v>172.0</v>
      </c>
      <c r="M176" s="65">
        <v>176.0</v>
      </c>
      <c r="N176" s="65">
        <v>236.0</v>
      </c>
      <c r="O176" s="65">
        <v>127.0</v>
      </c>
      <c r="P176" s="65">
        <v>120.0</v>
      </c>
      <c r="Q176" s="65">
        <v>194.0</v>
      </c>
      <c r="R176" s="65">
        <v>213.0</v>
      </c>
      <c r="S176" s="65">
        <v>335.0</v>
      </c>
      <c r="T176" s="65">
        <v>216.0</v>
      </c>
      <c r="U176" s="65">
        <v>195.0</v>
      </c>
      <c r="V176" s="65">
        <v>314.0</v>
      </c>
      <c r="W176" s="65">
        <v>221.0</v>
      </c>
      <c r="X176" s="65">
        <v>174.0</v>
      </c>
      <c r="Y176" s="65">
        <v>291.0</v>
      </c>
      <c r="Z176" s="65">
        <v>363.0</v>
      </c>
      <c r="AA176" s="65">
        <v>453.0</v>
      </c>
      <c r="AB176" s="65">
        <v>459.0</v>
      </c>
      <c r="AC176" s="65">
        <v>566.0</v>
      </c>
      <c r="AD176" s="65">
        <v>450.0</v>
      </c>
      <c r="AE176" s="65">
        <v>428.0</v>
      </c>
      <c r="AF176" s="65">
        <v>513.0</v>
      </c>
      <c r="AG176" s="65">
        <v>600.0</v>
      </c>
      <c r="AH176" s="153">
        <v>575.0</v>
      </c>
      <c r="AI176" s="150"/>
      <c r="AJ176" s="151"/>
    </row>
    <row r="177" ht="15.75" customHeight="1">
      <c r="A177" s="11" t="s">
        <v>101</v>
      </c>
      <c r="B177" s="108">
        <f t="shared" si="79"/>
        <v>0</v>
      </c>
      <c r="C177" s="108">
        <f t="shared" si="81"/>
        <v>0</v>
      </c>
      <c r="D177" s="104">
        <v>0.0</v>
      </c>
      <c r="E177" s="104">
        <v>0.0</v>
      </c>
      <c r="F177" s="104">
        <v>0.0</v>
      </c>
      <c r="G177" s="104">
        <v>0.0</v>
      </c>
      <c r="H177" s="104">
        <v>0.0</v>
      </c>
      <c r="I177" s="104">
        <v>0.0</v>
      </c>
      <c r="J177" s="104">
        <v>0.0</v>
      </c>
      <c r="K177" s="104">
        <v>0.0</v>
      </c>
      <c r="L177" s="104">
        <v>0.0</v>
      </c>
      <c r="M177" s="104">
        <v>0.0</v>
      </c>
      <c r="N177" s="104">
        <v>0.0</v>
      </c>
      <c r="O177" s="104">
        <v>0.0</v>
      </c>
      <c r="P177" s="104">
        <v>0.0</v>
      </c>
      <c r="Q177" s="104">
        <v>0.0</v>
      </c>
      <c r="R177" s="104">
        <v>0.0</v>
      </c>
      <c r="S177" s="104">
        <v>0.0</v>
      </c>
      <c r="T177" s="104">
        <v>0.0</v>
      </c>
      <c r="U177" s="104">
        <v>0.0</v>
      </c>
      <c r="V177" s="104">
        <v>0.0</v>
      </c>
      <c r="W177" s="104">
        <v>0.0</v>
      </c>
      <c r="X177" s="104">
        <v>0.0</v>
      </c>
      <c r="Y177" s="104">
        <v>0.0</v>
      </c>
      <c r="Z177" s="104">
        <v>0.0</v>
      </c>
      <c r="AA177" s="104">
        <v>0.0</v>
      </c>
      <c r="AB177" s="104">
        <v>0.0</v>
      </c>
      <c r="AC177" s="104">
        <v>0.0</v>
      </c>
      <c r="AD177" s="104">
        <v>0.0</v>
      </c>
      <c r="AE177" s="104">
        <v>0.0</v>
      </c>
      <c r="AF177" s="104">
        <v>0.0</v>
      </c>
      <c r="AG177" s="104">
        <v>0.0</v>
      </c>
      <c r="AH177" s="104">
        <v>0.0</v>
      </c>
      <c r="AI177" s="164"/>
      <c r="AJ177" s="165"/>
    </row>
    <row r="178" ht="15.75" customHeight="1">
      <c r="A178" s="11" t="s">
        <v>102</v>
      </c>
      <c r="B178" s="108">
        <f t="shared" si="79"/>
        <v>0</v>
      </c>
      <c r="C178" s="108">
        <f t="shared" si="81"/>
        <v>0</v>
      </c>
      <c r="D178" s="104">
        <v>0.0</v>
      </c>
      <c r="E178" s="104">
        <v>0.0</v>
      </c>
      <c r="F178" s="104">
        <v>0.0</v>
      </c>
      <c r="G178" s="104">
        <v>0.0</v>
      </c>
      <c r="H178" s="104">
        <v>0.0</v>
      </c>
      <c r="I178" s="104">
        <v>0.0</v>
      </c>
      <c r="J178" s="104">
        <v>0.0</v>
      </c>
      <c r="K178" s="104">
        <v>0.0</v>
      </c>
      <c r="L178" s="104">
        <v>0.0</v>
      </c>
      <c r="M178" s="104">
        <v>0.0</v>
      </c>
      <c r="N178" s="104">
        <v>0.0</v>
      </c>
      <c r="O178" s="104">
        <v>0.0</v>
      </c>
      <c r="P178" s="104">
        <v>0.0</v>
      </c>
      <c r="Q178" s="104">
        <v>0.0</v>
      </c>
      <c r="R178" s="104">
        <v>0.0</v>
      </c>
      <c r="S178" s="104">
        <v>0.0</v>
      </c>
      <c r="T178" s="104">
        <v>0.0</v>
      </c>
      <c r="U178" s="104">
        <v>0.0</v>
      </c>
      <c r="V178" s="104">
        <v>0.0</v>
      </c>
      <c r="W178" s="104">
        <v>0.0</v>
      </c>
      <c r="X178" s="104">
        <v>0.0</v>
      </c>
      <c r="Y178" s="104">
        <v>0.0</v>
      </c>
      <c r="Z178" s="104">
        <v>0.0</v>
      </c>
      <c r="AA178" s="104">
        <v>0.0</v>
      </c>
      <c r="AB178" s="104">
        <v>0.0</v>
      </c>
      <c r="AC178" s="104">
        <v>0.0</v>
      </c>
      <c r="AD178" s="104">
        <v>0.0</v>
      </c>
      <c r="AE178" s="104">
        <v>0.0</v>
      </c>
      <c r="AF178" s="104">
        <v>0.0</v>
      </c>
      <c r="AG178" s="104">
        <v>0.0</v>
      </c>
      <c r="AH178" s="104">
        <v>0.0</v>
      </c>
      <c r="AI178" s="164"/>
      <c r="AJ178" s="165"/>
    </row>
    <row r="179" ht="15.75" customHeight="1">
      <c r="A179" s="60" t="s">
        <v>103</v>
      </c>
      <c r="B179" s="92">
        <f t="shared" si="79"/>
        <v>0</v>
      </c>
      <c r="C179" s="92">
        <f t="shared" si="81"/>
        <v>0</v>
      </c>
      <c r="D179" s="65">
        <v>0.0</v>
      </c>
      <c r="E179" s="65">
        <v>0.0</v>
      </c>
      <c r="F179" s="65">
        <v>0.0</v>
      </c>
      <c r="G179" s="65">
        <v>0.0</v>
      </c>
      <c r="H179" s="65">
        <v>0.0</v>
      </c>
      <c r="I179" s="65">
        <v>0.0</v>
      </c>
      <c r="J179" s="65">
        <v>0.0</v>
      </c>
      <c r="K179" s="65">
        <v>0.0</v>
      </c>
      <c r="L179" s="65">
        <v>0.0</v>
      </c>
      <c r="M179" s="65">
        <v>0.0</v>
      </c>
      <c r="N179" s="65">
        <v>0.0</v>
      </c>
      <c r="O179" s="65">
        <v>0.0</v>
      </c>
      <c r="P179" s="65">
        <v>0.0</v>
      </c>
      <c r="Q179" s="65">
        <v>0.0</v>
      </c>
      <c r="R179" s="65">
        <v>0.0</v>
      </c>
      <c r="S179" s="65">
        <v>0.0</v>
      </c>
      <c r="T179" s="65">
        <v>0.0</v>
      </c>
      <c r="U179" s="65">
        <v>0.0</v>
      </c>
      <c r="V179" s="65">
        <v>0.0</v>
      </c>
      <c r="W179" s="65">
        <v>0.0</v>
      </c>
      <c r="X179" s="65">
        <v>0.0</v>
      </c>
      <c r="Y179" s="65">
        <v>0.0</v>
      </c>
      <c r="Z179" s="65">
        <v>0.0</v>
      </c>
      <c r="AA179" s="65">
        <v>0.0</v>
      </c>
      <c r="AB179" s="65">
        <v>0.0</v>
      </c>
      <c r="AC179" s="65">
        <v>0.0</v>
      </c>
      <c r="AD179" s="65">
        <v>0.0</v>
      </c>
      <c r="AE179" s="65">
        <v>0.0</v>
      </c>
      <c r="AF179" s="65">
        <v>0.0</v>
      </c>
      <c r="AG179" s="65">
        <v>0.0</v>
      </c>
      <c r="AH179" s="65">
        <v>0.0</v>
      </c>
      <c r="AI179" s="150"/>
      <c r="AJ179" s="151"/>
    </row>
    <row r="180" ht="15.75" customHeight="1">
      <c r="A180" s="60" t="s">
        <v>104</v>
      </c>
      <c r="B180" s="92">
        <f t="shared" si="79"/>
        <v>0</v>
      </c>
      <c r="C180" s="92">
        <f t="shared" si="81"/>
        <v>0</v>
      </c>
      <c r="D180" s="65">
        <v>0.0</v>
      </c>
      <c r="E180" s="65">
        <v>0.0</v>
      </c>
      <c r="F180" s="65">
        <v>0.0</v>
      </c>
      <c r="G180" s="65">
        <v>0.0</v>
      </c>
      <c r="H180" s="65">
        <v>0.0</v>
      </c>
      <c r="I180" s="65">
        <v>0.0</v>
      </c>
      <c r="J180" s="65">
        <v>0.0</v>
      </c>
      <c r="K180" s="65">
        <v>0.0</v>
      </c>
      <c r="L180" s="65">
        <v>0.0</v>
      </c>
      <c r="M180" s="65">
        <v>0.0</v>
      </c>
      <c r="N180" s="65">
        <v>0.0</v>
      </c>
      <c r="O180" s="65">
        <v>0.0</v>
      </c>
      <c r="P180" s="65">
        <v>0.0</v>
      </c>
      <c r="Q180" s="65">
        <v>0.0</v>
      </c>
      <c r="R180" s="65">
        <v>0.0</v>
      </c>
      <c r="S180" s="65">
        <v>0.0</v>
      </c>
      <c r="T180" s="65">
        <v>0.0</v>
      </c>
      <c r="U180" s="65">
        <v>0.0</v>
      </c>
      <c r="V180" s="65">
        <v>0.0</v>
      </c>
      <c r="W180" s="65">
        <v>0.0</v>
      </c>
      <c r="X180" s="65">
        <v>0.0</v>
      </c>
      <c r="Y180" s="65">
        <v>0.0</v>
      </c>
      <c r="Z180" s="65">
        <v>0.0</v>
      </c>
      <c r="AA180" s="65">
        <v>0.0</v>
      </c>
      <c r="AB180" s="65">
        <v>0.0</v>
      </c>
      <c r="AC180" s="65">
        <v>0.0</v>
      </c>
      <c r="AD180" s="65">
        <v>0.0</v>
      </c>
      <c r="AE180" s="65">
        <v>0.0</v>
      </c>
      <c r="AF180" s="65">
        <v>0.0</v>
      </c>
      <c r="AG180" s="65">
        <v>0.0</v>
      </c>
      <c r="AH180" s="65">
        <v>0.0</v>
      </c>
      <c r="AI180" s="150"/>
      <c r="AJ180" s="151"/>
    </row>
    <row r="181" ht="15.75" customHeight="1">
      <c r="A181" s="60" t="s">
        <v>105</v>
      </c>
      <c r="B181" s="92">
        <f t="shared" si="79"/>
        <v>1942</v>
      </c>
      <c r="C181" s="152">
        <f t="shared" si="81"/>
        <v>62.64516129</v>
      </c>
      <c r="D181" s="60">
        <f t="shared" ref="D181:AH181" si="82">D175+D179</f>
        <v>11</v>
      </c>
      <c r="E181" s="60">
        <f t="shared" si="82"/>
        <v>18</v>
      </c>
      <c r="F181" s="60">
        <f t="shared" si="82"/>
        <v>16</v>
      </c>
      <c r="G181" s="60">
        <f t="shared" si="82"/>
        <v>14</v>
      </c>
      <c r="H181" s="60">
        <f t="shared" si="82"/>
        <v>27</v>
      </c>
      <c r="I181" s="60">
        <f t="shared" si="82"/>
        <v>14</v>
      </c>
      <c r="J181" s="60">
        <f t="shared" si="82"/>
        <v>21</v>
      </c>
      <c r="K181" s="60">
        <f t="shared" si="82"/>
        <v>22</v>
      </c>
      <c r="L181" s="60">
        <f t="shared" si="82"/>
        <v>24</v>
      </c>
      <c r="M181" s="60">
        <f t="shared" si="82"/>
        <v>32</v>
      </c>
      <c r="N181" s="60">
        <f t="shared" si="82"/>
        <v>28</v>
      </c>
      <c r="O181" s="60">
        <f t="shared" si="82"/>
        <v>21</v>
      </c>
      <c r="P181" s="60">
        <f t="shared" si="82"/>
        <v>24</v>
      </c>
      <c r="Q181" s="60">
        <f t="shared" si="82"/>
        <v>30</v>
      </c>
      <c r="R181" s="60">
        <f t="shared" si="82"/>
        <v>38</v>
      </c>
      <c r="S181" s="60">
        <f t="shared" si="82"/>
        <v>45</v>
      </c>
      <c r="T181" s="60">
        <f t="shared" si="82"/>
        <v>41</v>
      </c>
      <c r="U181" s="60">
        <f t="shared" si="82"/>
        <v>46</v>
      </c>
      <c r="V181" s="60">
        <f t="shared" si="82"/>
        <v>53</v>
      </c>
      <c r="W181" s="60">
        <f t="shared" si="82"/>
        <v>54</v>
      </c>
      <c r="X181" s="60">
        <f t="shared" si="82"/>
        <v>44</v>
      </c>
      <c r="Y181" s="60">
        <f t="shared" si="82"/>
        <v>76</v>
      </c>
      <c r="Z181" s="60">
        <f t="shared" si="82"/>
        <v>121</v>
      </c>
      <c r="AA181" s="60">
        <f t="shared" si="82"/>
        <v>119</v>
      </c>
      <c r="AB181" s="60">
        <f t="shared" si="82"/>
        <v>118</v>
      </c>
      <c r="AC181" s="60">
        <f t="shared" si="82"/>
        <v>120</v>
      </c>
      <c r="AD181" s="60">
        <f t="shared" si="82"/>
        <v>80</v>
      </c>
      <c r="AE181" s="60">
        <f t="shared" si="82"/>
        <v>105</v>
      </c>
      <c r="AF181" s="60">
        <f t="shared" si="82"/>
        <v>100</v>
      </c>
      <c r="AG181" s="60">
        <f t="shared" si="82"/>
        <v>312</v>
      </c>
      <c r="AH181" s="60">
        <f t="shared" si="82"/>
        <v>168</v>
      </c>
      <c r="AI181" s="150"/>
      <c r="AJ181" s="151"/>
    </row>
    <row r="182" ht="15.75" customHeight="1">
      <c r="A182" s="11" t="s">
        <v>106</v>
      </c>
      <c r="B182" s="108">
        <f t="shared" si="79"/>
        <v>471424419.2</v>
      </c>
      <c r="C182" s="108">
        <f t="shared" si="81"/>
        <v>15207239.33</v>
      </c>
      <c r="D182" s="11">
        <f t="shared" ref="D182:AH182" si="83">D173+D177</f>
        <v>4659217</v>
      </c>
      <c r="E182" s="11">
        <f t="shared" si="83"/>
        <v>10640700</v>
      </c>
      <c r="F182" s="11">
        <f t="shared" si="83"/>
        <v>12619879</v>
      </c>
      <c r="G182" s="11">
        <f t="shared" si="83"/>
        <v>1923350</v>
      </c>
      <c r="H182" s="11">
        <f t="shared" si="83"/>
        <v>8230136</v>
      </c>
      <c r="I182" s="11">
        <f t="shared" si="83"/>
        <v>9550506</v>
      </c>
      <c r="J182" s="11">
        <f t="shared" si="83"/>
        <v>3942152.08</v>
      </c>
      <c r="K182" s="11">
        <f t="shared" si="83"/>
        <v>11080402</v>
      </c>
      <c r="L182" s="11">
        <f t="shared" si="83"/>
        <v>3956423.99</v>
      </c>
      <c r="M182" s="11">
        <f t="shared" si="83"/>
        <v>6006948.2</v>
      </c>
      <c r="N182" s="11">
        <f t="shared" si="83"/>
        <v>12871142</v>
      </c>
      <c r="O182" s="11">
        <f t="shared" si="83"/>
        <v>5504121.52</v>
      </c>
      <c r="P182" s="11">
        <f t="shared" si="83"/>
        <v>5274154</v>
      </c>
      <c r="Q182" s="11">
        <f t="shared" si="83"/>
        <v>14625621</v>
      </c>
      <c r="R182" s="11">
        <f t="shared" si="83"/>
        <v>9808813</v>
      </c>
      <c r="S182" s="11">
        <f t="shared" si="83"/>
        <v>25472010.25</v>
      </c>
      <c r="T182" s="11">
        <f t="shared" si="83"/>
        <v>5508520.6</v>
      </c>
      <c r="U182" s="11">
        <f t="shared" si="83"/>
        <v>31725915.06</v>
      </c>
      <c r="V182" s="11">
        <f t="shared" si="83"/>
        <v>6963022</v>
      </c>
      <c r="W182" s="11">
        <f t="shared" si="83"/>
        <v>4534208.17</v>
      </c>
      <c r="X182" s="11">
        <f t="shared" si="83"/>
        <v>3119733</v>
      </c>
      <c r="Y182" s="11">
        <f t="shared" si="83"/>
        <v>7960954.1</v>
      </c>
      <c r="Z182" s="11">
        <f t="shared" si="83"/>
        <v>16225270</v>
      </c>
      <c r="AA182" s="11">
        <f t="shared" si="83"/>
        <v>26444259.99</v>
      </c>
      <c r="AB182" s="11">
        <f t="shared" si="83"/>
        <v>23929870.96</v>
      </c>
      <c r="AC182" s="11">
        <f t="shared" si="83"/>
        <v>22854727.66</v>
      </c>
      <c r="AD182" s="11">
        <f t="shared" si="83"/>
        <v>66431394</v>
      </c>
      <c r="AE182" s="11">
        <f t="shared" si="83"/>
        <v>21240621</v>
      </c>
      <c r="AF182" s="11">
        <f t="shared" si="83"/>
        <v>50713134.24</v>
      </c>
      <c r="AG182" s="11">
        <f t="shared" si="83"/>
        <v>27936456.36</v>
      </c>
      <c r="AH182" s="11">
        <f t="shared" si="83"/>
        <v>9670756</v>
      </c>
      <c r="AI182" s="164"/>
      <c r="AJ182" s="165"/>
    </row>
    <row r="183" ht="15.75" customHeight="1">
      <c r="A183" s="11" t="s">
        <v>107</v>
      </c>
      <c r="B183" s="108">
        <f t="shared" si="79"/>
        <v>466845101</v>
      </c>
      <c r="C183" s="108">
        <f t="shared" si="81"/>
        <v>15059519.39</v>
      </c>
      <c r="D183" s="11">
        <f t="shared" ref="D183:AH183" si="84">D174+D178</f>
        <v>5150848</v>
      </c>
      <c r="E183" s="11">
        <f t="shared" si="84"/>
        <v>10191769.67</v>
      </c>
      <c r="F183" s="11">
        <f t="shared" si="84"/>
        <v>13742015</v>
      </c>
      <c r="G183" s="11">
        <f t="shared" si="84"/>
        <v>1858850</v>
      </c>
      <c r="H183" s="11">
        <f t="shared" si="84"/>
        <v>8225846</v>
      </c>
      <c r="I183" s="11">
        <f t="shared" si="84"/>
        <v>9737048</v>
      </c>
      <c r="J183" s="11">
        <f t="shared" si="84"/>
        <v>3840866.18</v>
      </c>
      <c r="K183" s="11">
        <f t="shared" si="84"/>
        <v>10173274</v>
      </c>
      <c r="L183" s="11">
        <f t="shared" si="84"/>
        <v>3766077</v>
      </c>
      <c r="M183" s="11">
        <f t="shared" si="84"/>
        <v>5211265.15</v>
      </c>
      <c r="N183" s="11">
        <f t="shared" si="84"/>
        <v>15561957</v>
      </c>
      <c r="O183" s="11">
        <f t="shared" si="84"/>
        <v>5621104.43</v>
      </c>
      <c r="P183" s="11">
        <f t="shared" si="84"/>
        <v>4719312</v>
      </c>
      <c r="Q183" s="11">
        <f t="shared" si="84"/>
        <v>13867658.33</v>
      </c>
      <c r="R183" s="11">
        <f t="shared" si="84"/>
        <v>10010865.62</v>
      </c>
      <c r="S183" s="11">
        <f t="shared" si="84"/>
        <v>24432005.52</v>
      </c>
      <c r="T183" s="11">
        <f t="shared" si="84"/>
        <v>5252939.63</v>
      </c>
      <c r="U183" s="11">
        <f t="shared" si="84"/>
        <v>31686533.56</v>
      </c>
      <c r="V183" s="11">
        <f t="shared" si="84"/>
        <v>6945478.5</v>
      </c>
      <c r="W183" s="11">
        <f t="shared" si="84"/>
        <v>4428534.41</v>
      </c>
      <c r="X183" s="11">
        <f t="shared" si="84"/>
        <v>2860616</v>
      </c>
      <c r="Y183" s="11">
        <f t="shared" si="84"/>
        <v>8152784.98</v>
      </c>
      <c r="Z183" s="11">
        <f t="shared" si="84"/>
        <v>16914306.61</v>
      </c>
      <c r="AA183" s="11">
        <f t="shared" si="84"/>
        <v>26287413.5</v>
      </c>
      <c r="AB183" s="11">
        <f t="shared" si="84"/>
        <v>24906005.36</v>
      </c>
      <c r="AC183" s="11">
        <f t="shared" si="84"/>
        <v>19987111.99</v>
      </c>
      <c r="AD183" s="11">
        <f t="shared" si="84"/>
        <v>68804712.31</v>
      </c>
      <c r="AE183" s="11">
        <f t="shared" si="84"/>
        <v>21524718.34</v>
      </c>
      <c r="AF183" s="11">
        <f t="shared" si="84"/>
        <v>46713870.58</v>
      </c>
      <c r="AG183" s="11">
        <f t="shared" si="84"/>
        <v>26492299.34</v>
      </c>
      <c r="AH183" s="11">
        <f t="shared" si="84"/>
        <v>9777013.97</v>
      </c>
      <c r="AI183" s="164"/>
      <c r="AJ183" s="165"/>
    </row>
    <row r="184" ht="15.75" customHeight="1">
      <c r="A184" s="12" t="s">
        <v>40</v>
      </c>
      <c r="B184" s="68">
        <f>C184</f>
        <v>0.9887616444</v>
      </c>
      <c r="C184" s="68">
        <f t="shared" si="81"/>
        <v>0.9887616444</v>
      </c>
      <c r="D184" s="12">
        <f t="shared" ref="D184:AH184" si="85">D183/D182</f>
        <v>1.105517944</v>
      </c>
      <c r="E184" s="12">
        <f t="shared" si="85"/>
        <v>0.9578100755</v>
      </c>
      <c r="F184" s="12">
        <f t="shared" si="85"/>
        <v>1.088918127</v>
      </c>
      <c r="G184" s="12">
        <f t="shared" si="85"/>
        <v>0.966464762</v>
      </c>
      <c r="H184" s="12">
        <f t="shared" si="85"/>
        <v>0.9994787449</v>
      </c>
      <c r="I184" s="12">
        <f t="shared" si="85"/>
        <v>1.019532159</v>
      </c>
      <c r="J184" s="12">
        <f t="shared" si="85"/>
        <v>0.9743069527</v>
      </c>
      <c r="K184" s="12">
        <f t="shared" si="85"/>
        <v>0.9181322122</v>
      </c>
      <c r="L184" s="12">
        <f t="shared" si="85"/>
        <v>0.9518891326</v>
      </c>
      <c r="M184" s="12">
        <f t="shared" si="85"/>
        <v>0.8675395519</v>
      </c>
      <c r="N184" s="12">
        <f t="shared" si="85"/>
        <v>1.209057984</v>
      </c>
      <c r="O184" s="12">
        <f t="shared" si="85"/>
        <v>1.021253693</v>
      </c>
      <c r="P184" s="12">
        <f t="shared" si="85"/>
        <v>0.8947998105</v>
      </c>
      <c r="Q184" s="12">
        <f t="shared" si="85"/>
        <v>0.9481756932</v>
      </c>
      <c r="R184" s="12">
        <f t="shared" si="85"/>
        <v>1.02059909</v>
      </c>
      <c r="S184" s="12">
        <f t="shared" si="85"/>
        <v>0.959170685</v>
      </c>
      <c r="T184" s="12">
        <f t="shared" si="85"/>
        <v>0.9536026116</v>
      </c>
      <c r="U184" s="12">
        <f t="shared" si="85"/>
        <v>0.9987586962</v>
      </c>
      <c r="V184" s="12">
        <f t="shared" si="85"/>
        <v>0.9974804761</v>
      </c>
      <c r="W184" s="12">
        <f t="shared" si="85"/>
        <v>0.9766941093</v>
      </c>
      <c r="X184" s="12">
        <f t="shared" si="85"/>
        <v>0.9169425717</v>
      </c>
      <c r="Y184" s="12">
        <f t="shared" si="85"/>
        <v>1.024096469</v>
      </c>
      <c r="Z184" s="12">
        <f t="shared" si="85"/>
        <v>1.042466881</v>
      </c>
      <c r="AA184" s="12">
        <f t="shared" si="85"/>
        <v>0.9940687888</v>
      </c>
      <c r="AB184" s="12">
        <f t="shared" si="85"/>
        <v>1.040791461</v>
      </c>
      <c r="AC184" s="12">
        <f t="shared" si="85"/>
        <v>0.8745285565</v>
      </c>
      <c r="AD184" s="12">
        <f t="shared" si="85"/>
        <v>1.035725854</v>
      </c>
      <c r="AE184" s="12">
        <f t="shared" si="85"/>
        <v>1.01337519</v>
      </c>
      <c r="AF184" s="12">
        <f t="shared" si="85"/>
        <v>0.9211394894</v>
      </c>
      <c r="AG184" s="12">
        <f t="shared" si="85"/>
        <v>0.9483056476</v>
      </c>
      <c r="AH184" s="12">
        <f t="shared" si="85"/>
        <v>1.010987556</v>
      </c>
      <c r="AI184" s="155"/>
      <c r="AJ184" s="156"/>
    </row>
    <row r="185" ht="15.0" customHeight="1">
      <c r="A185" s="11" t="s">
        <v>43</v>
      </c>
      <c r="B185" s="108">
        <f t="shared" ref="B185:B189" si="87">SUM(D185:AH185)</f>
        <v>4579318.2</v>
      </c>
      <c r="C185" s="108">
        <f t="shared" si="81"/>
        <v>147719.9419</v>
      </c>
      <c r="D185" s="11">
        <f t="shared" ref="D185:AH185" si="86">D182-D183</f>
        <v>-491631</v>
      </c>
      <c r="E185" s="11">
        <f t="shared" si="86"/>
        <v>448930.33</v>
      </c>
      <c r="F185" s="11">
        <f t="shared" si="86"/>
        <v>-1122136</v>
      </c>
      <c r="G185" s="11">
        <f t="shared" si="86"/>
        <v>64500</v>
      </c>
      <c r="H185" s="11">
        <f t="shared" si="86"/>
        <v>4290</v>
      </c>
      <c r="I185" s="11">
        <f t="shared" si="86"/>
        <v>-186542</v>
      </c>
      <c r="J185" s="11">
        <f t="shared" si="86"/>
        <v>101285.9</v>
      </c>
      <c r="K185" s="11">
        <f t="shared" si="86"/>
        <v>907128</v>
      </c>
      <c r="L185" s="11">
        <f t="shared" si="86"/>
        <v>190346.99</v>
      </c>
      <c r="M185" s="11">
        <f t="shared" si="86"/>
        <v>795683.05</v>
      </c>
      <c r="N185" s="11">
        <f t="shared" si="86"/>
        <v>-2690815</v>
      </c>
      <c r="O185" s="11">
        <f t="shared" si="86"/>
        <v>-116982.91</v>
      </c>
      <c r="P185" s="11">
        <f t="shared" si="86"/>
        <v>554842</v>
      </c>
      <c r="Q185" s="11">
        <f t="shared" si="86"/>
        <v>757962.67</v>
      </c>
      <c r="R185" s="11">
        <f t="shared" si="86"/>
        <v>-202052.62</v>
      </c>
      <c r="S185" s="11">
        <f t="shared" si="86"/>
        <v>1040004.73</v>
      </c>
      <c r="T185" s="11">
        <f t="shared" si="86"/>
        <v>255580.97</v>
      </c>
      <c r="U185" s="11">
        <f t="shared" si="86"/>
        <v>39381.5</v>
      </c>
      <c r="V185" s="11">
        <f t="shared" si="86"/>
        <v>17543.5</v>
      </c>
      <c r="W185" s="11">
        <f t="shared" si="86"/>
        <v>105673.76</v>
      </c>
      <c r="X185" s="11">
        <f t="shared" si="86"/>
        <v>259117</v>
      </c>
      <c r="Y185" s="11">
        <f t="shared" si="86"/>
        <v>-191830.88</v>
      </c>
      <c r="Z185" s="11">
        <f t="shared" si="86"/>
        <v>-689036.61</v>
      </c>
      <c r="AA185" s="11">
        <f t="shared" si="86"/>
        <v>156846.49</v>
      </c>
      <c r="AB185" s="11">
        <f t="shared" si="86"/>
        <v>-976134.4</v>
      </c>
      <c r="AC185" s="11">
        <f t="shared" si="86"/>
        <v>2867615.67</v>
      </c>
      <c r="AD185" s="11">
        <f t="shared" si="86"/>
        <v>-2373318.31</v>
      </c>
      <c r="AE185" s="11">
        <f t="shared" si="86"/>
        <v>-284097.34</v>
      </c>
      <c r="AF185" s="11">
        <f t="shared" si="86"/>
        <v>3999263.66</v>
      </c>
      <c r="AG185" s="11">
        <f t="shared" si="86"/>
        <v>1444157.02</v>
      </c>
      <c r="AH185" s="11">
        <f t="shared" si="86"/>
        <v>-106257.97</v>
      </c>
      <c r="AI185" s="164"/>
      <c r="AJ185" s="165"/>
    </row>
    <row r="186" ht="15.75" customHeight="1">
      <c r="A186" s="11" t="s">
        <v>114</v>
      </c>
      <c r="B186" s="108">
        <f t="shared" si="87"/>
        <v>0</v>
      </c>
      <c r="C186" s="108">
        <f t="shared" si="81"/>
        <v>0</v>
      </c>
      <c r="D186" s="104">
        <v>0.0</v>
      </c>
      <c r="E186" s="104">
        <v>0.0</v>
      </c>
      <c r="F186" s="104">
        <v>0.0</v>
      </c>
      <c r="G186" s="104">
        <v>0.0</v>
      </c>
      <c r="H186" s="104">
        <v>0.0</v>
      </c>
      <c r="I186" s="104">
        <v>0.0</v>
      </c>
      <c r="J186" s="104">
        <v>0.0</v>
      </c>
      <c r="K186" s="104">
        <v>0.0</v>
      </c>
      <c r="L186" s="104">
        <v>0.0</v>
      </c>
      <c r="M186" s="104">
        <v>0.0</v>
      </c>
      <c r="N186" s="104">
        <v>0.0</v>
      </c>
      <c r="O186" s="104">
        <v>0.0</v>
      </c>
      <c r="P186" s="104">
        <v>0.0</v>
      </c>
      <c r="Q186" s="104">
        <v>0.0</v>
      </c>
      <c r="R186" s="104">
        <v>0.0</v>
      </c>
      <c r="S186" s="104">
        <v>0.0</v>
      </c>
      <c r="T186" s="104">
        <v>0.0</v>
      </c>
      <c r="U186" s="104">
        <v>0.0</v>
      </c>
      <c r="V186" s="104">
        <v>0.0</v>
      </c>
      <c r="W186" s="104">
        <v>0.0</v>
      </c>
      <c r="X186" s="104">
        <v>0.0</v>
      </c>
      <c r="Y186" s="104">
        <v>0.0</v>
      </c>
      <c r="Z186" s="104">
        <v>0.0</v>
      </c>
      <c r="AA186" s="104">
        <v>0.0</v>
      </c>
      <c r="AB186" s="104">
        <v>0.0</v>
      </c>
      <c r="AC186" s="104">
        <v>0.0</v>
      </c>
      <c r="AD186" s="104">
        <v>0.0</v>
      </c>
      <c r="AE186" s="104">
        <v>0.0</v>
      </c>
      <c r="AF186" s="104">
        <v>0.0</v>
      </c>
      <c r="AG186" s="104">
        <v>0.0</v>
      </c>
      <c r="AH186" s="104">
        <v>0.0</v>
      </c>
      <c r="AI186" s="164"/>
      <c r="AJ186" s="165"/>
    </row>
    <row r="187" ht="15.75" customHeight="1">
      <c r="A187" s="11" t="s">
        <v>62</v>
      </c>
      <c r="B187" s="108">
        <f t="shared" si="87"/>
        <v>4579318.2</v>
      </c>
      <c r="C187" s="108">
        <f t="shared" si="81"/>
        <v>147719.9419</v>
      </c>
      <c r="D187" s="11">
        <f t="shared" ref="D187:AH187" si="88">D185-D186</f>
        <v>-491631</v>
      </c>
      <c r="E187" s="11">
        <f t="shared" si="88"/>
        <v>448930.33</v>
      </c>
      <c r="F187" s="11">
        <f t="shared" si="88"/>
        <v>-1122136</v>
      </c>
      <c r="G187" s="11">
        <f t="shared" si="88"/>
        <v>64500</v>
      </c>
      <c r="H187" s="11">
        <f t="shared" si="88"/>
        <v>4290</v>
      </c>
      <c r="I187" s="11">
        <f t="shared" si="88"/>
        <v>-186542</v>
      </c>
      <c r="J187" s="11">
        <f t="shared" si="88"/>
        <v>101285.9</v>
      </c>
      <c r="K187" s="11">
        <f t="shared" si="88"/>
        <v>907128</v>
      </c>
      <c r="L187" s="11">
        <f t="shared" si="88"/>
        <v>190346.99</v>
      </c>
      <c r="M187" s="11">
        <f t="shared" si="88"/>
        <v>795683.05</v>
      </c>
      <c r="N187" s="11">
        <f t="shared" si="88"/>
        <v>-2690815</v>
      </c>
      <c r="O187" s="11">
        <f t="shared" si="88"/>
        <v>-116982.91</v>
      </c>
      <c r="P187" s="11">
        <f t="shared" si="88"/>
        <v>554842</v>
      </c>
      <c r="Q187" s="11">
        <f t="shared" si="88"/>
        <v>757962.67</v>
      </c>
      <c r="R187" s="11">
        <f t="shared" si="88"/>
        <v>-202052.62</v>
      </c>
      <c r="S187" s="11">
        <f t="shared" si="88"/>
        <v>1040004.73</v>
      </c>
      <c r="T187" s="11">
        <f t="shared" si="88"/>
        <v>255580.97</v>
      </c>
      <c r="U187" s="11">
        <f t="shared" si="88"/>
        <v>39381.5</v>
      </c>
      <c r="V187" s="11">
        <f t="shared" si="88"/>
        <v>17543.5</v>
      </c>
      <c r="W187" s="11">
        <f t="shared" si="88"/>
        <v>105673.76</v>
      </c>
      <c r="X187" s="11">
        <f t="shared" si="88"/>
        <v>259117</v>
      </c>
      <c r="Y187" s="11">
        <f t="shared" si="88"/>
        <v>-191830.88</v>
      </c>
      <c r="Z187" s="11">
        <f t="shared" si="88"/>
        <v>-689036.61</v>
      </c>
      <c r="AA187" s="11">
        <f t="shared" si="88"/>
        <v>156846.49</v>
      </c>
      <c r="AB187" s="11">
        <f t="shared" si="88"/>
        <v>-976134.4</v>
      </c>
      <c r="AC187" s="11">
        <f t="shared" si="88"/>
        <v>2867615.67</v>
      </c>
      <c r="AD187" s="11">
        <f t="shared" si="88"/>
        <v>-2373318.31</v>
      </c>
      <c r="AE187" s="11">
        <f t="shared" si="88"/>
        <v>-284097.34</v>
      </c>
      <c r="AF187" s="11">
        <f t="shared" si="88"/>
        <v>3999263.66</v>
      </c>
      <c r="AG187" s="11">
        <f t="shared" si="88"/>
        <v>1444157.02</v>
      </c>
      <c r="AH187" s="11">
        <f t="shared" si="88"/>
        <v>-106257.97</v>
      </c>
      <c r="AI187" s="164"/>
      <c r="AJ187" s="165"/>
    </row>
    <row r="188" ht="15.75" customHeight="1">
      <c r="A188" s="60" t="s">
        <v>64</v>
      </c>
      <c r="B188" s="92">
        <f t="shared" si="87"/>
        <v>0</v>
      </c>
      <c r="C188" s="92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189"/>
      <c r="AI188" s="150"/>
      <c r="AJ188" s="151"/>
    </row>
    <row r="189" ht="15.75" customHeight="1">
      <c r="A189" s="60" t="s">
        <v>75</v>
      </c>
      <c r="B189" s="92">
        <f t="shared" si="87"/>
        <v>0</v>
      </c>
      <c r="C189" s="92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189"/>
      <c r="AI189" s="150"/>
      <c r="AJ189" s="151"/>
    </row>
    <row r="190" ht="15.75" customHeight="1"/>
    <row r="191" ht="15.75" customHeight="1"/>
    <row r="192" ht="15.75" customHeight="1">
      <c r="A192" s="195" t="s">
        <v>115</v>
      </c>
      <c r="B192" s="196" t="s">
        <v>233</v>
      </c>
      <c r="C192" s="196" t="s">
        <v>234</v>
      </c>
      <c r="D192" s="196" t="s">
        <v>288</v>
      </c>
      <c r="E192" s="196" t="s">
        <v>236</v>
      </c>
      <c r="F192" s="196" t="s">
        <v>237</v>
      </c>
      <c r="G192" s="196" t="s">
        <v>238</v>
      </c>
      <c r="H192" s="196" t="s">
        <v>289</v>
      </c>
      <c r="I192" s="196" t="s">
        <v>290</v>
      </c>
    </row>
    <row r="193" ht="15.75" customHeight="1">
      <c r="A193" s="196" t="s">
        <v>116</v>
      </c>
      <c r="B193" s="197">
        <f t="shared" ref="B193:C193" si="89">SUM(B194:B198)</f>
        <v>66633871</v>
      </c>
      <c r="C193" s="196">
        <f t="shared" si="89"/>
        <v>3691</v>
      </c>
      <c r="D193" s="197">
        <f t="shared" ref="D193:D198" si="90">B193/C193</f>
        <v>18053.06719</v>
      </c>
      <c r="E193" s="198">
        <f>AVERAGE(E194:E198)</f>
        <v>27128</v>
      </c>
      <c r="F193" s="199">
        <f>F198+F197+F196+F195+F194</f>
        <v>1</v>
      </c>
      <c r="G193" s="184">
        <f>SUM(G194:G198)</f>
        <v>915</v>
      </c>
      <c r="H193" s="198">
        <f t="shared" ref="H193:H195" si="91">B193/G193</f>
        <v>72823.90273</v>
      </c>
      <c r="I193" s="199">
        <f>I198+I197+I196+I195+I194</f>
        <v>1</v>
      </c>
    </row>
    <row r="194" ht="15.75" customHeight="1">
      <c r="A194" s="196" t="s">
        <v>117</v>
      </c>
      <c r="B194" s="197">
        <v>1.55766E7</v>
      </c>
      <c r="C194" s="196">
        <v>164.0</v>
      </c>
      <c r="D194" s="198">
        <f t="shared" si="90"/>
        <v>94979.26829</v>
      </c>
      <c r="E194" s="197">
        <v>70000.0</v>
      </c>
      <c r="F194" s="199">
        <f t="shared" ref="F194:F198" si="92">B194/$B$193</f>
        <v>0.2337639967</v>
      </c>
      <c r="G194" s="196">
        <v>25.0</v>
      </c>
      <c r="H194" s="198">
        <f t="shared" si="91"/>
        <v>623064</v>
      </c>
      <c r="I194" s="199">
        <f t="shared" ref="I194:I198" si="93">G194/$G$193</f>
        <v>0.02732240437</v>
      </c>
    </row>
    <row r="195" ht="15.75" customHeight="1">
      <c r="A195" s="196" t="s">
        <v>118</v>
      </c>
      <c r="B195" s="197">
        <v>7849442.0</v>
      </c>
      <c r="C195" s="196">
        <v>312.0</v>
      </c>
      <c r="D195" s="198">
        <f t="shared" si="90"/>
        <v>25158.46795</v>
      </c>
      <c r="E195" s="197">
        <v>14990.0</v>
      </c>
      <c r="F195" s="199">
        <f t="shared" si="92"/>
        <v>0.1177995797</v>
      </c>
      <c r="G195" s="196">
        <v>158.0</v>
      </c>
      <c r="H195" s="198">
        <f t="shared" si="91"/>
        <v>49680.01266</v>
      </c>
      <c r="I195" s="199">
        <f t="shared" si="93"/>
        <v>0.1726775956</v>
      </c>
      <c r="L195" s="137"/>
    </row>
    <row r="196" ht="15.75" customHeight="1">
      <c r="A196" s="196" t="s">
        <v>119</v>
      </c>
      <c r="B196" s="197">
        <v>8729186.0</v>
      </c>
      <c r="C196" s="196">
        <v>519.0</v>
      </c>
      <c r="D196" s="198">
        <f t="shared" si="90"/>
        <v>16819.24085</v>
      </c>
      <c r="E196" s="197">
        <v>12250.0</v>
      </c>
      <c r="F196" s="199">
        <f t="shared" si="92"/>
        <v>0.1310022346</v>
      </c>
      <c r="G196" s="196">
        <v>136.0</v>
      </c>
      <c r="H196" s="197">
        <v>64185.0</v>
      </c>
      <c r="I196" s="199">
        <f t="shared" si="93"/>
        <v>0.1486338798</v>
      </c>
    </row>
    <row r="197" ht="15.75" customHeight="1">
      <c r="A197" s="196" t="s">
        <v>120</v>
      </c>
      <c r="B197" s="197">
        <v>1121000.0</v>
      </c>
      <c r="C197" s="196">
        <v>36.0</v>
      </c>
      <c r="D197" s="198">
        <f t="shared" si="90"/>
        <v>31138.88889</v>
      </c>
      <c r="E197" s="197">
        <v>30000.0</v>
      </c>
      <c r="F197" s="199">
        <f t="shared" si="92"/>
        <v>0.01682327596</v>
      </c>
      <c r="G197" s="196">
        <v>15.0</v>
      </c>
      <c r="H197" s="200">
        <v>74733.0</v>
      </c>
      <c r="I197" s="199">
        <f t="shared" si="93"/>
        <v>0.01639344262</v>
      </c>
    </row>
    <row r="198" ht="15.75" customHeight="1">
      <c r="A198" s="196" t="s">
        <v>121</v>
      </c>
      <c r="B198" s="197">
        <v>3.3357643E7</v>
      </c>
      <c r="C198" s="196">
        <v>2660.0</v>
      </c>
      <c r="D198" s="198">
        <f t="shared" si="90"/>
        <v>12540.46729</v>
      </c>
      <c r="E198" s="197">
        <v>8400.0</v>
      </c>
      <c r="F198" s="199">
        <f t="shared" si="92"/>
        <v>0.500610913</v>
      </c>
      <c r="G198" s="196">
        <v>581.0</v>
      </c>
      <c r="H198" s="200">
        <v>57414.0</v>
      </c>
      <c r="I198" s="199">
        <f t="shared" si="93"/>
        <v>0.6349726776</v>
      </c>
    </row>
    <row r="199" ht="15.75" customHeight="1">
      <c r="A199" s="184"/>
      <c r="B199" s="184"/>
      <c r="C199" s="184"/>
      <c r="D199" s="184"/>
      <c r="E199" s="198"/>
      <c r="F199" s="184"/>
      <c r="G199" s="184"/>
      <c r="H199" s="184"/>
      <c r="I199" s="184"/>
    </row>
    <row r="200" ht="15.75" customHeight="1">
      <c r="A200" s="195" t="s">
        <v>122</v>
      </c>
      <c r="B200" s="196" t="s">
        <v>233</v>
      </c>
      <c r="C200" s="196" t="s">
        <v>234</v>
      </c>
      <c r="D200" s="196" t="s">
        <v>288</v>
      </c>
      <c r="E200" s="196" t="s">
        <v>236</v>
      </c>
      <c r="F200" s="196" t="s">
        <v>237</v>
      </c>
      <c r="G200" s="196" t="s">
        <v>238</v>
      </c>
      <c r="H200" s="196" t="s">
        <v>289</v>
      </c>
      <c r="I200" s="184"/>
    </row>
    <row r="201" ht="15.75" customHeight="1">
      <c r="A201" s="196" t="s">
        <v>116</v>
      </c>
      <c r="B201" s="198">
        <f t="shared" ref="B201:C201" si="94">SUM(B202:B205)</f>
        <v>48341793</v>
      </c>
      <c r="C201" s="184">
        <f t="shared" si="94"/>
        <v>669</v>
      </c>
      <c r="D201" s="198">
        <f t="shared" ref="D201:D205" si="95">B201/C201</f>
        <v>72259.78027</v>
      </c>
      <c r="E201" s="198">
        <f>AVERAGE(E202:E205)</f>
        <v>39066.75</v>
      </c>
      <c r="F201" s="199">
        <f>F205+F204+F203+F202</f>
        <v>1</v>
      </c>
      <c r="G201" s="184">
        <f>SUM(G202:G205)</f>
        <v>368</v>
      </c>
      <c r="H201" s="198">
        <f t="shared" ref="H201:H203" si="96">B201/G201</f>
        <v>131363.5679</v>
      </c>
      <c r="I201" s="199">
        <f>I205+I204+I203+I202</f>
        <v>1</v>
      </c>
    </row>
    <row r="202" ht="15.75" customHeight="1">
      <c r="A202" s="196" t="s">
        <v>117</v>
      </c>
      <c r="B202" s="197">
        <v>1.1122808E7</v>
      </c>
      <c r="C202" s="196">
        <v>97.0</v>
      </c>
      <c r="D202" s="198">
        <f t="shared" si="95"/>
        <v>114668.1237</v>
      </c>
      <c r="E202" s="197">
        <v>61221.0</v>
      </c>
      <c r="F202" s="199">
        <f t="shared" ref="F202:F205" si="97">B202/$B$201</f>
        <v>0.2300867905</v>
      </c>
      <c r="G202" s="196">
        <v>35.0</v>
      </c>
      <c r="H202" s="198">
        <f t="shared" si="96"/>
        <v>317794.5143</v>
      </c>
      <c r="I202" s="199">
        <f t="shared" ref="I202:I205" si="98">G202/$G$201</f>
        <v>0.09510869565</v>
      </c>
    </row>
    <row r="203" ht="15.75" customHeight="1">
      <c r="A203" s="196" t="s">
        <v>118</v>
      </c>
      <c r="B203" s="197">
        <f>10672813+224841</f>
        <v>10897654</v>
      </c>
      <c r="C203" s="196">
        <v>128.0</v>
      </c>
      <c r="D203" s="198">
        <f t="shared" si="95"/>
        <v>85137.92188</v>
      </c>
      <c r="E203" s="197">
        <v>26812.0</v>
      </c>
      <c r="F203" s="199">
        <f t="shared" si="97"/>
        <v>0.2254292471</v>
      </c>
      <c r="G203" s="196">
        <v>87.0</v>
      </c>
      <c r="H203" s="198">
        <f t="shared" si="96"/>
        <v>125260.3908</v>
      </c>
      <c r="I203" s="199">
        <f t="shared" si="98"/>
        <v>0.2364130435</v>
      </c>
    </row>
    <row r="204" ht="15.75" customHeight="1">
      <c r="A204" s="196" t="s">
        <v>119</v>
      </c>
      <c r="B204" s="197">
        <v>1.886552E7</v>
      </c>
      <c r="C204" s="196">
        <v>162.0</v>
      </c>
      <c r="D204" s="198">
        <f t="shared" si="95"/>
        <v>116453.8272</v>
      </c>
      <c r="E204" s="197">
        <v>50000.0</v>
      </c>
      <c r="F204" s="199">
        <f t="shared" si="97"/>
        <v>0.3902527984</v>
      </c>
      <c r="G204" s="196">
        <v>84.0</v>
      </c>
      <c r="H204" s="197">
        <v>224709.0</v>
      </c>
      <c r="I204" s="199">
        <f t="shared" si="98"/>
        <v>0.2282608696</v>
      </c>
    </row>
    <row r="205" ht="15.75" customHeight="1">
      <c r="A205" s="201" t="s">
        <v>121</v>
      </c>
      <c r="B205" s="202">
        <v>7455811.0</v>
      </c>
      <c r="C205" s="196">
        <v>282.0</v>
      </c>
      <c r="D205" s="198">
        <f t="shared" si="95"/>
        <v>26439.0461</v>
      </c>
      <c r="E205" s="197">
        <v>18234.0</v>
      </c>
      <c r="F205" s="199">
        <f t="shared" si="97"/>
        <v>0.1542311639</v>
      </c>
      <c r="G205" s="196">
        <v>162.0</v>
      </c>
      <c r="H205" s="200">
        <v>46126.0</v>
      </c>
      <c r="I205" s="199">
        <f t="shared" si="98"/>
        <v>0.4402173913</v>
      </c>
    </row>
    <row r="206" ht="15.75" customHeight="1">
      <c r="A206" s="203"/>
      <c r="B206" s="203"/>
    </row>
    <row r="207" ht="15.75" customHeight="1">
      <c r="A207" s="204" t="s">
        <v>123</v>
      </c>
      <c r="B207" s="205"/>
    </row>
    <row r="208" ht="15.75" customHeight="1">
      <c r="A208" s="196" t="s">
        <v>2</v>
      </c>
      <c r="B208" s="206">
        <v>430.0</v>
      </c>
    </row>
    <row r="209" ht="15.75" customHeight="1">
      <c r="A209" s="196" t="s">
        <v>124</v>
      </c>
      <c r="B209" s="206">
        <v>119.0</v>
      </c>
    </row>
    <row r="210" ht="15.75" customHeight="1">
      <c r="A210" s="196" t="s">
        <v>125</v>
      </c>
      <c r="B210" s="200">
        <v>1.2444142E7</v>
      </c>
    </row>
    <row r="211" ht="15.75" customHeight="1">
      <c r="A211" s="196" t="s">
        <v>126</v>
      </c>
      <c r="B211" s="200">
        <v>8758865.0</v>
      </c>
    </row>
    <row r="212" ht="15.75" customHeight="1">
      <c r="A212" s="196" t="s">
        <v>127</v>
      </c>
      <c r="B212" s="200">
        <v>1.42549913E8</v>
      </c>
    </row>
    <row r="213" ht="15.75" customHeight="1">
      <c r="A213" s="196" t="s">
        <v>43</v>
      </c>
      <c r="B213" s="200">
        <v>471293.0</v>
      </c>
    </row>
    <row r="214" ht="15.75" customHeight="1">
      <c r="A214" s="196" t="s">
        <v>46</v>
      </c>
      <c r="B214" s="200">
        <v>3685277.0</v>
      </c>
    </row>
    <row r="215" ht="15.75" customHeight="1"/>
    <row r="216" ht="15.75" customHeight="1">
      <c r="A216" s="207" t="s">
        <v>128</v>
      </c>
    </row>
    <row r="217" ht="15.75" customHeight="1">
      <c r="A217" s="184"/>
      <c r="B217" s="196" t="s">
        <v>129</v>
      </c>
      <c r="C217" s="196" t="s">
        <v>125</v>
      </c>
      <c r="D217" s="196" t="s">
        <v>130</v>
      </c>
      <c r="E217" s="196" t="s">
        <v>131</v>
      </c>
      <c r="F217" s="196" t="s">
        <v>132</v>
      </c>
      <c r="G217" s="196" t="s">
        <v>126</v>
      </c>
      <c r="H217" s="196" t="s">
        <v>133</v>
      </c>
      <c r="I217" s="196" t="s">
        <v>131</v>
      </c>
    </row>
    <row r="218" ht="15.75" customHeight="1">
      <c r="A218" s="196" t="s">
        <v>134</v>
      </c>
      <c r="B218" s="196">
        <v>260.0</v>
      </c>
      <c r="C218" s="197">
        <v>1.0728909E7</v>
      </c>
      <c r="D218" s="198">
        <f t="shared" ref="D218:D224" si="99">C218/B218</f>
        <v>41265.03462</v>
      </c>
      <c r="E218" s="208">
        <v>0.345</v>
      </c>
      <c r="F218" s="196">
        <v>115.0</v>
      </c>
      <c r="G218" s="197">
        <v>1902369.0</v>
      </c>
      <c r="H218" s="198">
        <f t="shared" ref="H218:H224" si="100">G218/F218</f>
        <v>16542.33913</v>
      </c>
      <c r="I218" s="208">
        <v>0.063</v>
      </c>
    </row>
    <row r="219" ht="15.75" customHeight="1">
      <c r="A219" s="196" t="s">
        <v>135</v>
      </c>
      <c r="B219" s="196">
        <v>295.0</v>
      </c>
      <c r="C219" s="197">
        <v>5233752.0</v>
      </c>
      <c r="D219" s="198">
        <f t="shared" si="99"/>
        <v>17741.5322</v>
      </c>
      <c r="E219" s="208">
        <v>0.168</v>
      </c>
      <c r="F219" s="196">
        <v>265.0</v>
      </c>
      <c r="G219" s="197">
        <v>1.8759459E7</v>
      </c>
      <c r="H219" s="198">
        <f t="shared" si="100"/>
        <v>70790.41132</v>
      </c>
      <c r="I219" s="208">
        <v>0.625</v>
      </c>
    </row>
    <row r="220" ht="15.75" customHeight="1">
      <c r="A220" s="196" t="s">
        <v>136</v>
      </c>
      <c r="B220" s="196">
        <v>229.0</v>
      </c>
      <c r="C220" s="197">
        <v>4548918.0</v>
      </c>
      <c r="D220" s="198">
        <f t="shared" si="99"/>
        <v>19864.27074</v>
      </c>
      <c r="E220" s="208">
        <v>0.146</v>
      </c>
      <c r="F220" s="196">
        <v>167.0</v>
      </c>
      <c r="G220" s="197">
        <v>3367807.0</v>
      </c>
      <c r="H220" s="198">
        <f t="shared" si="100"/>
        <v>20166.50898</v>
      </c>
      <c r="I220" s="208">
        <v>0.112</v>
      </c>
    </row>
    <row r="221" ht="15.75" customHeight="1">
      <c r="A221" s="196" t="s">
        <v>137</v>
      </c>
      <c r="B221" s="196">
        <v>129.0</v>
      </c>
      <c r="C221" s="197">
        <v>3123986.0</v>
      </c>
      <c r="D221" s="198">
        <f t="shared" si="99"/>
        <v>24216.94574</v>
      </c>
      <c r="E221" s="208">
        <v>0.1</v>
      </c>
      <c r="F221" s="196">
        <v>85.0</v>
      </c>
      <c r="G221" s="197">
        <v>1745526.0</v>
      </c>
      <c r="H221" s="198">
        <f t="shared" si="100"/>
        <v>20535.6</v>
      </c>
      <c r="I221" s="208">
        <v>0.058</v>
      </c>
    </row>
    <row r="222" ht="15.75" customHeight="1">
      <c r="A222" s="196" t="s">
        <v>138</v>
      </c>
      <c r="B222" s="196">
        <v>55.0</v>
      </c>
      <c r="C222" s="197">
        <v>2897906.0</v>
      </c>
      <c r="D222" s="198">
        <f t="shared" si="99"/>
        <v>52689.2</v>
      </c>
      <c r="E222" s="208">
        <v>0.093</v>
      </c>
      <c r="F222" s="196">
        <v>44.0</v>
      </c>
      <c r="G222" s="197">
        <v>1990132.0</v>
      </c>
      <c r="H222" s="198">
        <f t="shared" si="100"/>
        <v>45230.27273</v>
      </c>
      <c r="I222" s="208">
        <v>0.066</v>
      </c>
    </row>
    <row r="223" ht="15.75" customHeight="1">
      <c r="A223" s="196" t="s">
        <v>139</v>
      </c>
      <c r="B223" s="196">
        <v>72.0</v>
      </c>
      <c r="C223" s="197">
        <v>1961715.0</v>
      </c>
      <c r="D223" s="198">
        <f t="shared" si="99"/>
        <v>27246.04167</v>
      </c>
      <c r="E223" s="208">
        <v>0.063</v>
      </c>
      <c r="F223" s="196">
        <v>42.0</v>
      </c>
      <c r="G223" s="197">
        <v>1502490.0</v>
      </c>
      <c r="H223" s="198">
        <f t="shared" si="100"/>
        <v>35773.57143</v>
      </c>
      <c r="I223" s="208">
        <v>0.05</v>
      </c>
    </row>
    <row r="224" ht="15.75" customHeight="1">
      <c r="A224" s="196" t="s">
        <v>140</v>
      </c>
      <c r="B224" s="196">
        <v>42.0</v>
      </c>
      <c r="C224" s="197">
        <v>620778.0</v>
      </c>
      <c r="D224" s="198">
        <f t="shared" si="99"/>
        <v>14780.42857</v>
      </c>
      <c r="E224" s="208">
        <v>0.02</v>
      </c>
      <c r="F224" s="196">
        <v>5.0</v>
      </c>
      <c r="G224" s="197">
        <v>64370.0</v>
      </c>
      <c r="H224" s="198">
        <f t="shared" si="100"/>
        <v>12874</v>
      </c>
      <c r="I224" s="208">
        <v>0.002</v>
      </c>
    </row>
    <row r="225" ht="15.75" customHeight="1"/>
    <row r="226" ht="15.75" customHeight="1"/>
    <row r="227" ht="15.75" customHeight="1">
      <c r="A227" s="196" t="s">
        <v>291</v>
      </c>
      <c r="B227" s="196" t="s">
        <v>292</v>
      </c>
      <c r="C227" s="196" t="s">
        <v>127</v>
      </c>
      <c r="D227" s="196" t="s">
        <v>83</v>
      </c>
      <c r="E227" s="196" t="s">
        <v>43</v>
      </c>
      <c r="F227" s="196" t="s">
        <v>40</v>
      </c>
    </row>
    <row r="228" ht="15.75" customHeight="1">
      <c r="A228" s="27" t="s">
        <v>146</v>
      </c>
      <c r="B228" s="24">
        <v>770.0</v>
      </c>
      <c r="C228" s="29">
        <v>5.42599109E8</v>
      </c>
      <c r="D228" s="209">
        <v>5.37515277E8</v>
      </c>
      <c r="E228" s="28">
        <v>5083832.0</v>
      </c>
      <c r="F228" s="208">
        <f t="shared" ref="F228:F259" si="101">D228/C228</f>
        <v>0.9906305928</v>
      </c>
    </row>
    <row r="229" ht="15.75" customHeight="1">
      <c r="A229" s="27" t="s">
        <v>147</v>
      </c>
      <c r="B229" s="28">
        <v>1208.0</v>
      </c>
      <c r="C229" s="29">
        <v>2.77228162E8</v>
      </c>
      <c r="D229" s="209">
        <v>2.6885074E8</v>
      </c>
      <c r="E229" s="28">
        <v>8377422.0</v>
      </c>
      <c r="F229" s="208">
        <f t="shared" si="101"/>
        <v>0.9697814899</v>
      </c>
    </row>
    <row r="230" ht="15.75" customHeight="1">
      <c r="A230" s="27" t="s">
        <v>148</v>
      </c>
      <c r="B230" s="24">
        <v>415.0</v>
      </c>
      <c r="C230" s="29">
        <v>1.39419726E8</v>
      </c>
      <c r="D230" s="209">
        <v>1.33283136E8</v>
      </c>
      <c r="E230" s="28">
        <v>6136591.0</v>
      </c>
      <c r="F230" s="208">
        <f t="shared" si="101"/>
        <v>0.9559847794</v>
      </c>
    </row>
    <row r="231" ht="15.75" customHeight="1">
      <c r="A231" s="27" t="s">
        <v>149</v>
      </c>
      <c r="B231" s="24">
        <v>747.0</v>
      </c>
      <c r="C231" s="29">
        <v>4.7550122E7</v>
      </c>
      <c r="D231" s="209">
        <v>4.4473478E7</v>
      </c>
      <c r="E231" s="28">
        <v>3076643.0</v>
      </c>
      <c r="F231" s="208">
        <f t="shared" si="101"/>
        <v>0.9352968222</v>
      </c>
    </row>
    <row r="232" ht="15.75" customHeight="1">
      <c r="A232" s="27" t="s">
        <v>150</v>
      </c>
      <c r="B232" s="24">
        <v>151.0</v>
      </c>
      <c r="C232" s="29">
        <v>3.560313E7</v>
      </c>
      <c r="D232" s="209">
        <v>2.9141139E7</v>
      </c>
      <c r="E232" s="28">
        <v>6461991.0</v>
      </c>
      <c r="F232" s="208">
        <f t="shared" si="101"/>
        <v>0.8184993567</v>
      </c>
    </row>
    <row r="233" ht="15.75" customHeight="1">
      <c r="A233" s="27" t="s">
        <v>151</v>
      </c>
      <c r="B233" s="24">
        <v>339.0</v>
      </c>
      <c r="C233" s="29">
        <v>2.5051165E7</v>
      </c>
      <c r="D233" s="209">
        <v>2.3318746E7</v>
      </c>
      <c r="E233" s="28">
        <v>1732419.0</v>
      </c>
      <c r="F233" s="208">
        <f t="shared" si="101"/>
        <v>0.9308447731</v>
      </c>
    </row>
    <row r="234" ht="15.75" customHeight="1">
      <c r="A234" s="27" t="s">
        <v>152</v>
      </c>
      <c r="B234" s="24">
        <v>154.0</v>
      </c>
      <c r="C234" s="29">
        <v>1.5874768E7</v>
      </c>
      <c r="D234" s="209">
        <v>1.5355368E7</v>
      </c>
      <c r="E234" s="28">
        <v>519399.0</v>
      </c>
      <c r="F234" s="208">
        <f t="shared" si="101"/>
        <v>0.9672814116</v>
      </c>
    </row>
    <row r="235" ht="15.75" customHeight="1">
      <c r="A235" s="27" t="s">
        <v>153</v>
      </c>
      <c r="B235" s="24">
        <v>121.0</v>
      </c>
      <c r="C235" s="29">
        <v>6314435.0</v>
      </c>
      <c r="D235" s="209">
        <v>6438349.0</v>
      </c>
      <c r="E235" s="28">
        <v>-123914.0</v>
      </c>
      <c r="F235" s="208">
        <f t="shared" si="101"/>
        <v>1.019623925</v>
      </c>
    </row>
    <row r="236" ht="15.75" customHeight="1">
      <c r="A236" s="27" t="s">
        <v>154</v>
      </c>
      <c r="B236" s="24">
        <v>66.0</v>
      </c>
      <c r="C236" s="29">
        <v>5950640.0</v>
      </c>
      <c r="D236" s="209">
        <v>5899426.0</v>
      </c>
      <c r="E236" s="28">
        <v>51214.0</v>
      </c>
      <c r="F236" s="208">
        <f t="shared" si="101"/>
        <v>0.9913935308</v>
      </c>
    </row>
    <row r="237" ht="15.75" customHeight="1">
      <c r="A237" s="27" t="s">
        <v>155</v>
      </c>
      <c r="B237" s="24">
        <v>87.0</v>
      </c>
      <c r="C237" s="29">
        <v>5062840.0</v>
      </c>
      <c r="D237" s="209">
        <v>5679496.0</v>
      </c>
      <c r="E237" s="28">
        <v>-616656.0</v>
      </c>
      <c r="F237" s="208">
        <f t="shared" si="101"/>
        <v>1.121800412</v>
      </c>
    </row>
    <row r="238" ht="15.75" customHeight="1">
      <c r="A238" s="27" t="s">
        <v>156</v>
      </c>
      <c r="B238" s="24">
        <v>77.0</v>
      </c>
      <c r="C238" s="29">
        <v>4464127.0</v>
      </c>
      <c r="D238" s="209">
        <v>3729257.0</v>
      </c>
      <c r="E238" s="28">
        <v>734871.0</v>
      </c>
      <c r="F238" s="208">
        <f t="shared" si="101"/>
        <v>0.8353832675</v>
      </c>
    </row>
    <row r="239" ht="15.75" customHeight="1">
      <c r="A239" s="27" t="s">
        <v>157</v>
      </c>
      <c r="B239" s="24">
        <v>134.0</v>
      </c>
      <c r="C239" s="29">
        <v>3654524.0</v>
      </c>
      <c r="D239" s="209">
        <v>3644760.0</v>
      </c>
      <c r="E239" s="28">
        <v>9764.0</v>
      </c>
      <c r="F239" s="208">
        <f t="shared" si="101"/>
        <v>0.997328243</v>
      </c>
    </row>
    <row r="240" ht="15.75" customHeight="1">
      <c r="A240" s="27" t="s">
        <v>158</v>
      </c>
      <c r="B240" s="24">
        <v>114.0</v>
      </c>
      <c r="C240" s="28">
        <v>3616758.0</v>
      </c>
      <c r="D240" s="210">
        <v>3009452.0</v>
      </c>
      <c r="E240" s="28">
        <v>607306.0</v>
      </c>
      <c r="F240" s="208">
        <f t="shared" si="101"/>
        <v>0.8320855307</v>
      </c>
    </row>
    <row r="241" ht="15.75" customHeight="1">
      <c r="A241" s="27" t="s">
        <v>159</v>
      </c>
      <c r="B241" s="24">
        <v>45.0</v>
      </c>
      <c r="C241" s="211">
        <v>3518310.0</v>
      </c>
      <c r="D241" s="212">
        <v>2122136.0</v>
      </c>
      <c r="E241" s="28">
        <v>1396174.0</v>
      </c>
      <c r="F241" s="208">
        <f t="shared" si="101"/>
        <v>0.6031691352</v>
      </c>
    </row>
    <row r="242" ht="15.75" customHeight="1">
      <c r="A242" s="27" t="s">
        <v>160</v>
      </c>
      <c r="B242" s="24">
        <v>92.0</v>
      </c>
      <c r="C242" s="28">
        <v>3305895.0</v>
      </c>
      <c r="D242" s="210">
        <v>3079549.0</v>
      </c>
      <c r="E242" s="28">
        <v>226345.0</v>
      </c>
      <c r="F242" s="208">
        <f t="shared" si="101"/>
        <v>0.9315326107</v>
      </c>
    </row>
    <row r="243" ht="15.75" customHeight="1">
      <c r="A243" s="27" t="s">
        <v>161</v>
      </c>
      <c r="B243" s="24">
        <v>132.0</v>
      </c>
      <c r="C243" s="28">
        <v>2467028.0</v>
      </c>
      <c r="D243" s="210">
        <v>2306294.0</v>
      </c>
      <c r="E243" s="28">
        <v>160734.0</v>
      </c>
      <c r="F243" s="208">
        <f t="shared" si="101"/>
        <v>0.9348471116</v>
      </c>
    </row>
    <row r="244" ht="15.75" customHeight="1">
      <c r="A244" s="27" t="s">
        <v>162</v>
      </c>
      <c r="B244" s="24">
        <v>119.0</v>
      </c>
      <c r="C244" s="28">
        <v>2390186.0</v>
      </c>
      <c r="D244" s="210">
        <v>2097997.0</v>
      </c>
      <c r="E244" s="28">
        <v>292189.0</v>
      </c>
      <c r="F244" s="208">
        <f t="shared" si="101"/>
        <v>0.8777547019</v>
      </c>
    </row>
    <row r="245" ht="15.75" customHeight="1">
      <c r="A245" s="27" t="s">
        <v>163</v>
      </c>
      <c r="B245" s="24">
        <v>85.0</v>
      </c>
      <c r="C245" s="28">
        <v>2040683.0</v>
      </c>
      <c r="D245" s="210">
        <v>1775476.0</v>
      </c>
      <c r="E245" s="28">
        <v>265207.0</v>
      </c>
      <c r="F245" s="208">
        <f t="shared" si="101"/>
        <v>0.8700400797</v>
      </c>
    </row>
    <row r="246" ht="15.75" customHeight="1">
      <c r="A246" s="27" t="s">
        <v>164</v>
      </c>
      <c r="B246" s="24">
        <v>92.0</v>
      </c>
      <c r="C246" s="28">
        <v>1761110.0</v>
      </c>
      <c r="D246" s="210">
        <v>1844421.0</v>
      </c>
      <c r="E246" s="28">
        <v>-83311.0</v>
      </c>
      <c r="F246" s="208">
        <f t="shared" si="101"/>
        <v>1.04730596</v>
      </c>
    </row>
    <row r="247" ht="15.75" customHeight="1">
      <c r="A247" s="27" t="s">
        <v>165</v>
      </c>
      <c r="B247" s="24">
        <v>82.0</v>
      </c>
      <c r="C247" s="28">
        <v>1492207.0</v>
      </c>
      <c r="D247" s="210">
        <v>1304412.0</v>
      </c>
      <c r="E247" s="28">
        <v>187796.0</v>
      </c>
      <c r="F247" s="208">
        <f t="shared" si="101"/>
        <v>0.874149498</v>
      </c>
    </row>
    <row r="248" ht="15.75" customHeight="1">
      <c r="A248" s="27" t="s">
        <v>166</v>
      </c>
      <c r="B248" s="24">
        <v>70.0</v>
      </c>
      <c r="C248" s="28">
        <v>1487401.0</v>
      </c>
      <c r="D248" s="210">
        <v>1332891.0</v>
      </c>
      <c r="E248" s="28">
        <v>154510.0</v>
      </c>
      <c r="F248" s="208">
        <f t="shared" si="101"/>
        <v>0.8961208175</v>
      </c>
    </row>
    <row r="249" ht="15.75" customHeight="1">
      <c r="A249" s="27" t="s">
        <v>167</v>
      </c>
      <c r="B249" s="24">
        <v>67.0</v>
      </c>
      <c r="C249" s="28">
        <v>1328944.0</v>
      </c>
      <c r="D249" s="210">
        <v>1072713.0</v>
      </c>
      <c r="E249" s="28">
        <v>256232.0</v>
      </c>
      <c r="F249" s="208">
        <f t="shared" si="101"/>
        <v>0.8071920262</v>
      </c>
    </row>
    <row r="250" ht="15.75" customHeight="1">
      <c r="A250" s="27" t="s">
        <v>168</v>
      </c>
      <c r="B250" s="24">
        <v>22.0</v>
      </c>
      <c r="C250" s="28">
        <v>1260100.0</v>
      </c>
      <c r="D250" s="210">
        <v>1194345.0</v>
      </c>
      <c r="E250" s="28">
        <v>65755.0</v>
      </c>
      <c r="F250" s="208">
        <f t="shared" si="101"/>
        <v>0.9478176335</v>
      </c>
    </row>
    <row r="251" ht="15.75" customHeight="1">
      <c r="A251" s="27" t="s">
        <v>169</v>
      </c>
      <c r="B251" s="24">
        <v>66.0</v>
      </c>
      <c r="C251" s="28">
        <v>1198737.0</v>
      </c>
      <c r="D251" s="210">
        <v>1114900.0</v>
      </c>
      <c r="E251" s="28">
        <v>83837.0</v>
      </c>
      <c r="F251" s="208">
        <f t="shared" si="101"/>
        <v>0.9300622238</v>
      </c>
    </row>
    <row r="252" ht="15.75" customHeight="1">
      <c r="A252" s="27" t="s">
        <v>170</v>
      </c>
      <c r="B252" s="24">
        <v>51.0</v>
      </c>
      <c r="C252" s="28">
        <v>1114765.0</v>
      </c>
      <c r="D252" s="210">
        <v>1131430.0</v>
      </c>
      <c r="E252" s="28">
        <v>-16665.0</v>
      </c>
      <c r="F252" s="208">
        <f t="shared" si="101"/>
        <v>1.014949339</v>
      </c>
    </row>
    <row r="253" ht="15.75" customHeight="1">
      <c r="A253" s="27" t="s">
        <v>171</v>
      </c>
      <c r="B253" s="24">
        <v>34.0</v>
      </c>
      <c r="C253" s="28">
        <v>747316.0</v>
      </c>
      <c r="D253" s="210">
        <v>674935.0</v>
      </c>
      <c r="E253" s="28">
        <v>72381.0</v>
      </c>
      <c r="F253" s="208">
        <f t="shared" si="101"/>
        <v>0.9031453896</v>
      </c>
    </row>
    <row r="254" ht="15.75" customHeight="1">
      <c r="A254" s="27" t="s">
        <v>172</v>
      </c>
      <c r="B254" s="24">
        <v>65.0</v>
      </c>
      <c r="C254" s="28">
        <v>641549.0</v>
      </c>
      <c r="D254" s="210">
        <v>554054.0</v>
      </c>
      <c r="E254" s="28">
        <v>87495.0</v>
      </c>
      <c r="F254" s="208">
        <f t="shared" si="101"/>
        <v>0.8636191468</v>
      </c>
    </row>
    <row r="255" ht="15.75" customHeight="1">
      <c r="A255" s="27" t="s">
        <v>173</v>
      </c>
      <c r="B255" s="24">
        <v>38.0</v>
      </c>
      <c r="C255" s="28">
        <v>633910.0</v>
      </c>
      <c r="D255" s="210">
        <v>676126.0</v>
      </c>
      <c r="E255" s="28">
        <v>-42216.0</v>
      </c>
      <c r="F255" s="208">
        <f t="shared" si="101"/>
        <v>1.066596205</v>
      </c>
    </row>
    <row r="256" ht="15.75" customHeight="1">
      <c r="A256" s="27" t="s">
        <v>174</v>
      </c>
      <c r="B256" s="24">
        <v>61.0</v>
      </c>
      <c r="C256" s="28">
        <v>298141.0</v>
      </c>
      <c r="D256" s="210">
        <v>274173.0</v>
      </c>
      <c r="E256" s="28">
        <v>23968.0</v>
      </c>
      <c r="F256" s="208">
        <f t="shared" si="101"/>
        <v>0.9196085074</v>
      </c>
    </row>
    <row r="257" ht="15.75" customHeight="1">
      <c r="A257" s="27" t="s">
        <v>175</v>
      </c>
      <c r="B257" s="24">
        <v>11.0</v>
      </c>
      <c r="C257" s="28">
        <v>179771.0</v>
      </c>
      <c r="D257" s="210">
        <v>145537.0</v>
      </c>
      <c r="E257" s="28">
        <v>34234.0</v>
      </c>
      <c r="F257" s="208">
        <f t="shared" si="101"/>
        <v>0.8095688404</v>
      </c>
    </row>
    <row r="258" ht="15.75" customHeight="1">
      <c r="A258" s="27" t="s">
        <v>176</v>
      </c>
      <c r="B258" s="24">
        <v>129.0</v>
      </c>
      <c r="C258" s="28">
        <v>172982.0</v>
      </c>
      <c r="D258" s="210">
        <v>128165.0</v>
      </c>
      <c r="E258" s="28">
        <v>44817.0</v>
      </c>
      <c r="F258" s="208">
        <f t="shared" si="101"/>
        <v>0.7409152397</v>
      </c>
    </row>
    <row r="259" ht="15.75" customHeight="1">
      <c r="A259" s="27" t="s">
        <v>177</v>
      </c>
      <c r="B259" s="24">
        <v>9.0</v>
      </c>
      <c r="C259" s="28">
        <v>99386.0</v>
      </c>
      <c r="D259" s="210">
        <v>73195.0</v>
      </c>
      <c r="E259" s="28">
        <v>26191.0</v>
      </c>
      <c r="F259" s="208">
        <f t="shared" si="101"/>
        <v>0.7364719377</v>
      </c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13">
    <mergeCell ref="AD73:AH73"/>
    <mergeCell ref="AD74:AH74"/>
    <mergeCell ref="AD75:AH75"/>
    <mergeCell ref="AG76:AH76"/>
    <mergeCell ref="AG77:AH77"/>
    <mergeCell ref="A207:B207"/>
    <mergeCell ref="L66:AH66"/>
    <mergeCell ref="L67:AH67"/>
    <mergeCell ref="Y68:AH68"/>
    <mergeCell ref="Y69:AH69"/>
    <mergeCell ref="Y70:AH70"/>
    <mergeCell ref="Y71:AH71"/>
    <mergeCell ref="AD72:AH72"/>
  </mergeCells>
  <hyperlinks>
    <hyperlink r:id="rId1" ref="A35"/>
    <hyperlink r:id="rId2" ref="L66"/>
    <hyperlink r:id="rId3" ref="Y70"/>
    <hyperlink r:id="rId4" ref="AD72"/>
    <hyperlink r:id="rId5" ref="AD74"/>
    <hyperlink r:id="rId6" ref="AG76"/>
    <hyperlink r:id="rId7" ref="A93"/>
    <hyperlink r:id="rId8" ref="A192"/>
    <hyperlink r:id="rId9" ref="A200"/>
    <hyperlink r:id="rId10" ref="A207"/>
    <hyperlink r:id="rId11" ref="A216"/>
  </hyperlinks>
  <printOptions/>
  <pageMargins bottom="1.0" footer="0.0" header="0.0" left="0.75" right="0.75" top="1.0"/>
  <pageSetup orientation="landscape"/>
  <drawing r:id="rId12"/>
  <tableParts count="2">
    <tablePart r:id="rId15"/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0.0"/>
    <col customWidth="1" min="2" max="3" width="15.0"/>
    <col customWidth="1" min="4" max="4" width="18.43"/>
    <col customWidth="1" min="5" max="5" width="20.57"/>
    <col customWidth="1" min="6" max="7" width="12.0"/>
    <col customWidth="1" min="8" max="8" width="14.43"/>
    <col customWidth="1" min="9" max="9" width="16.71"/>
    <col customWidth="1" min="10" max="26" width="12.0"/>
    <col customWidth="1" min="27" max="27" width="14.86"/>
    <col customWidth="1" min="28" max="28" width="15.14"/>
    <col customWidth="1" min="29" max="29" width="12.0"/>
    <col customWidth="1" min="30" max="30" width="14.86"/>
    <col customWidth="1" min="31" max="31" width="12.0"/>
    <col customWidth="1" min="32" max="32" width="16.86"/>
    <col customWidth="1" min="33" max="33" width="12.0"/>
    <col customWidth="1" min="34" max="34" width="17.86"/>
    <col customWidth="1" min="35" max="36" width="12.0"/>
  </cols>
  <sheetData>
    <row r="1" ht="24.75" customHeight="1">
      <c r="A1" s="53" t="s">
        <v>0</v>
      </c>
      <c r="B1" s="53" t="s">
        <v>214</v>
      </c>
      <c r="C1" s="53" t="s">
        <v>215</v>
      </c>
      <c r="D1" s="213">
        <v>46023.0</v>
      </c>
      <c r="E1" s="213">
        <v>46024.0</v>
      </c>
      <c r="F1" s="213">
        <v>46025.0</v>
      </c>
      <c r="G1" s="213">
        <v>46026.0</v>
      </c>
      <c r="H1" s="213">
        <v>46027.0</v>
      </c>
      <c r="I1" s="213">
        <v>46028.0</v>
      </c>
      <c r="J1" s="213">
        <v>46029.0</v>
      </c>
      <c r="K1" s="213">
        <v>46030.0</v>
      </c>
      <c r="L1" s="213">
        <v>46031.0</v>
      </c>
      <c r="M1" s="213">
        <v>46032.0</v>
      </c>
      <c r="N1" s="213">
        <v>46033.0</v>
      </c>
      <c r="O1" s="213">
        <v>46034.0</v>
      </c>
      <c r="P1" s="213">
        <v>46035.0</v>
      </c>
      <c r="Q1" s="213">
        <v>46036.0</v>
      </c>
      <c r="R1" s="213">
        <v>46037.0</v>
      </c>
      <c r="S1" s="213">
        <v>46038.0</v>
      </c>
      <c r="T1" s="213">
        <v>46039.0</v>
      </c>
      <c r="U1" s="213">
        <v>46040.0</v>
      </c>
      <c r="V1" s="213">
        <v>46041.0</v>
      </c>
      <c r="W1" s="213">
        <v>46042.0</v>
      </c>
      <c r="X1" s="213">
        <v>46043.0</v>
      </c>
      <c r="Y1" s="213">
        <v>46044.0</v>
      </c>
      <c r="Z1" s="213">
        <v>46045.0</v>
      </c>
      <c r="AA1" s="213">
        <v>46046.0</v>
      </c>
      <c r="AB1" s="213">
        <v>46047.0</v>
      </c>
      <c r="AC1" s="213">
        <v>46048.0</v>
      </c>
      <c r="AD1" s="213">
        <v>46049.0</v>
      </c>
      <c r="AE1" s="213">
        <v>46050.0</v>
      </c>
      <c r="AF1" s="213">
        <v>46051.0</v>
      </c>
      <c r="AG1" s="213">
        <v>46052.0</v>
      </c>
      <c r="AH1" s="213">
        <v>46053.0</v>
      </c>
      <c r="AI1" s="142"/>
      <c r="AJ1" s="143"/>
    </row>
    <row r="2" ht="19.5" customHeight="1">
      <c r="A2" s="53"/>
      <c r="B2" s="53"/>
      <c r="C2" s="53"/>
      <c r="D2" s="53" t="s">
        <v>220</v>
      </c>
      <c r="E2" s="53" t="s">
        <v>221</v>
      </c>
      <c r="F2" s="53" t="s">
        <v>222</v>
      </c>
      <c r="G2" s="53" t="s">
        <v>223</v>
      </c>
      <c r="H2" s="53" t="s">
        <v>271</v>
      </c>
      <c r="I2" s="53" t="s">
        <v>272</v>
      </c>
      <c r="J2" s="53" t="s">
        <v>273</v>
      </c>
      <c r="K2" s="53" t="s">
        <v>220</v>
      </c>
      <c r="L2" s="53" t="s">
        <v>221</v>
      </c>
      <c r="M2" s="53" t="s">
        <v>222</v>
      </c>
      <c r="N2" s="53" t="s">
        <v>223</v>
      </c>
      <c r="O2" s="53" t="s">
        <v>271</v>
      </c>
      <c r="P2" s="53" t="s">
        <v>272</v>
      </c>
      <c r="Q2" s="53" t="s">
        <v>273</v>
      </c>
      <c r="R2" s="53" t="s">
        <v>220</v>
      </c>
      <c r="S2" s="53" t="s">
        <v>221</v>
      </c>
      <c r="T2" s="53" t="s">
        <v>222</v>
      </c>
      <c r="U2" s="53" t="s">
        <v>223</v>
      </c>
      <c r="V2" s="53" t="s">
        <v>271</v>
      </c>
      <c r="W2" s="53" t="s">
        <v>272</v>
      </c>
      <c r="X2" s="53" t="s">
        <v>273</v>
      </c>
      <c r="Y2" s="53" t="s">
        <v>220</v>
      </c>
      <c r="Z2" s="53" t="s">
        <v>221</v>
      </c>
      <c r="AA2" s="53" t="s">
        <v>222</v>
      </c>
      <c r="AB2" s="53" t="s">
        <v>223</v>
      </c>
      <c r="AC2" s="53" t="s">
        <v>271</v>
      </c>
      <c r="AD2" s="53" t="s">
        <v>272</v>
      </c>
      <c r="AE2" s="141" t="s">
        <v>273</v>
      </c>
      <c r="AF2" s="53" t="s">
        <v>220</v>
      </c>
      <c r="AG2" s="53" t="s">
        <v>221</v>
      </c>
      <c r="AH2" s="53" t="s">
        <v>222</v>
      </c>
      <c r="AI2" s="142"/>
      <c r="AJ2" s="143"/>
    </row>
    <row r="3">
      <c r="A3" s="56" t="s">
        <v>224</v>
      </c>
      <c r="B3" s="56">
        <f t="shared" ref="B3:B4" si="1">SUM(D3:AH3)</f>
        <v>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144"/>
      <c r="AI3" s="145"/>
      <c r="AJ3" s="146"/>
    </row>
    <row r="4">
      <c r="A4" s="72" t="s">
        <v>2</v>
      </c>
      <c r="B4" s="72">
        <f t="shared" si="1"/>
        <v>5685</v>
      </c>
      <c r="C4" s="147">
        <f t="shared" ref="C4:C19" si="2">AVERAGE(D4:AH4)</f>
        <v>203.0357143</v>
      </c>
      <c r="D4" s="148">
        <v>195.0</v>
      </c>
      <c r="E4" s="148">
        <v>141.0</v>
      </c>
      <c r="F4" s="148">
        <v>206.0</v>
      </c>
      <c r="G4" s="148">
        <v>159.0</v>
      </c>
      <c r="H4" s="148">
        <v>159.0</v>
      </c>
      <c r="I4" s="148">
        <v>278.0</v>
      </c>
      <c r="J4" s="148">
        <v>263.0</v>
      </c>
      <c r="K4" s="148">
        <v>219.0</v>
      </c>
      <c r="L4" s="148">
        <v>69.0</v>
      </c>
      <c r="M4" s="148">
        <v>172.0</v>
      </c>
      <c r="N4" s="148">
        <v>100.0</v>
      </c>
      <c r="O4" s="148">
        <v>382.0</v>
      </c>
      <c r="P4" s="148">
        <v>242.0</v>
      </c>
      <c r="Q4" s="148">
        <v>125.0</v>
      </c>
      <c r="R4" s="148">
        <v>331.0</v>
      </c>
      <c r="S4" s="148">
        <v>103.0</v>
      </c>
      <c r="T4" s="148">
        <v>114.0</v>
      </c>
      <c r="U4" s="148">
        <v>123.0</v>
      </c>
      <c r="V4" s="148">
        <v>232.0</v>
      </c>
      <c r="W4" s="148">
        <v>185.0</v>
      </c>
      <c r="X4" s="148">
        <v>107.0</v>
      </c>
      <c r="Y4" s="148">
        <v>314.0</v>
      </c>
      <c r="Z4" s="148">
        <v>146.0</v>
      </c>
      <c r="AA4" s="148">
        <v>244.0</v>
      </c>
      <c r="AB4" s="148">
        <v>209.0</v>
      </c>
      <c r="AC4" s="148">
        <v>265.0</v>
      </c>
      <c r="AD4" s="148">
        <v>272.0</v>
      </c>
      <c r="AE4" s="148">
        <v>330.0</v>
      </c>
      <c r="AF4" s="148"/>
      <c r="AG4" s="148"/>
      <c r="AH4" s="149"/>
      <c r="AI4" s="150"/>
      <c r="AJ4" s="151"/>
    </row>
    <row r="5">
      <c r="A5" s="60" t="s">
        <v>3</v>
      </c>
      <c r="B5" s="76">
        <v>3459.0</v>
      </c>
      <c r="C5" s="152">
        <f t="shared" si="2"/>
        <v>252.2592593</v>
      </c>
      <c r="D5" s="65">
        <v>186.0</v>
      </c>
      <c r="E5" s="65">
        <v>142.0</v>
      </c>
      <c r="F5" s="65">
        <v>153.0</v>
      </c>
      <c r="G5" s="65">
        <v>146.0</v>
      </c>
      <c r="H5" s="65"/>
      <c r="I5" s="65">
        <v>184.0</v>
      </c>
      <c r="J5" s="65">
        <v>244.0</v>
      </c>
      <c r="K5" s="65">
        <v>220.0</v>
      </c>
      <c r="L5" s="65">
        <v>312.0</v>
      </c>
      <c r="M5" s="65">
        <v>261.0</v>
      </c>
      <c r="N5" s="65">
        <v>274.0</v>
      </c>
      <c r="O5" s="65">
        <v>234.0</v>
      </c>
      <c r="P5" s="65">
        <v>277.0</v>
      </c>
      <c r="Q5" s="65">
        <v>257.0</v>
      </c>
      <c r="R5" s="65">
        <v>260.0</v>
      </c>
      <c r="S5" s="65">
        <v>294.0</v>
      </c>
      <c r="T5" s="65">
        <v>275.0</v>
      </c>
      <c r="U5" s="65">
        <v>237.0</v>
      </c>
      <c r="V5" s="65">
        <v>205.0</v>
      </c>
      <c r="W5" s="65">
        <v>252.0</v>
      </c>
      <c r="X5" s="65">
        <v>273.0</v>
      </c>
      <c r="Y5" s="65">
        <v>273.0</v>
      </c>
      <c r="Z5" s="65">
        <v>303.0</v>
      </c>
      <c r="AA5" s="65">
        <v>272.0</v>
      </c>
      <c r="AB5" s="65">
        <v>280.0</v>
      </c>
      <c r="AC5" s="65">
        <v>287.0</v>
      </c>
      <c r="AD5" s="65">
        <v>327.0</v>
      </c>
      <c r="AE5" s="65">
        <v>383.0</v>
      </c>
      <c r="AF5" s="65"/>
      <c r="AG5" s="65"/>
      <c r="AH5" s="153"/>
      <c r="AI5" s="150"/>
      <c r="AJ5" s="151"/>
    </row>
    <row r="6">
      <c r="A6" s="60" t="s">
        <v>4</v>
      </c>
      <c r="B6" s="92">
        <f>SUM(D6:AH6)</f>
        <v>5685</v>
      </c>
      <c r="C6" s="154">
        <f t="shared" si="2"/>
        <v>203.0357143</v>
      </c>
      <c r="D6" s="79">
        <v>195.0</v>
      </c>
      <c r="E6" s="79">
        <v>141.0</v>
      </c>
      <c r="F6" s="65">
        <v>206.0</v>
      </c>
      <c r="G6" s="79">
        <v>159.0</v>
      </c>
      <c r="H6" s="65">
        <v>159.0</v>
      </c>
      <c r="I6" s="79">
        <v>278.0</v>
      </c>
      <c r="J6" s="65">
        <v>263.0</v>
      </c>
      <c r="K6" s="65">
        <v>219.0</v>
      </c>
      <c r="L6" s="65">
        <v>69.0</v>
      </c>
      <c r="M6" s="65">
        <v>172.0</v>
      </c>
      <c r="N6" s="65">
        <v>100.0</v>
      </c>
      <c r="O6" s="65">
        <v>382.0</v>
      </c>
      <c r="P6" s="65">
        <v>242.0</v>
      </c>
      <c r="Q6" s="65">
        <v>125.0</v>
      </c>
      <c r="R6" s="65">
        <v>331.0</v>
      </c>
      <c r="S6" s="65">
        <v>103.0</v>
      </c>
      <c r="T6" s="65">
        <v>114.0</v>
      </c>
      <c r="U6" s="65">
        <v>123.0</v>
      </c>
      <c r="V6" s="65">
        <v>232.0</v>
      </c>
      <c r="W6" s="65">
        <v>185.0</v>
      </c>
      <c r="X6" s="65">
        <v>107.0</v>
      </c>
      <c r="Y6" s="65">
        <v>314.0</v>
      </c>
      <c r="Z6" s="65">
        <v>146.0</v>
      </c>
      <c r="AA6" s="65">
        <v>244.0</v>
      </c>
      <c r="AB6" s="65">
        <v>209.0</v>
      </c>
      <c r="AC6" s="79">
        <v>265.0</v>
      </c>
      <c r="AD6" s="65">
        <v>272.0</v>
      </c>
      <c r="AE6" s="65">
        <v>330.0</v>
      </c>
      <c r="AF6" s="65"/>
      <c r="AG6" s="65"/>
      <c r="AH6" s="153"/>
      <c r="AI6" s="150"/>
      <c r="AJ6" s="151"/>
    </row>
    <row r="7">
      <c r="A7" s="60" t="s">
        <v>5</v>
      </c>
      <c r="B7" s="68">
        <f>C7</f>
        <v>1</v>
      </c>
      <c r="C7" s="68">
        <f t="shared" si="2"/>
        <v>1</v>
      </c>
      <c r="D7" s="12">
        <f t="shared" ref="D7:AE7" si="3">D6/D4</f>
        <v>1</v>
      </c>
      <c r="E7" s="12">
        <f t="shared" si="3"/>
        <v>1</v>
      </c>
      <c r="F7" s="12">
        <f t="shared" si="3"/>
        <v>1</v>
      </c>
      <c r="G7" s="12">
        <f t="shared" si="3"/>
        <v>1</v>
      </c>
      <c r="H7" s="12">
        <f t="shared" si="3"/>
        <v>1</v>
      </c>
      <c r="I7" s="12">
        <f t="shared" si="3"/>
        <v>1</v>
      </c>
      <c r="J7" s="12">
        <f t="shared" si="3"/>
        <v>1</v>
      </c>
      <c r="K7" s="12">
        <f t="shared" si="3"/>
        <v>1</v>
      </c>
      <c r="L7" s="12">
        <f t="shared" si="3"/>
        <v>1</v>
      </c>
      <c r="M7" s="12">
        <f t="shared" si="3"/>
        <v>1</v>
      </c>
      <c r="N7" s="12">
        <f t="shared" si="3"/>
        <v>1</v>
      </c>
      <c r="O7" s="12">
        <f t="shared" si="3"/>
        <v>1</v>
      </c>
      <c r="P7" s="12">
        <f t="shared" si="3"/>
        <v>1</v>
      </c>
      <c r="Q7" s="12">
        <f t="shared" si="3"/>
        <v>1</v>
      </c>
      <c r="R7" s="12">
        <f t="shared" si="3"/>
        <v>1</v>
      </c>
      <c r="S7" s="12">
        <f t="shared" si="3"/>
        <v>1</v>
      </c>
      <c r="T7" s="12">
        <f t="shared" si="3"/>
        <v>1</v>
      </c>
      <c r="U7" s="12">
        <f t="shared" si="3"/>
        <v>1</v>
      </c>
      <c r="V7" s="12">
        <f t="shared" si="3"/>
        <v>1</v>
      </c>
      <c r="W7" s="12">
        <f t="shared" si="3"/>
        <v>1</v>
      </c>
      <c r="X7" s="12">
        <f t="shared" si="3"/>
        <v>1</v>
      </c>
      <c r="Y7" s="12">
        <f t="shared" si="3"/>
        <v>1</v>
      </c>
      <c r="Z7" s="12">
        <f t="shared" si="3"/>
        <v>1</v>
      </c>
      <c r="AA7" s="12">
        <f t="shared" si="3"/>
        <v>1</v>
      </c>
      <c r="AB7" s="12">
        <f t="shared" si="3"/>
        <v>1</v>
      </c>
      <c r="AC7" s="12">
        <f t="shared" si="3"/>
        <v>1</v>
      </c>
      <c r="AD7" s="12">
        <f t="shared" si="3"/>
        <v>1</v>
      </c>
      <c r="AE7" s="12">
        <f t="shared" si="3"/>
        <v>1</v>
      </c>
      <c r="AF7" s="12"/>
      <c r="AG7" s="12"/>
      <c r="AH7" s="12"/>
      <c r="AI7" s="150"/>
      <c r="AJ7" s="151"/>
    </row>
    <row r="8">
      <c r="A8" s="60" t="s">
        <v>6</v>
      </c>
      <c r="B8" s="214">
        <v>6211.0</v>
      </c>
      <c r="C8" s="92">
        <f t="shared" si="2"/>
        <v>180.75</v>
      </c>
      <c r="D8" s="65">
        <v>207.0</v>
      </c>
      <c r="E8" s="65">
        <v>134.0</v>
      </c>
      <c r="F8" s="65">
        <v>229.0</v>
      </c>
      <c r="G8" s="65">
        <v>134.0</v>
      </c>
      <c r="H8" s="65">
        <v>164.0</v>
      </c>
      <c r="I8" s="65">
        <v>220.0</v>
      </c>
      <c r="J8" s="65">
        <v>233.0</v>
      </c>
      <c r="K8" s="65">
        <v>162.0</v>
      </c>
      <c r="L8" s="65">
        <v>93.0</v>
      </c>
      <c r="M8" s="65">
        <v>135.0</v>
      </c>
      <c r="N8" s="65">
        <v>185.0</v>
      </c>
      <c r="O8" s="65">
        <v>178.0</v>
      </c>
      <c r="P8" s="65">
        <v>249.0</v>
      </c>
      <c r="Q8" s="65">
        <v>210.0</v>
      </c>
      <c r="R8" s="65">
        <v>198.0</v>
      </c>
      <c r="S8" s="215">
        <v>170.0</v>
      </c>
      <c r="T8" s="65">
        <v>136.0</v>
      </c>
      <c r="U8" s="65">
        <v>185.0</v>
      </c>
      <c r="V8" s="215">
        <v>184.0</v>
      </c>
      <c r="W8" s="65">
        <v>158.0</v>
      </c>
      <c r="X8" s="65">
        <v>217.0</v>
      </c>
      <c r="Y8" s="65">
        <v>251.0</v>
      </c>
      <c r="Z8" s="65">
        <v>194.0</v>
      </c>
      <c r="AA8" s="65">
        <v>112.0</v>
      </c>
      <c r="AB8" s="65"/>
      <c r="AC8" s="65"/>
      <c r="AD8" s="65"/>
      <c r="AE8" s="65"/>
      <c r="AF8" s="65"/>
      <c r="AG8" s="65"/>
      <c r="AH8" s="65"/>
      <c r="AI8" s="150"/>
      <c r="AJ8" s="151"/>
    </row>
    <row r="9">
      <c r="A9" s="60" t="s">
        <v>7</v>
      </c>
      <c r="B9" s="68">
        <f>B8/B4</f>
        <v>1.092524186</v>
      </c>
      <c r="C9" s="68">
        <f t="shared" si="2"/>
        <v>0.307983603</v>
      </c>
      <c r="D9" s="12">
        <f t="shared" ref="D9:M9" si="4">D8/D4</f>
        <v>1.061538462</v>
      </c>
      <c r="E9" s="12">
        <f t="shared" si="4"/>
        <v>0.9503546099</v>
      </c>
      <c r="F9" s="12">
        <f t="shared" si="4"/>
        <v>1.111650485</v>
      </c>
      <c r="G9" s="12">
        <f t="shared" si="4"/>
        <v>0.8427672956</v>
      </c>
      <c r="H9" s="12">
        <f t="shared" si="4"/>
        <v>1.031446541</v>
      </c>
      <c r="I9" s="12">
        <f t="shared" si="4"/>
        <v>0.7913669065</v>
      </c>
      <c r="J9" s="12">
        <f t="shared" si="4"/>
        <v>0.8859315589</v>
      </c>
      <c r="K9" s="12">
        <f t="shared" si="4"/>
        <v>0.7397260274</v>
      </c>
      <c r="L9" s="12">
        <f t="shared" si="4"/>
        <v>1.347826087</v>
      </c>
      <c r="M9" s="12">
        <f t="shared" si="4"/>
        <v>0.7848837209</v>
      </c>
      <c r="N9" s="65">
        <v>0.0</v>
      </c>
      <c r="O9" s="65">
        <v>0.0</v>
      </c>
      <c r="P9" s="65">
        <v>0.0</v>
      </c>
      <c r="Q9" s="65">
        <v>0.0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5">
        <v>0.0</v>
      </c>
      <c r="Y9" s="65">
        <v>0.0</v>
      </c>
      <c r="Z9" s="65">
        <v>0.0</v>
      </c>
      <c r="AA9" s="65">
        <v>0.0</v>
      </c>
      <c r="AB9" s="65">
        <v>0.0</v>
      </c>
      <c r="AC9" s="65">
        <v>0.0</v>
      </c>
      <c r="AD9" s="65">
        <v>0.0</v>
      </c>
      <c r="AE9" s="65">
        <v>0.0</v>
      </c>
      <c r="AF9" s="65">
        <v>0.0</v>
      </c>
      <c r="AG9" s="65">
        <v>0.0</v>
      </c>
      <c r="AH9" s="65">
        <v>0.0</v>
      </c>
      <c r="AI9" s="150"/>
      <c r="AJ9" s="151"/>
    </row>
    <row r="10">
      <c r="A10" s="65" t="s">
        <v>8</v>
      </c>
      <c r="B10" s="76">
        <v>348.0</v>
      </c>
      <c r="C10" s="154">
        <f t="shared" si="2"/>
        <v>6.142857143</v>
      </c>
      <c r="D10" s="65">
        <v>6.0</v>
      </c>
      <c r="E10" s="65">
        <v>7.0</v>
      </c>
      <c r="F10" s="65">
        <v>10.0</v>
      </c>
      <c r="G10" s="65">
        <v>8.0</v>
      </c>
      <c r="H10" s="65">
        <v>8.0</v>
      </c>
      <c r="I10" s="65">
        <v>9.0</v>
      </c>
      <c r="J10" s="65">
        <v>12.0</v>
      </c>
      <c r="K10" s="65">
        <v>6.0</v>
      </c>
      <c r="L10" s="65">
        <v>3.0</v>
      </c>
      <c r="M10" s="65">
        <v>7.0</v>
      </c>
      <c r="N10" s="65">
        <v>3.0</v>
      </c>
      <c r="O10" s="65">
        <v>2.0</v>
      </c>
      <c r="P10" s="65">
        <v>7.0</v>
      </c>
      <c r="Q10" s="65">
        <v>6.0</v>
      </c>
      <c r="R10" s="65">
        <v>10.0</v>
      </c>
      <c r="S10" s="65">
        <v>2.0</v>
      </c>
      <c r="T10" s="65">
        <v>3.0</v>
      </c>
      <c r="U10" s="65">
        <v>5.0</v>
      </c>
      <c r="V10" s="65">
        <v>8.0</v>
      </c>
      <c r="W10" s="65">
        <v>3.0</v>
      </c>
      <c r="X10" s="65">
        <v>5.0</v>
      </c>
      <c r="Y10" s="65">
        <v>6.0</v>
      </c>
      <c r="Z10" s="65">
        <v>4.0</v>
      </c>
      <c r="AA10" s="65">
        <v>6.0</v>
      </c>
      <c r="AB10" s="65">
        <v>6.0</v>
      </c>
      <c r="AC10" s="65">
        <v>5.0</v>
      </c>
      <c r="AD10" s="65">
        <v>6.0</v>
      </c>
      <c r="AE10" s="65">
        <v>9.0</v>
      </c>
      <c r="AF10" s="65"/>
      <c r="AG10" s="65"/>
      <c r="AH10" s="153"/>
      <c r="AI10" s="150"/>
      <c r="AJ10" s="151"/>
    </row>
    <row r="11">
      <c r="A11" s="60" t="s">
        <v>225</v>
      </c>
      <c r="B11" s="68">
        <f>C11</f>
        <v>0.03261962672</v>
      </c>
      <c r="C11" s="68">
        <f t="shared" si="2"/>
        <v>0.03261962672</v>
      </c>
      <c r="D11" s="12">
        <f t="shared" ref="D11:AE11" si="5">D10/D4</f>
        <v>0.03076923077</v>
      </c>
      <c r="E11" s="12">
        <f t="shared" si="5"/>
        <v>0.04964539007</v>
      </c>
      <c r="F11" s="12">
        <f t="shared" si="5"/>
        <v>0.04854368932</v>
      </c>
      <c r="G11" s="12">
        <f t="shared" si="5"/>
        <v>0.05031446541</v>
      </c>
      <c r="H11" s="12">
        <f t="shared" si="5"/>
        <v>0.05031446541</v>
      </c>
      <c r="I11" s="12">
        <f t="shared" si="5"/>
        <v>0.03237410072</v>
      </c>
      <c r="J11" s="12">
        <f t="shared" si="5"/>
        <v>0.04562737643</v>
      </c>
      <c r="K11" s="12">
        <f t="shared" si="5"/>
        <v>0.02739726027</v>
      </c>
      <c r="L11" s="12">
        <f t="shared" si="5"/>
        <v>0.04347826087</v>
      </c>
      <c r="M11" s="12">
        <f t="shared" si="5"/>
        <v>0.04069767442</v>
      </c>
      <c r="N11" s="12">
        <f t="shared" si="5"/>
        <v>0.03</v>
      </c>
      <c r="O11" s="12">
        <f t="shared" si="5"/>
        <v>0.005235602094</v>
      </c>
      <c r="P11" s="12">
        <f t="shared" si="5"/>
        <v>0.02892561983</v>
      </c>
      <c r="Q11" s="12">
        <f t="shared" si="5"/>
        <v>0.048</v>
      </c>
      <c r="R11" s="12">
        <f t="shared" si="5"/>
        <v>0.03021148036</v>
      </c>
      <c r="S11" s="12">
        <f t="shared" si="5"/>
        <v>0.01941747573</v>
      </c>
      <c r="T11" s="12">
        <f t="shared" si="5"/>
        <v>0.02631578947</v>
      </c>
      <c r="U11" s="12">
        <f t="shared" si="5"/>
        <v>0.0406504065</v>
      </c>
      <c r="V11" s="12">
        <f t="shared" si="5"/>
        <v>0.03448275862</v>
      </c>
      <c r="W11" s="12">
        <f t="shared" si="5"/>
        <v>0.01621621622</v>
      </c>
      <c r="X11" s="12">
        <f t="shared" si="5"/>
        <v>0.04672897196</v>
      </c>
      <c r="Y11" s="12">
        <f t="shared" si="5"/>
        <v>0.01910828025</v>
      </c>
      <c r="Z11" s="12">
        <f t="shared" si="5"/>
        <v>0.02739726027</v>
      </c>
      <c r="AA11" s="12">
        <f t="shared" si="5"/>
        <v>0.02459016393</v>
      </c>
      <c r="AB11" s="12">
        <f t="shared" si="5"/>
        <v>0.02870813397</v>
      </c>
      <c r="AC11" s="12">
        <f t="shared" si="5"/>
        <v>0.01886792453</v>
      </c>
      <c r="AD11" s="12">
        <f t="shared" si="5"/>
        <v>0.02205882353</v>
      </c>
      <c r="AE11" s="12">
        <f t="shared" si="5"/>
        <v>0.02727272727</v>
      </c>
      <c r="AF11" s="12"/>
      <c r="AG11" s="12"/>
      <c r="AH11" s="12"/>
      <c r="AI11" s="150"/>
      <c r="AJ11" s="151"/>
    </row>
    <row r="12">
      <c r="A12" s="65" t="s">
        <v>293</v>
      </c>
      <c r="B12" s="76">
        <v>45.0</v>
      </c>
      <c r="C12" s="152">
        <f t="shared" si="2"/>
        <v>1.285714286</v>
      </c>
      <c r="D12" s="65">
        <v>3.0</v>
      </c>
      <c r="E12" s="65">
        <v>1.0</v>
      </c>
      <c r="F12" s="65">
        <v>0.0</v>
      </c>
      <c r="G12" s="65">
        <v>0.0</v>
      </c>
      <c r="H12" s="65">
        <v>1.0</v>
      </c>
      <c r="I12" s="65">
        <v>2.0</v>
      </c>
      <c r="J12" s="65">
        <v>4.0</v>
      </c>
      <c r="K12" s="65">
        <v>0.0</v>
      </c>
      <c r="L12" s="65">
        <v>1.0</v>
      </c>
      <c r="M12" s="65">
        <v>4.0</v>
      </c>
      <c r="N12" s="65">
        <v>0.0</v>
      </c>
      <c r="O12" s="65">
        <v>2.0</v>
      </c>
      <c r="P12" s="65">
        <v>3.0</v>
      </c>
      <c r="Q12" s="65">
        <v>1.0</v>
      </c>
      <c r="R12" s="65">
        <v>3.0</v>
      </c>
      <c r="S12" s="65">
        <v>0.0</v>
      </c>
      <c r="T12" s="65">
        <v>1.0</v>
      </c>
      <c r="U12" s="65">
        <v>3.0</v>
      </c>
      <c r="V12" s="65">
        <v>0.0</v>
      </c>
      <c r="W12" s="65">
        <v>1.0</v>
      </c>
      <c r="X12" s="65">
        <v>1.0</v>
      </c>
      <c r="Y12" s="65">
        <v>1.0</v>
      </c>
      <c r="Z12" s="65">
        <v>0.0</v>
      </c>
      <c r="AA12" s="65">
        <v>1.0</v>
      </c>
      <c r="AB12" s="65">
        <v>0.0</v>
      </c>
      <c r="AC12" s="65">
        <v>0.0</v>
      </c>
      <c r="AD12" s="65">
        <v>1.0</v>
      </c>
      <c r="AE12" s="65">
        <v>2.0</v>
      </c>
      <c r="AF12" s="65"/>
      <c r="AG12" s="65"/>
      <c r="AH12" s="153"/>
      <c r="AI12" s="150"/>
      <c r="AJ12" s="151"/>
    </row>
    <row r="13">
      <c r="A13" s="12" t="s">
        <v>11</v>
      </c>
      <c r="B13" s="68">
        <f>C13</f>
        <v>0.006733833015</v>
      </c>
      <c r="C13" s="68">
        <f t="shared" si="2"/>
        <v>0.006733833015</v>
      </c>
      <c r="D13" s="12">
        <f t="shared" ref="D13:AE13" si="6">D12/D4</f>
        <v>0.01538461538</v>
      </c>
      <c r="E13" s="12">
        <f t="shared" si="6"/>
        <v>0.007092198582</v>
      </c>
      <c r="F13" s="12">
        <f t="shared" si="6"/>
        <v>0</v>
      </c>
      <c r="G13" s="12">
        <f t="shared" si="6"/>
        <v>0</v>
      </c>
      <c r="H13" s="12">
        <f t="shared" si="6"/>
        <v>0.006289308176</v>
      </c>
      <c r="I13" s="12">
        <f t="shared" si="6"/>
        <v>0.007194244604</v>
      </c>
      <c r="J13" s="12">
        <f t="shared" si="6"/>
        <v>0.01520912548</v>
      </c>
      <c r="K13" s="12">
        <f t="shared" si="6"/>
        <v>0</v>
      </c>
      <c r="L13" s="12">
        <f t="shared" si="6"/>
        <v>0.01449275362</v>
      </c>
      <c r="M13" s="12">
        <f t="shared" si="6"/>
        <v>0.02325581395</v>
      </c>
      <c r="N13" s="12">
        <f t="shared" si="6"/>
        <v>0</v>
      </c>
      <c r="O13" s="12">
        <f t="shared" si="6"/>
        <v>0.005235602094</v>
      </c>
      <c r="P13" s="12">
        <f t="shared" si="6"/>
        <v>0.01239669421</v>
      </c>
      <c r="Q13" s="12">
        <f t="shared" si="6"/>
        <v>0.008</v>
      </c>
      <c r="R13" s="12">
        <f t="shared" si="6"/>
        <v>0.009063444109</v>
      </c>
      <c r="S13" s="12">
        <f t="shared" si="6"/>
        <v>0</v>
      </c>
      <c r="T13" s="12">
        <f t="shared" si="6"/>
        <v>0.008771929825</v>
      </c>
      <c r="U13" s="12">
        <f t="shared" si="6"/>
        <v>0.0243902439</v>
      </c>
      <c r="V13" s="12">
        <f t="shared" si="6"/>
        <v>0</v>
      </c>
      <c r="W13" s="12">
        <f t="shared" si="6"/>
        <v>0.005405405405</v>
      </c>
      <c r="X13" s="12">
        <f t="shared" si="6"/>
        <v>0.009345794393</v>
      </c>
      <c r="Y13" s="12">
        <f t="shared" si="6"/>
        <v>0.003184713376</v>
      </c>
      <c r="Z13" s="12">
        <f t="shared" si="6"/>
        <v>0</v>
      </c>
      <c r="AA13" s="12">
        <f t="shared" si="6"/>
        <v>0.004098360656</v>
      </c>
      <c r="AB13" s="12">
        <f t="shared" si="6"/>
        <v>0</v>
      </c>
      <c r="AC13" s="12">
        <f t="shared" si="6"/>
        <v>0</v>
      </c>
      <c r="AD13" s="12">
        <f t="shared" si="6"/>
        <v>0.003676470588</v>
      </c>
      <c r="AE13" s="12">
        <f t="shared" si="6"/>
        <v>0.006060606061</v>
      </c>
      <c r="AF13" s="12"/>
      <c r="AG13" s="12"/>
      <c r="AH13" s="12"/>
      <c r="AI13" s="155"/>
      <c r="AJ13" s="156"/>
    </row>
    <row r="14">
      <c r="A14" s="60" t="s">
        <v>227</v>
      </c>
      <c r="B14" s="76">
        <v>44.0</v>
      </c>
      <c r="C14" s="115">
        <f t="shared" si="2"/>
        <v>0.8571428571</v>
      </c>
      <c r="D14" s="65">
        <v>1.0</v>
      </c>
      <c r="E14" s="65">
        <v>1.0</v>
      </c>
      <c r="F14" s="65">
        <v>0.0</v>
      </c>
      <c r="G14" s="65">
        <v>4.0</v>
      </c>
      <c r="H14" s="65">
        <v>1.0</v>
      </c>
      <c r="I14" s="65">
        <v>0.0</v>
      </c>
      <c r="J14" s="65">
        <v>1.0</v>
      </c>
      <c r="K14" s="65">
        <v>0.0</v>
      </c>
      <c r="L14" s="65">
        <v>1.0</v>
      </c>
      <c r="M14" s="65">
        <v>1.0</v>
      </c>
      <c r="N14" s="65">
        <v>0.0</v>
      </c>
      <c r="O14" s="65">
        <v>2.0</v>
      </c>
      <c r="P14" s="65">
        <v>2.0</v>
      </c>
      <c r="Q14" s="65">
        <v>0.0</v>
      </c>
      <c r="R14" s="65">
        <v>3.0</v>
      </c>
      <c r="S14" s="65">
        <v>0.0</v>
      </c>
      <c r="T14" s="65">
        <v>1.0</v>
      </c>
      <c r="U14" s="65">
        <v>0.0</v>
      </c>
      <c r="V14" s="65">
        <v>1.0</v>
      </c>
      <c r="W14" s="65">
        <v>3.0</v>
      </c>
      <c r="X14" s="65">
        <v>0.0</v>
      </c>
      <c r="Y14" s="65">
        <v>0.0</v>
      </c>
      <c r="Z14" s="65">
        <v>0.0</v>
      </c>
      <c r="AA14" s="65">
        <v>1.0</v>
      </c>
      <c r="AB14" s="65">
        <v>1.0</v>
      </c>
      <c r="AC14" s="65">
        <v>0.0</v>
      </c>
      <c r="AD14" s="65">
        <v>0.0</v>
      </c>
      <c r="AE14" s="65">
        <v>0.0</v>
      </c>
      <c r="AF14" s="65"/>
      <c r="AG14" s="65"/>
      <c r="AH14" s="153"/>
      <c r="AI14" s="150"/>
      <c r="AJ14" s="151"/>
    </row>
    <row r="15">
      <c r="A15" s="60" t="s">
        <v>13</v>
      </c>
      <c r="B15" s="68">
        <f>C15</f>
        <v>0.004590035093</v>
      </c>
      <c r="C15" s="68">
        <f t="shared" si="2"/>
        <v>0.004590035093</v>
      </c>
      <c r="D15" s="12">
        <f t="shared" ref="D15:AE15" si="7">D14/D4</f>
        <v>0.005128205128</v>
      </c>
      <c r="E15" s="12">
        <f t="shared" si="7"/>
        <v>0.007092198582</v>
      </c>
      <c r="F15" s="12">
        <f t="shared" si="7"/>
        <v>0</v>
      </c>
      <c r="G15" s="12">
        <f t="shared" si="7"/>
        <v>0.0251572327</v>
      </c>
      <c r="H15" s="12">
        <f t="shared" si="7"/>
        <v>0.006289308176</v>
      </c>
      <c r="I15" s="12">
        <f t="shared" si="7"/>
        <v>0</v>
      </c>
      <c r="J15" s="12">
        <f t="shared" si="7"/>
        <v>0.003802281369</v>
      </c>
      <c r="K15" s="12">
        <f t="shared" si="7"/>
        <v>0</v>
      </c>
      <c r="L15" s="12">
        <f t="shared" si="7"/>
        <v>0.01449275362</v>
      </c>
      <c r="M15" s="12">
        <f t="shared" si="7"/>
        <v>0.005813953488</v>
      </c>
      <c r="N15" s="12">
        <f t="shared" si="7"/>
        <v>0</v>
      </c>
      <c r="O15" s="12">
        <f t="shared" si="7"/>
        <v>0.005235602094</v>
      </c>
      <c r="P15" s="12">
        <f t="shared" si="7"/>
        <v>0.00826446281</v>
      </c>
      <c r="Q15" s="12">
        <f t="shared" si="7"/>
        <v>0</v>
      </c>
      <c r="R15" s="12">
        <f t="shared" si="7"/>
        <v>0.009063444109</v>
      </c>
      <c r="S15" s="12">
        <f t="shared" si="7"/>
        <v>0</v>
      </c>
      <c r="T15" s="12">
        <f t="shared" si="7"/>
        <v>0.008771929825</v>
      </c>
      <c r="U15" s="12">
        <f t="shared" si="7"/>
        <v>0</v>
      </c>
      <c r="V15" s="12">
        <f t="shared" si="7"/>
        <v>0.004310344828</v>
      </c>
      <c r="W15" s="12">
        <f t="shared" si="7"/>
        <v>0.01621621622</v>
      </c>
      <c r="X15" s="12">
        <f t="shared" si="7"/>
        <v>0</v>
      </c>
      <c r="Y15" s="12">
        <f t="shared" si="7"/>
        <v>0</v>
      </c>
      <c r="Z15" s="12">
        <f t="shared" si="7"/>
        <v>0</v>
      </c>
      <c r="AA15" s="12">
        <f t="shared" si="7"/>
        <v>0.004098360656</v>
      </c>
      <c r="AB15" s="12">
        <f t="shared" si="7"/>
        <v>0.004784688995</v>
      </c>
      <c r="AC15" s="12">
        <f t="shared" si="7"/>
        <v>0</v>
      </c>
      <c r="AD15" s="12">
        <f t="shared" si="7"/>
        <v>0</v>
      </c>
      <c r="AE15" s="12">
        <f t="shared" si="7"/>
        <v>0</v>
      </c>
      <c r="AF15" s="12"/>
      <c r="AG15" s="12"/>
      <c r="AH15" s="12"/>
      <c r="AI15" s="150"/>
      <c r="AJ15" s="151"/>
    </row>
    <row r="16">
      <c r="A16" s="60" t="s">
        <v>14</v>
      </c>
      <c r="B16" s="76">
        <v>162.0</v>
      </c>
      <c r="C16" s="152">
        <f t="shared" si="2"/>
        <v>1.142857143</v>
      </c>
      <c r="D16" s="65">
        <v>1.0</v>
      </c>
      <c r="E16" s="65">
        <v>2.0</v>
      </c>
      <c r="F16" s="65">
        <v>3.0</v>
      </c>
      <c r="G16" s="65">
        <v>0.0</v>
      </c>
      <c r="H16" s="65">
        <v>4.0</v>
      </c>
      <c r="I16" s="65">
        <v>1.0</v>
      </c>
      <c r="J16" s="65">
        <v>1.0</v>
      </c>
      <c r="K16" s="65">
        <v>1.0</v>
      </c>
      <c r="L16" s="65">
        <v>1.0</v>
      </c>
      <c r="M16" s="65">
        <v>3.0</v>
      </c>
      <c r="N16" s="65">
        <v>1.0</v>
      </c>
      <c r="O16" s="65">
        <v>1.0</v>
      </c>
      <c r="P16" s="65">
        <v>0.0</v>
      </c>
      <c r="Q16" s="65">
        <v>0.0</v>
      </c>
      <c r="R16" s="65">
        <v>2.0</v>
      </c>
      <c r="S16" s="65">
        <v>1.0</v>
      </c>
      <c r="T16" s="65">
        <v>0.0</v>
      </c>
      <c r="U16" s="65">
        <v>2.0</v>
      </c>
      <c r="V16" s="65">
        <v>1.0</v>
      </c>
      <c r="W16" s="65">
        <v>1.0</v>
      </c>
      <c r="X16" s="65">
        <v>0.0</v>
      </c>
      <c r="Y16" s="65">
        <v>0.0</v>
      </c>
      <c r="Z16" s="65">
        <v>0.0</v>
      </c>
      <c r="AA16" s="65">
        <v>0.0</v>
      </c>
      <c r="AB16" s="65">
        <v>2.0</v>
      </c>
      <c r="AC16" s="65">
        <v>2.0</v>
      </c>
      <c r="AD16" s="65">
        <v>0.0</v>
      </c>
      <c r="AE16" s="65">
        <v>2.0</v>
      </c>
      <c r="AF16" s="65"/>
      <c r="AG16" s="65"/>
      <c r="AH16" s="153"/>
      <c r="AI16" s="150"/>
      <c r="AJ16" s="151"/>
    </row>
    <row r="17">
      <c r="A17" s="12" t="s">
        <v>15</v>
      </c>
      <c r="B17" s="68">
        <f>C17</f>
        <v>0.006444823974</v>
      </c>
      <c r="C17" s="68">
        <f t="shared" si="2"/>
        <v>0.006444823974</v>
      </c>
      <c r="D17" s="12">
        <f t="shared" ref="D17:AE17" si="8">D16/D4</f>
        <v>0.005128205128</v>
      </c>
      <c r="E17" s="12">
        <f t="shared" si="8"/>
        <v>0.01418439716</v>
      </c>
      <c r="F17" s="12">
        <f t="shared" si="8"/>
        <v>0.0145631068</v>
      </c>
      <c r="G17" s="12">
        <f t="shared" si="8"/>
        <v>0</v>
      </c>
      <c r="H17" s="12">
        <f t="shared" si="8"/>
        <v>0.0251572327</v>
      </c>
      <c r="I17" s="12">
        <f t="shared" si="8"/>
        <v>0.003597122302</v>
      </c>
      <c r="J17" s="12">
        <f t="shared" si="8"/>
        <v>0.003802281369</v>
      </c>
      <c r="K17" s="12">
        <f t="shared" si="8"/>
        <v>0.004566210046</v>
      </c>
      <c r="L17" s="12">
        <f t="shared" si="8"/>
        <v>0.01449275362</v>
      </c>
      <c r="M17" s="12">
        <f t="shared" si="8"/>
        <v>0.01744186047</v>
      </c>
      <c r="N17" s="12">
        <f t="shared" si="8"/>
        <v>0.01</v>
      </c>
      <c r="O17" s="12">
        <f t="shared" si="8"/>
        <v>0.002617801047</v>
      </c>
      <c r="P17" s="12">
        <f t="shared" si="8"/>
        <v>0</v>
      </c>
      <c r="Q17" s="12">
        <f t="shared" si="8"/>
        <v>0</v>
      </c>
      <c r="R17" s="12">
        <f t="shared" si="8"/>
        <v>0.006042296073</v>
      </c>
      <c r="S17" s="12">
        <f t="shared" si="8"/>
        <v>0.009708737864</v>
      </c>
      <c r="T17" s="12">
        <f t="shared" si="8"/>
        <v>0</v>
      </c>
      <c r="U17" s="12">
        <f t="shared" si="8"/>
        <v>0.0162601626</v>
      </c>
      <c r="V17" s="12">
        <f t="shared" si="8"/>
        <v>0.004310344828</v>
      </c>
      <c r="W17" s="12">
        <f t="shared" si="8"/>
        <v>0.005405405405</v>
      </c>
      <c r="X17" s="12">
        <f t="shared" si="8"/>
        <v>0</v>
      </c>
      <c r="Y17" s="12">
        <f t="shared" si="8"/>
        <v>0</v>
      </c>
      <c r="Z17" s="12">
        <f t="shared" si="8"/>
        <v>0</v>
      </c>
      <c r="AA17" s="12">
        <f t="shared" si="8"/>
        <v>0</v>
      </c>
      <c r="AB17" s="12">
        <f t="shared" si="8"/>
        <v>0.00956937799</v>
      </c>
      <c r="AC17" s="12">
        <f t="shared" si="8"/>
        <v>0.007547169811</v>
      </c>
      <c r="AD17" s="12">
        <f t="shared" si="8"/>
        <v>0</v>
      </c>
      <c r="AE17" s="12">
        <f t="shared" si="8"/>
        <v>0.006060606061</v>
      </c>
      <c r="AF17" s="12"/>
      <c r="AG17" s="12"/>
      <c r="AH17" s="12"/>
      <c r="AI17" s="155"/>
      <c r="AJ17" s="156"/>
    </row>
    <row r="18">
      <c r="A18" s="72" t="s">
        <v>16</v>
      </c>
      <c r="B18" s="148">
        <f>B10+B12+B14+B16</f>
        <v>599</v>
      </c>
      <c r="C18" s="147">
        <f t="shared" si="2"/>
        <v>8.516129032</v>
      </c>
      <c r="D18" s="72">
        <f t="shared" ref="D18:AH18" si="9">D10+D12+D14+D16</f>
        <v>11</v>
      </c>
      <c r="E18" s="72">
        <f t="shared" si="9"/>
        <v>11</v>
      </c>
      <c r="F18" s="72">
        <f t="shared" si="9"/>
        <v>13</v>
      </c>
      <c r="G18" s="72">
        <f t="shared" si="9"/>
        <v>12</v>
      </c>
      <c r="H18" s="72">
        <f t="shared" si="9"/>
        <v>14</v>
      </c>
      <c r="I18" s="72">
        <f t="shared" si="9"/>
        <v>12</v>
      </c>
      <c r="J18" s="72">
        <f t="shared" si="9"/>
        <v>18</v>
      </c>
      <c r="K18" s="72">
        <f t="shared" si="9"/>
        <v>7</v>
      </c>
      <c r="L18" s="72">
        <f t="shared" si="9"/>
        <v>6</v>
      </c>
      <c r="M18" s="72">
        <f t="shared" si="9"/>
        <v>15</v>
      </c>
      <c r="N18" s="72">
        <f t="shared" si="9"/>
        <v>4</v>
      </c>
      <c r="O18" s="72">
        <f t="shared" si="9"/>
        <v>7</v>
      </c>
      <c r="P18" s="72">
        <f t="shared" si="9"/>
        <v>12</v>
      </c>
      <c r="Q18" s="72">
        <f t="shared" si="9"/>
        <v>7</v>
      </c>
      <c r="R18" s="72">
        <f t="shared" si="9"/>
        <v>18</v>
      </c>
      <c r="S18" s="72">
        <f t="shared" si="9"/>
        <v>3</v>
      </c>
      <c r="T18" s="72">
        <f t="shared" si="9"/>
        <v>5</v>
      </c>
      <c r="U18" s="72">
        <f t="shared" si="9"/>
        <v>10</v>
      </c>
      <c r="V18" s="72">
        <f t="shared" si="9"/>
        <v>10</v>
      </c>
      <c r="W18" s="72">
        <f t="shared" si="9"/>
        <v>8</v>
      </c>
      <c r="X18" s="72">
        <f t="shared" si="9"/>
        <v>6</v>
      </c>
      <c r="Y18" s="72">
        <f t="shared" si="9"/>
        <v>7</v>
      </c>
      <c r="Z18" s="72">
        <f t="shared" si="9"/>
        <v>4</v>
      </c>
      <c r="AA18" s="72">
        <f t="shared" si="9"/>
        <v>8</v>
      </c>
      <c r="AB18" s="72">
        <f t="shared" si="9"/>
        <v>9</v>
      </c>
      <c r="AC18" s="72">
        <f t="shared" si="9"/>
        <v>7</v>
      </c>
      <c r="AD18" s="72">
        <f t="shared" si="9"/>
        <v>7</v>
      </c>
      <c r="AE18" s="72">
        <f t="shared" si="9"/>
        <v>13</v>
      </c>
      <c r="AF18" s="72">
        <f t="shared" si="9"/>
        <v>0</v>
      </c>
      <c r="AG18" s="72">
        <f t="shared" si="9"/>
        <v>0</v>
      </c>
      <c r="AH18" s="72">
        <f t="shared" si="9"/>
        <v>0</v>
      </c>
      <c r="AI18" s="150"/>
      <c r="AJ18" s="151"/>
    </row>
    <row r="19">
      <c r="A19" s="72" t="s">
        <v>17</v>
      </c>
      <c r="B19" s="73">
        <f>B18/B4</f>
        <v>0.1053649956</v>
      </c>
      <c r="C19" s="73">
        <f t="shared" si="2"/>
        <v>0.05038831881</v>
      </c>
      <c r="D19" s="73">
        <f t="shared" ref="D19:AE19" si="10">D11+D13+D15+D17</f>
        <v>0.05641025641</v>
      </c>
      <c r="E19" s="73">
        <f t="shared" si="10"/>
        <v>0.0780141844</v>
      </c>
      <c r="F19" s="73">
        <f t="shared" si="10"/>
        <v>0.06310679612</v>
      </c>
      <c r="G19" s="73">
        <f t="shared" si="10"/>
        <v>0.07547169811</v>
      </c>
      <c r="H19" s="73">
        <f t="shared" si="10"/>
        <v>0.08805031447</v>
      </c>
      <c r="I19" s="73">
        <f t="shared" si="10"/>
        <v>0.04316546763</v>
      </c>
      <c r="J19" s="73">
        <f t="shared" si="10"/>
        <v>0.06844106464</v>
      </c>
      <c r="K19" s="73">
        <f t="shared" si="10"/>
        <v>0.03196347032</v>
      </c>
      <c r="L19" s="73">
        <f t="shared" si="10"/>
        <v>0.08695652174</v>
      </c>
      <c r="M19" s="73">
        <f t="shared" si="10"/>
        <v>0.08720930233</v>
      </c>
      <c r="N19" s="73">
        <f t="shared" si="10"/>
        <v>0.04</v>
      </c>
      <c r="O19" s="73">
        <f t="shared" si="10"/>
        <v>0.01832460733</v>
      </c>
      <c r="P19" s="73">
        <f t="shared" si="10"/>
        <v>0.04958677686</v>
      </c>
      <c r="Q19" s="73">
        <f t="shared" si="10"/>
        <v>0.056</v>
      </c>
      <c r="R19" s="73">
        <f t="shared" si="10"/>
        <v>0.05438066465</v>
      </c>
      <c r="S19" s="73">
        <f t="shared" si="10"/>
        <v>0.02912621359</v>
      </c>
      <c r="T19" s="73">
        <f t="shared" si="10"/>
        <v>0.04385964912</v>
      </c>
      <c r="U19" s="73">
        <f t="shared" si="10"/>
        <v>0.08130081301</v>
      </c>
      <c r="V19" s="73">
        <f t="shared" si="10"/>
        <v>0.04310344828</v>
      </c>
      <c r="W19" s="73">
        <f t="shared" si="10"/>
        <v>0.04324324324</v>
      </c>
      <c r="X19" s="73">
        <f t="shared" si="10"/>
        <v>0.05607476636</v>
      </c>
      <c r="Y19" s="73">
        <f t="shared" si="10"/>
        <v>0.02229299363</v>
      </c>
      <c r="Z19" s="73">
        <f t="shared" si="10"/>
        <v>0.02739726027</v>
      </c>
      <c r="AA19" s="73">
        <f t="shared" si="10"/>
        <v>0.03278688525</v>
      </c>
      <c r="AB19" s="73">
        <f t="shared" si="10"/>
        <v>0.04306220096</v>
      </c>
      <c r="AC19" s="73">
        <f t="shared" si="10"/>
        <v>0.02641509434</v>
      </c>
      <c r="AD19" s="73">
        <f t="shared" si="10"/>
        <v>0.02573529412</v>
      </c>
      <c r="AE19" s="73">
        <f t="shared" si="10"/>
        <v>0.03939393939</v>
      </c>
      <c r="AF19" s="72"/>
      <c r="AG19" s="72"/>
      <c r="AH19" s="72"/>
      <c r="AI19" s="150"/>
      <c r="AJ19" s="151"/>
    </row>
    <row r="20">
      <c r="A20" s="79" t="s">
        <v>18</v>
      </c>
      <c r="B20" s="79">
        <v>598.0</v>
      </c>
      <c r="C20" s="157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9"/>
      <c r="AI20" s="150"/>
      <c r="AJ20" s="151"/>
    </row>
    <row r="21">
      <c r="A21" s="79" t="s">
        <v>19</v>
      </c>
      <c r="B21" s="79">
        <v>667.0</v>
      </c>
      <c r="C21" s="157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9"/>
      <c r="AI21" s="150"/>
      <c r="AJ21" s="151"/>
    </row>
    <row r="22">
      <c r="A22" s="79" t="s">
        <v>20</v>
      </c>
      <c r="B22" s="79">
        <v>74.0</v>
      </c>
      <c r="C22" s="157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9"/>
      <c r="AI22" s="150"/>
      <c r="AJ22" s="151"/>
    </row>
    <row r="23">
      <c r="A23" s="79" t="s">
        <v>21</v>
      </c>
      <c r="B23" s="78" t="s">
        <v>274</v>
      </c>
      <c r="C23" s="157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79"/>
      <c r="V23" s="79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9"/>
      <c r="AI23" s="150"/>
      <c r="AJ23" s="151"/>
    </row>
    <row r="24" ht="15.75" customHeight="1">
      <c r="A24" s="60" t="s">
        <v>22</v>
      </c>
      <c r="B24" s="92">
        <f>SUM(D24:AH24)</f>
        <v>8484</v>
      </c>
      <c r="C24" s="152">
        <f t="shared" ref="C24:C65" si="11">AVERAGE(D24:AH24)</f>
        <v>303</v>
      </c>
      <c r="D24" s="65">
        <v>268.0</v>
      </c>
      <c r="E24" s="65">
        <v>232.0</v>
      </c>
      <c r="F24" s="65">
        <v>214.0</v>
      </c>
      <c r="G24" s="65">
        <v>213.0</v>
      </c>
      <c r="H24" s="65">
        <v>308.0</v>
      </c>
      <c r="I24" s="65">
        <v>297.0</v>
      </c>
      <c r="J24" s="65">
        <v>260.0</v>
      </c>
      <c r="K24" s="65">
        <v>248.0</v>
      </c>
      <c r="L24" s="65">
        <v>273.0</v>
      </c>
      <c r="M24" s="65">
        <v>314.0</v>
      </c>
      <c r="N24" s="65">
        <v>267.0</v>
      </c>
      <c r="O24" s="65">
        <v>239.0</v>
      </c>
      <c r="P24" s="65">
        <v>352.0</v>
      </c>
      <c r="Q24" s="65">
        <v>303.0</v>
      </c>
      <c r="R24" s="65">
        <v>377.0</v>
      </c>
      <c r="S24" s="65">
        <v>312.0</v>
      </c>
      <c r="T24" s="65">
        <v>304.0</v>
      </c>
      <c r="U24" s="79">
        <v>270.0</v>
      </c>
      <c r="V24" s="79">
        <v>260.0</v>
      </c>
      <c r="W24" s="79">
        <v>377.0</v>
      </c>
      <c r="X24" s="65">
        <v>353.0</v>
      </c>
      <c r="Y24" s="65">
        <v>317.0</v>
      </c>
      <c r="Z24" s="65">
        <v>379.0</v>
      </c>
      <c r="AA24" s="65">
        <v>356.0</v>
      </c>
      <c r="AB24" s="65">
        <v>301.0</v>
      </c>
      <c r="AC24" s="65">
        <v>336.0</v>
      </c>
      <c r="AD24" s="65">
        <v>385.0</v>
      </c>
      <c r="AE24" s="65">
        <v>369.0</v>
      </c>
      <c r="AF24" s="65"/>
      <c r="AG24" s="65"/>
      <c r="AH24" s="153"/>
      <c r="AI24" s="150"/>
      <c r="AJ24" s="151"/>
    </row>
    <row r="25" ht="15.75" customHeight="1">
      <c r="A25" s="65" t="s">
        <v>23</v>
      </c>
      <c r="B25" s="92">
        <f>G193</f>
        <v>1542</v>
      </c>
      <c r="C25" s="152">
        <f t="shared" si="11"/>
        <v>161.7142857</v>
      </c>
      <c r="D25" s="65">
        <v>163.0</v>
      </c>
      <c r="E25" s="65">
        <v>127.0</v>
      </c>
      <c r="F25" s="65">
        <v>123.0</v>
      </c>
      <c r="G25" s="65">
        <v>118.0</v>
      </c>
      <c r="H25" s="65">
        <v>169.0</v>
      </c>
      <c r="I25" s="65">
        <v>153.0</v>
      </c>
      <c r="J25" s="65">
        <v>145.0</v>
      </c>
      <c r="K25" s="65">
        <v>130.0</v>
      </c>
      <c r="L25" s="65">
        <v>158.0</v>
      </c>
      <c r="M25" s="65">
        <v>163.0</v>
      </c>
      <c r="N25" s="65">
        <v>144.0</v>
      </c>
      <c r="O25" s="65">
        <v>145.0</v>
      </c>
      <c r="P25" s="65">
        <v>192.0</v>
      </c>
      <c r="Q25" s="65">
        <v>165.0</v>
      </c>
      <c r="R25" s="65">
        <v>194.0</v>
      </c>
      <c r="S25" s="65">
        <v>154.0</v>
      </c>
      <c r="T25" s="65">
        <v>164.0</v>
      </c>
      <c r="U25" s="65">
        <v>144.0</v>
      </c>
      <c r="V25" s="65">
        <v>146.0</v>
      </c>
      <c r="W25" s="65">
        <v>188.0</v>
      </c>
      <c r="X25" s="65">
        <v>169.0</v>
      </c>
      <c r="Y25" s="65">
        <v>174.0</v>
      </c>
      <c r="Z25" s="65">
        <v>190.0</v>
      </c>
      <c r="AA25" s="65">
        <v>182.0</v>
      </c>
      <c r="AB25" s="65">
        <v>168.0</v>
      </c>
      <c r="AC25" s="65">
        <v>172.0</v>
      </c>
      <c r="AD25" s="65">
        <v>192.0</v>
      </c>
      <c r="AE25" s="65">
        <v>196.0</v>
      </c>
      <c r="AF25" s="65"/>
      <c r="AG25" s="65"/>
      <c r="AH25" s="153"/>
      <c r="AI25" s="150"/>
      <c r="AJ25" s="151"/>
    </row>
    <row r="26" ht="15.75" customHeight="1">
      <c r="A26" s="148" t="s">
        <v>24</v>
      </c>
      <c r="B26" s="148">
        <f>B20+B21+B22</f>
        <v>1339</v>
      </c>
      <c r="C26" s="160">
        <f t="shared" si="11"/>
        <v>405.3214286</v>
      </c>
      <c r="D26" s="148">
        <v>417.0</v>
      </c>
      <c r="E26" s="148">
        <v>329.0</v>
      </c>
      <c r="F26" s="148">
        <v>405.0</v>
      </c>
      <c r="G26" s="148">
        <v>289.0</v>
      </c>
      <c r="H26" s="148">
        <v>354.0</v>
      </c>
      <c r="I26" s="148">
        <v>430.0</v>
      </c>
      <c r="J26" s="148">
        <v>444.0</v>
      </c>
      <c r="K26" s="148">
        <v>341.0</v>
      </c>
      <c r="L26" s="148">
        <v>303.0</v>
      </c>
      <c r="M26" s="148">
        <v>328.0</v>
      </c>
      <c r="N26" s="148">
        <v>395.0</v>
      </c>
      <c r="O26" s="148">
        <v>384.0</v>
      </c>
      <c r="P26" s="148">
        <v>481.0</v>
      </c>
      <c r="Q26" s="148">
        <v>416.0</v>
      </c>
      <c r="R26" s="148">
        <v>440.0</v>
      </c>
      <c r="S26" s="148">
        <v>383.0</v>
      </c>
      <c r="T26" s="148">
        <v>356.0</v>
      </c>
      <c r="U26" s="148">
        <v>384.0</v>
      </c>
      <c r="V26" s="148">
        <v>380.0</v>
      </c>
      <c r="W26" s="148">
        <v>412.0</v>
      </c>
      <c r="X26" s="148">
        <v>433.0</v>
      </c>
      <c r="Y26" s="148">
        <v>472.0</v>
      </c>
      <c r="Z26" s="148">
        <v>444.0</v>
      </c>
      <c r="AA26" s="148">
        <v>430.0</v>
      </c>
      <c r="AB26" s="148">
        <v>435.0</v>
      </c>
      <c r="AC26" s="148">
        <v>436.0</v>
      </c>
      <c r="AD26" s="148">
        <v>379.0</v>
      </c>
      <c r="AE26" s="148">
        <v>649.0</v>
      </c>
      <c r="AF26" s="148"/>
      <c r="AG26" s="148"/>
      <c r="AH26" s="216"/>
      <c r="AI26" s="150"/>
      <c r="AJ26" s="151"/>
    </row>
    <row r="27" ht="15.75" customHeight="1">
      <c r="A27" s="161" t="s">
        <v>25</v>
      </c>
      <c r="B27" s="161">
        <f>B193</f>
        <v>129457997</v>
      </c>
      <c r="C27" s="161">
        <f t="shared" si="11"/>
        <v>5450610.5</v>
      </c>
      <c r="D27" s="162">
        <v>3779495.0</v>
      </c>
      <c r="E27" s="162">
        <v>2819739.0</v>
      </c>
      <c r="F27" s="162">
        <v>4002694.0</v>
      </c>
      <c r="G27" s="162">
        <v>3549751.0</v>
      </c>
      <c r="H27" s="162">
        <v>8311890.0</v>
      </c>
      <c r="I27" s="162">
        <v>6672779.0</v>
      </c>
      <c r="J27" s="162">
        <v>5573653.0</v>
      </c>
      <c r="K27" s="162">
        <v>4397152.0</v>
      </c>
      <c r="L27" s="162">
        <v>5628868.0</v>
      </c>
      <c r="M27" s="162">
        <v>4873108.0</v>
      </c>
      <c r="N27" s="162">
        <v>4209074.0</v>
      </c>
      <c r="O27" s="162">
        <v>3158505.0</v>
      </c>
      <c r="P27" s="162">
        <v>5274526.0</v>
      </c>
      <c r="Q27" s="162">
        <v>4534376.0</v>
      </c>
      <c r="R27" s="162">
        <v>4808188.0</v>
      </c>
      <c r="S27" s="162">
        <v>4999483.0</v>
      </c>
      <c r="T27" s="162">
        <v>4904107.0</v>
      </c>
      <c r="U27" s="162">
        <v>3990809.0</v>
      </c>
      <c r="V27" s="162">
        <v>4775395.0</v>
      </c>
      <c r="W27" s="162">
        <v>7969699.0</v>
      </c>
      <c r="X27" s="162">
        <v>6639499.0</v>
      </c>
      <c r="Y27" s="162">
        <v>5533068.0</v>
      </c>
      <c r="Z27" s="162">
        <v>8525244.0</v>
      </c>
      <c r="AA27" s="162">
        <v>7725120.0</v>
      </c>
      <c r="AB27" s="162">
        <v>5495767.0</v>
      </c>
      <c r="AC27" s="162">
        <v>8398889.0</v>
      </c>
      <c r="AD27" s="162">
        <v>6958335.0</v>
      </c>
      <c r="AE27" s="162">
        <v>5107881.0</v>
      </c>
      <c r="AF27" s="162"/>
      <c r="AG27" s="162"/>
      <c r="AH27" s="163"/>
      <c r="AI27" s="164"/>
      <c r="AJ27" s="165"/>
    </row>
    <row r="28" ht="15.75" customHeight="1">
      <c r="A28" s="11" t="s">
        <v>26</v>
      </c>
      <c r="B28" s="108">
        <f>B27/B24</f>
        <v>15259.07555</v>
      </c>
      <c r="C28" s="108">
        <f t="shared" si="11"/>
        <v>17862.15938</v>
      </c>
      <c r="D28" s="11">
        <f t="shared" ref="D28:AE28" si="12">D27/D24</f>
        <v>14102.59328</v>
      </c>
      <c r="E28" s="11">
        <f t="shared" si="12"/>
        <v>12154.04741</v>
      </c>
      <c r="F28" s="11">
        <f t="shared" si="12"/>
        <v>18704.17757</v>
      </c>
      <c r="G28" s="11">
        <f t="shared" si="12"/>
        <v>16665.49765</v>
      </c>
      <c r="H28" s="11">
        <f t="shared" si="12"/>
        <v>26986.65584</v>
      </c>
      <c r="I28" s="11">
        <f t="shared" si="12"/>
        <v>22467.26936</v>
      </c>
      <c r="J28" s="11">
        <f t="shared" si="12"/>
        <v>21437.12692</v>
      </c>
      <c r="K28" s="11">
        <f t="shared" si="12"/>
        <v>17730.45161</v>
      </c>
      <c r="L28" s="11">
        <f t="shared" si="12"/>
        <v>20618.5641</v>
      </c>
      <c r="M28" s="11">
        <f t="shared" si="12"/>
        <v>15519.45223</v>
      </c>
      <c r="N28" s="11">
        <f t="shared" si="12"/>
        <v>15764.3221</v>
      </c>
      <c r="O28" s="11">
        <f t="shared" si="12"/>
        <v>13215.50209</v>
      </c>
      <c r="P28" s="11">
        <f t="shared" si="12"/>
        <v>14984.44886</v>
      </c>
      <c r="Q28" s="11">
        <f t="shared" si="12"/>
        <v>14964.93729</v>
      </c>
      <c r="R28" s="11">
        <f t="shared" si="12"/>
        <v>12753.81432</v>
      </c>
      <c r="S28" s="11">
        <f t="shared" si="12"/>
        <v>16023.98397</v>
      </c>
      <c r="T28" s="11">
        <f t="shared" si="12"/>
        <v>16131.93092</v>
      </c>
      <c r="U28" s="11">
        <f t="shared" si="12"/>
        <v>14780.77407</v>
      </c>
      <c r="V28" s="11">
        <f t="shared" si="12"/>
        <v>18366.90385</v>
      </c>
      <c r="W28" s="11">
        <f t="shared" si="12"/>
        <v>21139.78515</v>
      </c>
      <c r="X28" s="11">
        <f t="shared" si="12"/>
        <v>18808.77904</v>
      </c>
      <c r="Y28" s="11">
        <f t="shared" si="12"/>
        <v>17454.47319</v>
      </c>
      <c r="Z28" s="11">
        <f t="shared" si="12"/>
        <v>22494.04749</v>
      </c>
      <c r="AA28" s="11">
        <f t="shared" si="12"/>
        <v>21699.77528</v>
      </c>
      <c r="AB28" s="11">
        <f t="shared" si="12"/>
        <v>18258.36213</v>
      </c>
      <c r="AC28" s="11">
        <f t="shared" si="12"/>
        <v>24996.69345</v>
      </c>
      <c r="AD28" s="11">
        <f t="shared" si="12"/>
        <v>18073.5974</v>
      </c>
      <c r="AE28" s="11">
        <f t="shared" si="12"/>
        <v>13842.49593</v>
      </c>
      <c r="AF28" s="11"/>
      <c r="AG28" s="11"/>
      <c r="AH28" s="11"/>
      <c r="AI28" s="164"/>
      <c r="AJ28" s="165"/>
    </row>
    <row r="29" ht="15.75" customHeight="1">
      <c r="A29" s="11" t="s">
        <v>27</v>
      </c>
      <c r="B29" s="108">
        <f>B27/B25</f>
        <v>83954.60246</v>
      </c>
      <c r="C29" s="108">
        <f t="shared" si="11"/>
        <v>33456.20843</v>
      </c>
      <c r="D29" s="11">
        <f t="shared" ref="D29:AE29" si="13">D27/D25</f>
        <v>23187.08589</v>
      </c>
      <c r="E29" s="11">
        <f t="shared" si="13"/>
        <v>22202.66929</v>
      </c>
      <c r="F29" s="11">
        <f t="shared" si="13"/>
        <v>32542.22764</v>
      </c>
      <c r="G29" s="11">
        <f t="shared" si="13"/>
        <v>30082.63559</v>
      </c>
      <c r="H29" s="11">
        <f t="shared" si="13"/>
        <v>49182.78107</v>
      </c>
      <c r="I29" s="11">
        <f t="shared" si="13"/>
        <v>43612.93464</v>
      </c>
      <c r="J29" s="11">
        <f t="shared" si="13"/>
        <v>38438.98621</v>
      </c>
      <c r="K29" s="11">
        <f t="shared" si="13"/>
        <v>33824.24615</v>
      </c>
      <c r="L29" s="11">
        <f t="shared" si="13"/>
        <v>35625.74684</v>
      </c>
      <c r="M29" s="11">
        <f t="shared" si="13"/>
        <v>29896.3681</v>
      </c>
      <c r="N29" s="11">
        <f t="shared" si="13"/>
        <v>29229.68056</v>
      </c>
      <c r="O29" s="11">
        <f t="shared" si="13"/>
        <v>21782.7931</v>
      </c>
      <c r="P29" s="11">
        <f t="shared" si="13"/>
        <v>27471.48958</v>
      </c>
      <c r="Q29" s="11">
        <f t="shared" si="13"/>
        <v>27481.06667</v>
      </c>
      <c r="R29" s="11">
        <f t="shared" si="13"/>
        <v>24784.47423</v>
      </c>
      <c r="S29" s="11">
        <f t="shared" si="13"/>
        <v>32464.17532</v>
      </c>
      <c r="T29" s="11">
        <f t="shared" si="13"/>
        <v>29903.09146</v>
      </c>
      <c r="U29" s="11">
        <f t="shared" si="13"/>
        <v>27713.95139</v>
      </c>
      <c r="V29" s="11">
        <f t="shared" si="13"/>
        <v>32708.18493</v>
      </c>
      <c r="W29" s="11">
        <f t="shared" si="13"/>
        <v>42392.01596</v>
      </c>
      <c r="X29" s="11">
        <f t="shared" si="13"/>
        <v>39286.97633</v>
      </c>
      <c r="Y29" s="11">
        <f t="shared" si="13"/>
        <v>31799.24138</v>
      </c>
      <c r="Z29" s="11">
        <f t="shared" si="13"/>
        <v>44869.70526</v>
      </c>
      <c r="AA29" s="11">
        <f t="shared" si="13"/>
        <v>42445.71429</v>
      </c>
      <c r="AB29" s="11">
        <f t="shared" si="13"/>
        <v>32712.89881</v>
      </c>
      <c r="AC29" s="11">
        <f t="shared" si="13"/>
        <v>48830.75</v>
      </c>
      <c r="AD29" s="11">
        <f t="shared" si="13"/>
        <v>36241.32813</v>
      </c>
      <c r="AE29" s="11">
        <f t="shared" si="13"/>
        <v>26060.61735</v>
      </c>
      <c r="AF29" s="11"/>
      <c r="AG29" s="11"/>
      <c r="AH29" s="11"/>
      <c r="AI29" s="164"/>
      <c r="AJ29" s="165"/>
    </row>
    <row r="30" ht="15.75" customHeight="1">
      <c r="A30" s="87" t="s">
        <v>28</v>
      </c>
      <c r="B30" s="166">
        <f t="shared" ref="B30:B31" si="14">SUM(D30:AH30)</f>
        <v>1866</v>
      </c>
      <c r="C30" s="166">
        <f t="shared" si="11"/>
        <v>66.64285714</v>
      </c>
      <c r="D30" s="89">
        <v>60.0</v>
      </c>
      <c r="E30" s="89">
        <v>46.0</v>
      </c>
      <c r="F30" s="89">
        <v>46.0</v>
      </c>
      <c r="G30" s="89">
        <v>53.0</v>
      </c>
      <c r="H30" s="124">
        <v>61.0</v>
      </c>
      <c r="I30" s="124">
        <v>65.0</v>
      </c>
      <c r="J30" s="124">
        <v>65.0</v>
      </c>
      <c r="K30" s="124">
        <v>46.0</v>
      </c>
      <c r="L30" s="124">
        <v>72.0</v>
      </c>
      <c r="M30" s="124">
        <v>74.0</v>
      </c>
      <c r="N30" s="124">
        <v>66.0</v>
      </c>
      <c r="O30" s="124">
        <v>50.0</v>
      </c>
      <c r="P30" s="124">
        <v>77.0</v>
      </c>
      <c r="Q30" s="124">
        <v>64.0</v>
      </c>
      <c r="R30" s="124">
        <v>80.0</v>
      </c>
      <c r="S30" s="124">
        <v>65.0</v>
      </c>
      <c r="T30" s="124">
        <v>85.0</v>
      </c>
      <c r="U30" s="124">
        <v>60.0</v>
      </c>
      <c r="V30" s="124">
        <v>51.0</v>
      </c>
      <c r="W30" s="124">
        <v>71.0</v>
      </c>
      <c r="X30" s="124">
        <v>66.0</v>
      </c>
      <c r="Y30" s="124">
        <v>69.0</v>
      </c>
      <c r="Z30" s="124">
        <v>93.0</v>
      </c>
      <c r="AA30" s="124">
        <v>64.0</v>
      </c>
      <c r="AB30" s="124">
        <v>74.0</v>
      </c>
      <c r="AC30" s="124">
        <v>88.0</v>
      </c>
      <c r="AD30" s="124">
        <v>63.0</v>
      </c>
      <c r="AE30" s="124">
        <v>92.0</v>
      </c>
      <c r="AF30" s="65"/>
      <c r="AG30" s="65"/>
      <c r="AH30" s="153"/>
      <c r="AI30" s="150"/>
      <c r="AJ30" s="151"/>
    </row>
    <row r="31" ht="15.75" customHeight="1">
      <c r="A31" s="87" t="s">
        <v>29</v>
      </c>
      <c r="B31" s="166">
        <f t="shared" si="14"/>
        <v>1347</v>
      </c>
      <c r="C31" s="166">
        <f t="shared" si="11"/>
        <v>48.10714286</v>
      </c>
      <c r="D31" s="89">
        <v>48.0</v>
      </c>
      <c r="E31" s="89">
        <v>37.0</v>
      </c>
      <c r="F31" s="89">
        <v>36.0</v>
      </c>
      <c r="G31" s="89">
        <v>39.0</v>
      </c>
      <c r="H31" s="124">
        <v>46.0</v>
      </c>
      <c r="I31" s="62">
        <v>50.0</v>
      </c>
      <c r="J31" s="124">
        <v>42.0</v>
      </c>
      <c r="K31" s="124">
        <v>38.0</v>
      </c>
      <c r="L31" s="124">
        <v>49.0</v>
      </c>
      <c r="M31" s="124">
        <v>45.0</v>
      </c>
      <c r="N31" s="124">
        <v>45.0</v>
      </c>
      <c r="O31" s="124">
        <v>32.0</v>
      </c>
      <c r="P31" s="124">
        <v>59.0</v>
      </c>
      <c r="Q31" s="124">
        <v>40.0</v>
      </c>
      <c r="R31" s="124">
        <v>54.0</v>
      </c>
      <c r="S31" s="124">
        <v>48.0</v>
      </c>
      <c r="T31" s="124">
        <v>63.0</v>
      </c>
      <c r="U31" s="124">
        <v>41.0</v>
      </c>
      <c r="V31" s="124">
        <v>42.0</v>
      </c>
      <c r="W31" s="124">
        <v>51.0</v>
      </c>
      <c r="X31" s="124">
        <v>51.0</v>
      </c>
      <c r="Y31" s="124">
        <v>51.0</v>
      </c>
      <c r="Z31" s="124">
        <v>65.0</v>
      </c>
      <c r="AA31" s="124">
        <v>53.0</v>
      </c>
      <c r="AB31" s="124">
        <v>53.0</v>
      </c>
      <c r="AC31" s="124">
        <v>54.0</v>
      </c>
      <c r="AD31" s="124">
        <v>51.0</v>
      </c>
      <c r="AE31" s="124">
        <v>64.0</v>
      </c>
      <c r="AF31" s="65"/>
      <c r="AG31" s="65"/>
      <c r="AH31" s="153"/>
      <c r="AI31" s="150"/>
      <c r="AJ31" s="151"/>
    </row>
    <row r="32" ht="15.75" customHeight="1">
      <c r="A32" s="161" t="s">
        <v>30</v>
      </c>
      <c r="B32" s="161">
        <f>B201</f>
        <v>94439992</v>
      </c>
      <c r="C32" s="161">
        <f t="shared" si="11"/>
        <v>3790935.643</v>
      </c>
      <c r="D32" s="217">
        <v>4902347.0</v>
      </c>
      <c r="E32" s="217">
        <v>3140979.0</v>
      </c>
      <c r="F32" s="217">
        <v>3280662.0</v>
      </c>
      <c r="G32" s="217">
        <v>4139569.0</v>
      </c>
      <c r="H32" s="217">
        <v>5061884.0</v>
      </c>
      <c r="I32" s="217">
        <v>4386705.0</v>
      </c>
      <c r="J32" s="217">
        <v>3086327.0</v>
      </c>
      <c r="K32" s="217">
        <v>2622203.0</v>
      </c>
      <c r="L32" s="217">
        <v>3623909.0</v>
      </c>
      <c r="M32" s="217">
        <v>3932470.0</v>
      </c>
      <c r="N32" s="217">
        <v>2615492.0</v>
      </c>
      <c r="O32" s="217">
        <v>1666395.0</v>
      </c>
      <c r="P32" s="217">
        <v>2209362.0</v>
      </c>
      <c r="Q32" s="217">
        <v>2081030.0</v>
      </c>
      <c r="R32" s="217">
        <v>3760947.0</v>
      </c>
      <c r="S32" s="217">
        <v>4026312.0</v>
      </c>
      <c r="T32" s="218">
        <v>3616612.0</v>
      </c>
      <c r="U32" s="218">
        <v>4068257.0</v>
      </c>
      <c r="V32" s="218">
        <v>2399347.0</v>
      </c>
      <c r="W32" s="218">
        <v>5863942.0</v>
      </c>
      <c r="X32" s="218">
        <v>3457169.0</v>
      </c>
      <c r="Y32" s="218">
        <v>3782050.0</v>
      </c>
      <c r="Z32" s="218">
        <v>5897027.0</v>
      </c>
      <c r="AA32" s="218">
        <v>4192596.0</v>
      </c>
      <c r="AB32" s="218">
        <v>5000943.0</v>
      </c>
      <c r="AC32" s="218">
        <v>4417378.0</v>
      </c>
      <c r="AD32" s="218">
        <v>4437421.0</v>
      </c>
      <c r="AE32" s="218">
        <v>4476863.0</v>
      </c>
      <c r="AF32" s="162"/>
      <c r="AG32" s="162"/>
      <c r="AH32" s="163"/>
      <c r="AI32" s="219"/>
      <c r="AJ32" s="220"/>
    </row>
    <row r="33" ht="15.75" customHeight="1">
      <c r="A33" s="84" t="s">
        <v>31</v>
      </c>
      <c r="B33" s="157">
        <f>B32/B27</f>
        <v>0.7295029599</v>
      </c>
      <c r="C33" s="73">
        <f t="shared" si="11"/>
        <v>0.7236511367</v>
      </c>
      <c r="D33" s="168">
        <f t="shared" ref="D33:AE33" si="15">D32/D27</f>
        <v>1.297090484</v>
      </c>
      <c r="E33" s="168">
        <f t="shared" si="15"/>
        <v>1.113925438</v>
      </c>
      <c r="F33" s="168">
        <f t="shared" si="15"/>
        <v>0.8196134903</v>
      </c>
      <c r="G33" s="168">
        <f t="shared" si="15"/>
        <v>1.16615757</v>
      </c>
      <c r="H33" s="168">
        <f t="shared" si="15"/>
        <v>0.6089931412</v>
      </c>
      <c r="I33" s="168">
        <f t="shared" si="15"/>
        <v>0.6574030101</v>
      </c>
      <c r="J33" s="168">
        <f t="shared" si="15"/>
        <v>0.5537350459</v>
      </c>
      <c r="K33" s="168">
        <f t="shared" si="15"/>
        <v>0.5963412227</v>
      </c>
      <c r="L33" s="168">
        <f t="shared" si="15"/>
        <v>0.643807778</v>
      </c>
      <c r="M33" s="168">
        <f t="shared" si="15"/>
        <v>0.8069737014</v>
      </c>
      <c r="N33" s="168">
        <f t="shared" si="15"/>
        <v>0.6213936842</v>
      </c>
      <c r="O33" s="168">
        <f t="shared" si="15"/>
        <v>0.5275897933</v>
      </c>
      <c r="P33" s="168">
        <f t="shared" si="15"/>
        <v>0.4188740372</v>
      </c>
      <c r="Q33" s="168">
        <f t="shared" si="15"/>
        <v>0.4589451779</v>
      </c>
      <c r="R33" s="168">
        <f t="shared" si="15"/>
        <v>0.7821963284</v>
      </c>
      <c r="S33" s="168">
        <f t="shared" si="15"/>
        <v>0.8053456727</v>
      </c>
      <c r="T33" s="168">
        <f t="shared" si="15"/>
        <v>0.7374659648</v>
      </c>
      <c r="U33" s="168">
        <f t="shared" si="15"/>
        <v>1.019406591</v>
      </c>
      <c r="V33" s="168">
        <f t="shared" si="15"/>
        <v>0.5024394841</v>
      </c>
      <c r="W33" s="168">
        <f t="shared" si="15"/>
        <v>0.7357796072</v>
      </c>
      <c r="X33" s="168">
        <f t="shared" si="15"/>
        <v>0.5206972695</v>
      </c>
      <c r="Y33" s="168">
        <f t="shared" si="15"/>
        <v>0.6835357888</v>
      </c>
      <c r="Z33" s="168">
        <f t="shared" si="15"/>
        <v>0.6917135744</v>
      </c>
      <c r="AA33" s="168">
        <f t="shared" si="15"/>
        <v>0.5427224431</v>
      </c>
      <c r="AB33" s="168">
        <f t="shared" si="15"/>
        <v>0.909962704</v>
      </c>
      <c r="AC33" s="168">
        <f t="shared" si="15"/>
        <v>0.5259478962</v>
      </c>
      <c r="AD33" s="168">
        <f t="shared" si="15"/>
        <v>0.6377130449</v>
      </c>
      <c r="AE33" s="168">
        <f t="shared" si="15"/>
        <v>0.8764618831</v>
      </c>
      <c r="AF33" s="84"/>
      <c r="AG33" s="84"/>
      <c r="AH33" s="169"/>
      <c r="AI33" s="164"/>
      <c r="AJ33" s="165"/>
    </row>
    <row r="34" ht="15.75" customHeight="1">
      <c r="A34" s="161" t="s">
        <v>32</v>
      </c>
      <c r="B34" s="161">
        <f>SUM(D34:AH34)</f>
        <v>2033078021</v>
      </c>
      <c r="C34" s="161">
        <f t="shared" si="11"/>
        <v>72609929.33</v>
      </c>
      <c r="D34" s="217">
        <v>3.2861849E7</v>
      </c>
      <c r="E34" s="217">
        <v>3.7522938E7</v>
      </c>
      <c r="F34" s="217">
        <v>3.9569424E7</v>
      </c>
      <c r="G34" s="217">
        <v>5.4633736E7</v>
      </c>
      <c r="H34" s="217">
        <v>8.346298928E7</v>
      </c>
      <c r="I34" s="217">
        <v>1.14523955E8</v>
      </c>
      <c r="J34" s="217">
        <v>7.4599086E7</v>
      </c>
      <c r="K34" s="217">
        <v>6.8738303E7</v>
      </c>
      <c r="L34" s="217">
        <v>9.2216045E7</v>
      </c>
      <c r="M34" s="217">
        <v>4.0097378E7</v>
      </c>
      <c r="N34" s="217">
        <v>4.1425426E7</v>
      </c>
      <c r="O34" s="217">
        <v>3.3135945E7</v>
      </c>
      <c r="P34" s="217">
        <v>4.8557101E7</v>
      </c>
      <c r="Q34" s="217">
        <v>5.0690501E7</v>
      </c>
      <c r="R34" s="217">
        <v>6.3006286E7</v>
      </c>
      <c r="S34" s="217">
        <v>5.4588985E7</v>
      </c>
      <c r="T34" s="217">
        <v>5.4588985E7</v>
      </c>
      <c r="U34" s="218">
        <v>5.5796742E7</v>
      </c>
      <c r="V34" s="218">
        <v>7.0455216E7</v>
      </c>
      <c r="W34" s="218">
        <v>7.7376217E7</v>
      </c>
      <c r="X34" s="218">
        <v>8.7361273E7</v>
      </c>
      <c r="Y34" s="218">
        <v>6.5510916E7</v>
      </c>
      <c r="Z34" s="218">
        <v>1.17139905E8</v>
      </c>
      <c r="AA34" s="218">
        <v>2.37392513E8</v>
      </c>
      <c r="AB34" s="218">
        <v>1.15886373E8</v>
      </c>
      <c r="AC34" s="218">
        <v>9.4592577E7</v>
      </c>
      <c r="AD34" s="218">
        <v>6.6624665E7</v>
      </c>
      <c r="AE34" s="218">
        <v>6.0722692E7</v>
      </c>
      <c r="AF34" s="162"/>
      <c r="AG34" s="162"/>
      <c r="AH34" s="162"/>
      <c r="AI34" s="219"/>
      <c r="AJ34" s="220"/>
    </row>
    <row r="35" ht="15.75" customHeight="1">
      <c r="A35" s="60" t="s">
        <v>33</v>
      </c>
      <c r="B35" s="68">
        <f>B34/B27</f>
        <v>15.70453791</v>
      </c>
      <c r="C35" s="68">
        <f t="shared" si="11"/>
        <v>13.06094642</v>
      </c>
      <c r="D35" s="12">
        <f t="shared" ref="D35:AE35" si="16">D34/D27</f>
        <v>8.69477245</v>
      </c>
      <c r="E35" s="12">
        <f t="shared" si="16"/>
        <v>13.30723801</v>
      </c>
      <c r="F35" s="12">
        <f t="shared" si="16"/>
        <v>9.885697982</v>
      </c>
      <c r="G35" s="12">
        <f t="shared" si="16"/>
        <v>15.39086432</v>
      </c>
      <c r="H35" s="12">
        <f t="shared" si="16"/>
        <v>10.04139724</v>
      </c>
      <c r="I35" s="12">
        <f t="shared" si="16"/>
        <v>17.16285748</v>
      </c>
      <c r="J35" s="12">
        <f t="shared" si="16"/>
        <v>13.3842358</v>
      </c>
      <c r="K35" s="12">
        <f t="shared" si="16"/>
        <v>15.63246006</v>
      </c>
      <c r="L35" s="12">
        <f t="shared" si="16"/>
        <v>16.38269808</v>
      </c>
      <c r="M35" s="12">
        <f t="shared" si="16"/>
        <v>8.228296602</v>
      </c>
      <c r="N35" s="12">
        <f t="shared" si="16"/>
        <v>9.841933404</v>
      </c>
      <c r="O35" s="12">
        <f t="shared" si="16"/>
        <v>10.49102186</v>
      </c>
      <c r="P35" s="12">
        <f t="shared" si="16"/>
        <v>9.205964858</v>
      </c>
      <c r="Q35" s="12">
        <f t="shared" si="16"/>
        <v>11.17915696</v>
      </c>
      <c r="R35" s="12">
        <f t="shared" si="16"/>
        <v>13.10395642</v>
      </c>
      <c r="S35" s="12">
        <f t="shared" si="16"/>
        <v>10.91892602</v>
      </c>
      <c r="T35" s="12">
        <f t="shared" si="16"/>
        <v>11.13127935</v>
      </c>
      <c r="U35" s="12">
        <f t="shared" si="16"/>
        <v>13.98131106</v>
      </c>
      <c r="V35" s="12">
        <f t="shared" si="16"/>
        <v>14.75379859</v>
      </c>
      <c r="W35" s="12">
        <f t="shared" si="16"/>
        <v>9.70880042</v>
      </c>
      <c r="X35" s="12">
        <f t="shared" si="16"/>
        <v>13.157811</v>
      </c>
      <c r="Y35" s="12">
        <f t="shared" si="16"/>
        <v>11.83988991</v>
      </c>
      <c r="Z35" s="12">
        <f t="shared" si="16"/>
        <v>13.74035805</v>
      </c>
      <c r="AA35" s="12">
        <f t="shared" si="16"/>
        <v>30.72994504</v>
      </c>
      <c r="AB35" s="12">
        <f t="shared" si="16"/>
        <v>21.08647856</v>
      </c>
      <c r="AC35" s="12">
        <f t="shared" si="16"/>
        <v>11.26251067</v>
      </c>
      <c r="AD35" s="12">
        <f t="shared" si="16"/>
        <v>9.574799862</v>
      </c>
      <c r="AE35" s="12">
        <f t="shared" si="16"/>
        <v>11.88803968</v>
      </c>
      <c r="AF35" s="12"/>
      <c r="AG35" s="12"/>
      <c r="AH35" s="12"/>
      <c r="AI35" s="150"/>
      <c r="AJ35" s="151"/>
    </row>
    <row r="36" ht="15.75" customHeight="1">
      <c r="A36" s="60" t="s">
        <v>34</v>
      </c>
      <c r="B36" s="108">
        <f t="shared" ref="B36:B39" si="18">SUM(D36:AH36)</f>
        <v>2033078021</v>
      </c>
      <c r="C36" s="108">
        <f t="shared" si="11"/>
        <v>65583161.98</v>
      </c>
      <c r="D36" s="11">
        <f t="shared" ref="D36:AH36" si="17">D34+D43</f>
        <v>32861849</v>
      </c>
      <c r="E36" s="11">
        <f t="shared" si="17"/>
        <v>37522938</v>
      </c>
      <c r="F36" s="11">
        <f t="shared" si="17"/>
        <v>39569424</v>
      </c>
      <c r="G36" s="11">
        <f t="shared" si="17"/>
        <v>54633736</v>
      </c>
      <c r="H36" s="11">
        <f t="shared" si="17"/>
        <v>83462989.28</v>
      </c>
      <c r="I36" s="11">
        <f t="shared" si="17"/>
        <v>114523955</v>
      </c>
      <c r="J36" s="11">
        <f t="shared" si="17"/>
        <v>74599086</v>
      </c>
      <c r="K36" s="11">
        <f t="shared" si="17"/>
        <v>68738303</v>
      </c>
      <c r="L36" s="11">
        <f t="shared" si="17"/>
        <v>92216045</v>
      </c>
      <c r="M36" s="11">
        <f t="shared" si="17"/>
        <v>40097378</v>
      </c>
      <c r="N36" s="11">
        <f t="shared" si="17"/>
        <v>41425426</v>
      </c>
      <c r="O36" s="11">
        <f t="shared" si="17"/>
        <v>33135945</v>
      </c>
      <c r="P36" s="11">
        <f t="shared" si="17"/>
        <v>48557101</v>
      </c>
      <c r="Q36" s="11">
        <f t="shared" si="17"/>
        <v>50690501</v>
      </c>
      <c r="R36" s="11">
        <f t="shared" si="17"/>
        <v>63006286</v>
      </c>
      <c r="S36" s="11">
        <f t="shared" si="17"/>
        <v>54588985</v>
      </c>
      <c r="T36" s="11">
        <f t="shared" si="17"/>
        <v>54588985</v>
      </c>
      <c r="U36" s="11">
        <f t="shared" si="17"/>
        <v>55796742</v>
      </c>
      <c r="V36" s="11">
        <f t="shared" si="17"/>
        <v>70455216</v>
      </c>
      <c r="W36" s="11">
        <f t="shared" si="17"/>
        <v>77376217</v>
      </c>
      <c r="X36" s="11">
        <f t="shared" si="17"/>
        <v>87361273</v>
      </c>
      <c r="Y36" s="11">
        <f t="shared" si="17"/>
        <v>65510916</v>
      </c>
      <c r="Z36" s="11">
        <f t="shared" si="17"/>
        <v>117139905</v>
      </c>
      <c r="AA36" s="11">
        <f t="shared" si="17"/>
        <v>237392513</v>
      </c>
      <c r="AB36" s="11">
        <f t="shared" si="17"/>
        <v>115886373</v>
      </c>
      <c r="AC36" s="11">
        <f t="shared" si="17"/>
        <v>94592577</v>
      </c>
      <c r="AD36" s="11">
        <f t="shared" si="17"/>
        <v>66624665</v>
      </c>
      <c r="AE36" s="11">
        <f t="shared" si="17"/>
        <v>60722692</v>
      </c>
      <c r="AF36" s="11">
        <f t="shared" si="17"/>
        <v>0</v>
      </c>
      <c r="AG36" s="11">
        <f t="shared" si="17"/>
        <v>0</v>
      </c>
      <c r="AH36" s="11">
        <f t="shared" si="17"/>
        <v>0</v>
      </c>
      <c r="AI36" s="150"/>
      <c r="AJ36" s="151"/>
    </row>
    <row r="37" ht="15.75" customHeight="1">
      <c r="A37" s="11" t="s">
        <v>35</v>
      </c>
      <c r="B37" s="108">
        <f t="shared" si="18"/>
        <v>1963038700</v>
      </c>
      <c r="C37" s="108">
        <f t="shared" si="11"/>
        <v>70108524.98</v>
      </c>
      <c r="D37" s="104">
        <v>3.2544172E7</v>
      </c>
      <c r="E37" s="104">
        <v>3.8310106E7</v>
      </c>
      <c r="F37" s="104">
        <v>3.9654863E7</v>
      </c>
      <c r="G37" s="104">
        <v>5.3106312E7</v>
      </c>
      <c r="H37" s="104">
        <v>8.212939653E7</v>
      </c>
      <c r="I37" s="104">
        <v>1.09076275E8</v>
      </c>
      <c r="J37" s="104">
        <v>7.3676542E7</v>
      </c>
      <c r="K37" s="104">
        <v>6.7787726E7</v>
      </c>
      <c r="L37" s="104">
        <v>8.6142048E7</v>
      </c>
      <c r="M37" s="104">
        <v>3.7471669E7</v>
      </c>
      <c r="N37" s="104">
        <v>3.9668188E7</v>
      </c>
      <c r="O37" s="104">
        <v>3.2943581E7</v>
      </c>
      <c r="P37" s="104">
        <v>4.3904615E7</v>
      </c>
      <c r="Q37" s="104">
        <v>4.7756626E7</v>
      </c>
      <c r="R37" s="104">
        <v>6.2478472E7</v>
      </c>
      <c r="S37" s="104">
        <v>5.4068694E7</v>
      </c>
      <c r="T37" s="104">
        <v>5.4068694E7</v>
      </c>
      <c r="U37" s="104">
        <v>5.4690912E7</v>
      </c>
      <c r="V37" s="104">
        <v>7.1326737E7</v>
      </c>
      <c r="W37" s="104">
        <v>7.3085637E7</v>
      </c>
      <c r="X37" s="104">
        <v>8.2280548E7</v>
      </c>
      <c r="Y37" s="104">
        <v>6.443658E7</v>
      </c>
      <c r="Z37" s="104">
        <v>1.15529524E8</v>
      </c>
      <c r="AA37" s="104">
        <v>2.29071865E8</v>
      </c>
      <c r="AB37" s="104">
        <v>1.11864253E8</v>
      </c>
      <c r="AC37" s="104">
        <v>8.7927095E7</v>
      </c>
      <c r="AD37" s="104">
        <v>6.0775768E7</v>
      </c>
      <c r="AE37" s="104">
        <v>5.7261801E7</v>
      </c>
      <c r="AF37" s="104"/>
      <c r="AG37" s="104"/>
      <c r="AH37" s="104"/>
      <c r="AI37" s="164"/>
      <c r="AJ37" s="165"/>
    </row>
    <row r="38" ht="15.75" customHeight="1">
      <c r="A38" s="11" t="s">
        <v>36</v>
      </c>
      <c r="B38" s="108">
        <f t="shared" si="18"/>
        <v>1242447</v>
      </c>
      <c r="C38" s="108">
        <f t="shared" si="11"/>
        <v>44373.10714</v>
      </c>
      <c r="D38" s="104">
        <v>0.0</v>
      </c>
      <c r="E38" s="104">
        <v>0.0</v>
      </c>
      <c r="F38" s="104">
        <v>0.0</v>
      </c>
      <c r="G38" s="104">
        <v>0.0</v>
      </c>
      <c r="H38" s="104">
        <v>0.0</v>
      </c>
      <c r="I38" s="104">
        <v>0.0</v>
      </c>
      <c r="J38" s="104">
        <v>0.0</v>
      </c>
      <c r="K38" s="104">
        <v>0.0</v>
      </c>
      <c r="L38" s="104">
        <v>0.0</v>
      </c>
      <c r="M38" s="104">
        <v>0.0</v>
      </c>
      <c r="N38" s="104">
        <v>0.0</v>
      </c>
      <c r="O38" s="104">
        <v>0.0</v>
      </c>
      <c r="P38" s="104">
        <v>0.0</v>
      </c>
      <c r="Q38" s="104">
        <v>0.0</v>
      </c>
      <c r="R38" s="104">
        <v>0.0</v>
      </c>
      <c r="S38" s="104">
        <v>0.0</v>
      </c>
      <c r="T38" s="104">
        <v>0.0</v>
      </c>
      <c r="U38" s="104">
        <v>0.0</v>
      </c>
      <c r="V38" s="104">
        <v>0.0</v>
      </c>
      <c r="W38" s="104">
        <v>0.0</v>
      </c>
      <c r="X38" s="104">
        <v>0.0</v>
      </c>
      <c r="Y38" s="104">
        <v>0.0</v>
      </c>
      <c r="Z38" s="104">
        <v>-710000.0</v>
      </c>
      <c r="AA38" s="104">
        <v>0.0</v>
      </c>
      <c r="AB38" s="104">
        <v>2264099.0</v>
      </c>
      <c r="AC38" s="104">
        <v>-103884.0</v>
      </c>
      <c r="AD38" s="104">
        <v>-103884.0</v>
      </c>
      <c r="AE38" s="104">
        <v>-103884.0</v>
      </c>
      <c r="AF38" s="104"/>
      <c r="AG38" s="104"/>
      <c r="AH38" s="104"/>
      <c r="AI38" s="164"/>
      <c r="AJ38" s="165"/>
    </row>
    <row r="39" ht="15.75" customHeight="1">
      <c r="A39" s="60" t="s">
        <v>37</v>
      </c>
      <c r="B39" s="108">
        <f t="shared" si="18"/>
        <v>1964281147</v>
      </c>
      <c r="C39" s="108">
        <f t="shared" si="11"/>
        <v>63363907.95</v>
      </c>
      <c r="D39" s="11">
        <f t="shared" ref="D39:AH39" si="19">D38+D37</f>
        <v>32544172</v>
      </c>
      <c r="E39" s="11">
        <f t="shared" si="19"/>
        <v>38310106</v>
      </c>
      <c r="F39" s="11">
        <f t="shared" si="19"/>
        <v>39654863</v>
      </c>
      <c r="G39" s="11">
        <f t="shared" si="19"/>
        <v>53106312</v>
      </c>
      <c r="H39" s="11">
        <f t="shared" si="19"/>
        <v>82129396.53</v>
      </c>
      <c r="I39" s="11">
        <f t="shared" si="19"/>
        <v>109076275</v>
      </c>
      <c r="J39" s="11">
        <f t="shared" si="19"/>
        <v>73676542</v>
      </c>
      <c r="K39" s="11">
        <f t="shared" si="19"/>
        <v>67787726</v>
      </c>
      <c r="L39" s="11">
        <f t="shared" si="19"/>
        <v>86142048</v>
      </c>
      <c r="M39" s="11">
        <f t="shared" si="19"/>
        <v>37471669</v>
      </c>
      <c r="N39" s="11">
        <f t="shared" si="19"/>
        <v>39668188</v>
      </c>
      <c r="O39" s="11">
        <f t="shared" si="19"/>
        <v>32943581</v>
      </c>
      <c r="P39" s="11">
        <f t="shared" si="19"/>
        <v>43904615</v>
      </c>
      <c r="Q39" s="11">
        <f t="shared" si="19"/>
        <v>47756626</v>
      </c>
      <c r="R39" s="11">
        <f t="shared" si="19"/>
        <v>62478472</v>
      </c>
      <c r="S39" s="11">
        <f t="shared" si="19"/>
        <v>54068694</v>
      </c>
      <c r="T39" s="11">
        <f t="shared" si="19"/>
        <v>54068694</v>
      </c>
      <c r="U39" s="11">
        <f t="shared" si="19"/>
        <v>54690912</v>
      </c>
      <c r="V39" s="11">
        <f t="shared" si="19"/>
        <v>71326737</v>
      </c>
      <c r="W39" s="11">
        <f t="shared" si="19"/>
        <v>73085637</v>
      </c>
      <c r="X39" s="11">
        <f t="shared" si="19"/>
        <v>82280548</v>
      </c>
      <c r="Y39" s="11">
        <f t="shared" si="19"/>
        <v>64436580</v>
      </c>
      <c r="Z39" s="11">
        <f t="shared" si="19"/>
        <v>114819524</v>
      </c>
      <c r="AA39" s="11">
        <f t="shared" si="19"/>
        <v>229071865</v>
      </c>
      <c r="AB39" s="11">
        <f t="shared" si="19"/>
        <v>114128352</v>
      </c>
      <c r="AC39" s="11">
        <f t="shared" si="19"/>
        <v>87823211</v>
      </c>
      <c r="AD39" s="11">
        <f t="shared" si="19"/>
        <v>60671884</v>
      </c>
      <c r="AE39" s="11">
        <f t="shared" si="19"/>
        <v>57157917</v>
      </c>
      <c r="AF39" s="11">
        <f t="shared" si="19"/>
        <v>0</v>
      </c>
      <c r="AG39" s="11">
        <f t="shared" si="19"/>
        <v>0</v>
      </c>
      <c r="AH39" s="11">
        <f t="shared" si="19"/>
        <v>0</v>
      </c>
      <c r="AI39" s="150"/>
      <c r="AJ39" s="151"/>
    </row>
    <row r="40" ht="15.75" customHeight="1">
      <c r="A40" s="11" t="s">
        <v>38</v>
      </c>
      <c r="B40" s="108">
        <f t="shared" ref="B40:B41" si="20">LOOKUP(9^9, C40:AH40)</f>
        <v>11302741</v>
      </c>
      <c r="C40" s="108">
        <f t="shared" si="11"/>
        <v>9910366.259</v>
      </c>
      <c r="D40" s="104">
        <v>7233571.0</v>
      </c>
      <c r="E40" s="104">
        <v>7031022.0</v>
      </c>
      <c r="F40" s="104">
        <v>8725910.0</v>
      </c>
      <c r="G40" s="104">
        <v>9091789.0</v>
      </c>
      <c r="H40" s="104"/>
      <c r="I40" s="104">
        <v>6885686.0</v>
      </c>
      <c r="J40" s="104">
        <v>9728845.0</v>
      </c>
      <c r="K40" s="104">
        <v>1.0744435E7</v>
      </c>
      <c r="L40" s="104">
        <v>8072992.0</v>
      </c>
      <c r="M40" s="104">
        <v>6395376.0</v>
      </c>
      <c r="N40" s="104">
        <v>6859009.0</v>
      </c>
      <c r="O40" s="104">
        <v>8756590.0</v>
      </c>
      <c r="P40" s="104">
        <v>6758249.0</v>
      </c>
      <c r="Q40" s="104">
        <v>7380567.0</v>
      </c>
      <c r="R40" s="104">
        <v>8790396.0</v>
      </c>
      <c r="S40" s="104">
        <v>1.0061116E7</v>
      </c>
      <c r="T40" s="104">
        <v>9349866.0</v>
      </c>
      <c r="U40" s="104">
        <v>8016444.0</v>
      </c>
      <c r="V40" s="104">
        <v>1.1201575E7</v>
      </c>
      <c r="W40" s="104">
        <v>9703057.0</v>
      </c>
      <c r="X40" s="104">
        <v>8909687.0</v>
      </c>
      <c r="Y40" s="104">
        <v>9057567.0</v>
      </c>
      <c r="Z40" s="104">
        <v>1.7398408E7</v>
      </c>
      <c r="AA40" s="104">
        <v>1.3109741E7</v>
      </c>
      <c r="AB40" s="104">
        <v>1.8189199E7</v>
      </c>
      <c r="AC40" s="104">
        <v>1.492873E7</v>
      </c>
      <c r="AD40" s="104">
        <v>1.3897321E7</v>
      </c>
      <c r="AE40" s="104">
        <v>1.1302741E7</v>
      </c>
      <c r="AF40" s="104"/>
      <c r="AG40" s="104"/>
      <c r="AH40" s="167"/>
      <c r="AI40" s="164"/>
      <c r="AJ40" s="165"/>
    </row>
    <row r="41" ht="15.75" customHeight="1">
      <c r="A41" s="11" t="s">
        <v>39</v>
      </c>
      <c r="B41" s="108">
        <f t="shared" si="20"/>
        <v>1042269</v>
      </c>
      <c r="C41" s="108">
        <f t="shared" si="11"/>
        <v>1053525.185</v>
      </c>
      <c r="D41" s="104">
        <v>1042612.0</v>
      </c>
      <c r="E41" s="104">
        <v>1042612.0</v>
      </c>
      <c r="F41" s="104">
        <v>1042612.0</v>
      </c>
      <c r="G41" s="104">
        <v>1042612.0</v>
      </c>
      <c r="H41" s="104"/>
      <c r="I41" s="104">
        <v>1042607.0</v>
      </c>
      <c r="J41" s="104">
        <v>1042607.0</v>
      </c>
      <c r="K41" s="104">
        <v>1042607.0</v>
      </c>
      <c r="L41" s="104">
        <v>1042607.0</v>
      </c>
      <c r="M41" s="104">
        <v>1042607.0</v>
      </c>
      <c r="N41" s="104">
        <v>1042607.0</v>
      </c>
      <c r="O41" s="104">
        <v>1042607.0</v>
      </c>
      <c r="P41" s="104">
        <v>1061659.0</v>
      </c>
      <c r="Q41" s="104">
        <v>1042607.0</v>
      </c>
      <c r="R41" s="104">
        <v>1042447.0</v>
      </c>
      <c r="S41" s="104">
        <v>1042267.0</v>
      </c>
      <c r="T41" s="104">
        <v>1042267.0</v>
      </c>
      <c r="U41" s="104">
        <v>1042267.0</v>
      </c>
      <c r="V41" s="104">
        <v>1042269.0</v>
      </c>
      <c r="W41" s="104">
        <v>1042269.0</v>
      </c>
      <c r="X41" s="104">
        <v>1042269.0</v>
      </c>
      <c r="Y41" s="104">
        <v>1042269.0</v>
      </c>
      <c r="Z41" s="104">
        <v>1042269.0</v>
      </c>
      <c r="AA41" s="104">
        <v>1042269.0</v>
      </c>
      <c r="AB41" s="104">
        <v>1322548.0</v>
      </c>
      <c r="AC41" s="104">
        <v>1042269.0</v>
      </c>
      <c r="AD41" s="104">
        <v>1042269.0</v>
      </c>
      <c r="AE41" s="104">
        <v>1042269.0</v>
      </c>
      <c r="AF41" s="104"/>
      <c r="AG41" s="104"/>
      <c r="AH41" s="167"/>
      <c r="AI41" s="164"/>
      <c r="AJ41" s="165"/>
    </row>
    <row r="42" ht="15.75" customHeight="1">
      <c r="A42" s="12" t="s">
        <v>40</v>
      </c>
      <c r="B42" s="68">
        <f>C42</f>
        <v>0.9681414549</v>
      </c>
      <c r="C42" s="68">
        <f t="shared" si="11"/>
        <v>0.9681414549</v>
      </c>
      <c r="D42" s="12">
        <f t="shared" ref="D42:AE42" si="21">D39/D36</f>
        <v>0.9903329542</v>
      </c>
      <c r="E42" s="12">
        <f t="shared" si="21"/>
        <v>1.020978315</v>
      </c>
      <c r="F42" s="12">
        <f t="shared" si="21"/>
        <v>1.002159218</v>
      </c>
      <c r="G42" s="12">
        <f t="shared" si="21"/>
        <v>0.9720424757</v>
      </c>
      <c r="H42" s="12">
        <f t="shared" si="21"/>
        <v>0.9840217471</v>
      </c>
      <c r="I42" s="12">
        <f t="shared" si="21"/>
        <v>0.9524319606</v>
      </c>
      <c r="J42" s="12">
        <f t="shared" si="21"/>
        <v>0.9876333069</v>
      </c>
      <c r="K42" s="12">
        <f t="shared" si="21"/>
        <v>0.9861710726</v>
      </c>
      <c r="L42" s="12">
        <f t="shared" si="21"/>
        <v>0.93413297</v>
      </c>
      <c r="M42" s="12">
        <f t="shared" si="21"/>
        <v>0.9345166908</v>
      </c>
      <c r="N42" s="12">
        <f t="shared" si="21"/>
        <v>0.9575806897</v>
      </c>
      <c r="O42" s="12">
        <f t="shared" si="21"/>
        <v>0.9941947031</v>
      </c>
      <c r="P42" s="12">
        <f t="shared" si="21"/>
        <v>0.9041852602</v>
      </c>
      <c r="Q42" s="12">
        <f t="shared" si="21"/>
        <v>0.9421217991</v>
      </c>
      <c r="R42" s="12">
        <f t="shared" si="21"/>
        <v>0.9916228359</v>
      </c>
      <c r="S42" s="12">
        <f t="shared" si="21"/>
        <v>0.990468938</v>
      </c>
      <c r="T42" s="12">
        <f t="shared" si="21"/>
        <v>0.990468938</v>
      </c>
      <c r="U42" s="12">
        <f t="shared" si="21"/>
        <v>0.9801811009</v>
      </c>
      <c r="V42" s="12">
        <f t="shared" si="21"/>
        <v>1.012369858</v>
      </c>
      <c r="W42" s="12">
        <f t="shared" si="21"/>
        <v>0.9445491113</v>
      </c>
      <c r="X42" s="12">
        <f t="shared" si="21"/>
        <v>0.9418423653</v>
      </c>
      <c r="Y42" s="12">
        <f t="shared" si="21"/>
        <v>0.9836006567</v>
      </c>
      <c r="Z42" s="12">
        <f t="shared" si="21"/>
        <v>0.9801913703</v>
      </c>
      <c r="AA42" s="12">
        <f t="shared" si="21"/>
        <v>0.9649498297</v>
      </c>
      <c r="AB42" s="12">
        <f t="shared" si="21"/>
        <v>0.9848297867</v>
      </c>
      <c r="AC42" s="12">
        <f t="shared" si="21"/>
        <v>0.9284366045</v>
      </c>
      <c r="AD42" s="12">
        <f t="shared" si="21"/>
        <v>0.9106519935</v>
      </c>
      <c r="AE42" s="12">
        <f t="shared" si="21"/>
        <v>0.941294187</v>
      </c>
      <c r="AF42" s="12"/>
      <c r="AG42" s="12"/>
      <c r="AH42" s="12"/>
      <c r="AI42" s="155"/>
      <c r="AJ42" s="156"/>
    </row>
    <row r="43" ht="15.75" customHeight="1">
      <c r="A43" s="11" t="s">
        <v>41</v>
      </c>
      <c r="B43" s="108">
        <f t="shared" ref="B43:B45" si="22">SUM(D43:AH43)</f>
        <v>0</v>
      </c>
      <c r="C43" s="108">
        <f t="shared" si="11"/>
        <v>0</v>
      </c>
      <c r="D43" s="104">
        <v>0.0</v>
      </c>
      <c r="E43" s="104">
        <v>0.0</v>
      </c>
      <c r="F43" s="104">
        <v>0.0</v>
      </c>
      <c r="G43" s="104">
        <v>0.0</v>
      </c>
      <c r="H43" s="104">
        <v>0.0</v>
      </c>
      <c r="I43" s="104">
        <v>0.0</v>
      </c>
      <c r="J43" s="104">
        <v>0.0</v>
      </c>
      <c r="K43" s="104">
        <v>0.0</v>
      </c>
      <c r="L43" s="104">
        <v>0.0</v>
      </c>
      <c r="M43" s="104">
        <v>0.0</v>
      </c>
      <c r="N43" s="104">
        <v>0.0</v>
      </c>
      <c r="O43" s="104">
        <v>0.0</v>
      </c>
      <c r="P43" s="104">
        <v>0.0</v>
      </c>
      <c r="Q43" s="104">
        <v>0.0</v>
      </c>
      <c r="R43" s="104">
        <v>0.0</v>
      </c>
      <c r="S43" s="104">
        <v>0.0</v>
      </c>
      <c r="T43" s="104">
        <v>0.0</v>
      </c>
      <c r="U43" s="104">
        <v>0.0</v>
      </c>
      <c r="V43" s="104">
        <v>0.0</v>
      </c>
      <c r="W43" s="104">
        <v>0.0</v>
      </c>
      <c r="X43" s="104">
        <v>0.0</v>
      </c>
      <c r="Y43" s="104">
        <v>0.0</v>
      </c>
      <c r="Z43" s="104">
        <v>0.0</v>
      </c>
      <c r="AA43" s="104">
        <v>0.0</v>
      </c>
      <c r="AB43" s="104">
        <v>0.0</v>
      </c>
      <c r="AC43" s="104">
        <v>0.0</v>
      </c>
      <c r="AD43" s="104">
        <v>0.0</v>
      </c>
      <c r="AE43" s="104">
        <v>0.0</v>
      </c>
      <c r="AF43" s="104"/>
      <c r="AG43" s="104"/>
      <c r="AH43" s="104"/>
      <c r="AI43" s="164"/>
      <c r="AJ43" s="165"/>
    </row>
    <row r="44" ht="15.75" customHeight="1">
      <c r="A44" s="12" t="s">
        <v>42</v>
      </c>
      <c r="B44" s="68">
        <f t="shared" si="22"/>
        <v>0</v>
      </c>
      <c r="C44" s="68">
        <f t="shared" si="11"/>
        <v>0</v>
      </c>
      <c r="D44" s="12">
        <f t="shared" ref="D44:AE44" si="23">D43/D27</f>
        <v>0</v>
      </c>
      <c r="E44" s="12">
        <f t="shared" si="23"/>
        <v>0</v>
      </c>
      <c r="F44" s="12">
        <f t="shared" si="23"/>
        <v>0</v>
      </c>
      <c r="G44" s="12">
        <f t="shared" si="23"/>
        <v>0</v>
      </c>
      <c r="H44" s="12">
        <f t="shared" si="23"/>
        <v>0</v>
      </c>
      <c r="I44" s="12">
        <f t="shared" si="23"/>
        <v>0</v>
      </c>
      <c r="J44" s="12">
        <f t="shared" si="23"/>
        <v>0</v>
      </c>
      <c r="K44" s="12">
        <f t="shared" si="23"/>
        <v>0</v>
      </c>
      <c r="L44" s="12">
        <f t="shared" si="23"/>
        <v>0</v>
      </c>
      <c r="M44" s="12">
        <f t="shared" si="23"/>
        <v>0</v>
      </c>
      <c r="N44" s="12">
        <f t="shared" si="23"/>
        <v>0</v>
      </c>
      <c r="O44" s="12">
        <f t="shared" si="23"/>
        <v>0</v>
      </c>
      <c r="P44" s="12">
        <f t="shared" si="23"/>
        <v>0</v>
      </c>
      <c r="Q44" s="12">
        <f t="shared" si="23"/>
        <v>0</v>
      </c>
      <c r="R44" s="12">
        <f t="shared" si="23"/>
        <v>0</v>
      </c>
      <c r="S44" s="12">
        <f t="shared" si="23"/>
        <v>0</v>
      </c>
      <c r="T44" s="12">
        <f t="shared" si="23"/>
        <v>0</v>
      </c>
      <c r="U44" s="12">
        <f t="shared" si="23"/>
        <v>0</v>
      </c>
      <c r="V44" s="12">
        <f t="shared" si="23"/>
        <v>0</v>
      </c>
      <c r="W44" s="12">
        <f t="shared" si="23"/>
        <v>0</v>
      </c>
      <c r="X44" s="12">
        <f t="shared" si="23"/>
        <v>0</v>
      </c>
      <c r="Y44" s="12">
        <f t="shared" si="23"/>
        <v>0</v>
      </c>
      <c r="Z44" s="12">
        <f t="shared" si="23"/>
        <v>0</v>
      </c>
      <c r="AA44" s="12">
        <f t="shared" si="23"/>
        <v>0</v>
      </c>
      <c r="AB44" s="12">
        <f t="shared" si="23"/>
        <v>0</v>
      </c>
      <c r="AC44" s="12">
        <f t="shared" si="23"/>
        <v>0</v>
      </c>
      <c r="AD44" s="12">
        <f t="shared" si="23"/>
        <v>0</v>
      </c>
      <c r="AE44" s="12">
        <f t="shared" si="23"/>
        <v>0</v>
      </c>
      <c r="AF44" s="12"/>
      <c r="AG44" s="12"/>
      <c r="AH44" s="12"/>
      <c r="AI44" s="155"/>
      <c r="AJ44" s="156"/>
    </row>
    <row r="45" ht="15.75" customHeight="1">
      <c r="A45" s="72" t="s">
        <v>43</v>
      </c>
      <c r="B45" s="161">
        <f t="shared" si="22"/>
        <v>68796874.75</v>
      </c>
      <c r="C45" s="161">
        <f t="shared" si="11"/>
        <v>2219254.024</v>
      </c>
      <c r="D45" s="161">
        <f t="shared" ref="D45:AH45" si="24">D36-D39</f>
        <v>317677</v>
      </c>
      <c r="E45" s="161">
        <f t="shared" si="24"/>
        <v>-787168</v>
      </c>
      <c r="F45" s="161">
        <f t="shared" si="24"/>
        <v>-85439</v>
      </c>
      <c r="G45" s="161">
        <f t="shared" si="24"/>
        <v>1527424</v>
      </c>
      <c r="H45" s="161">
        <f t="shared" si="24"/>
        <v>1333592.75</v>
      </c>
      <c r="I45" s="161">
        <f t="shared" si="24"/>
        <v>5447680</v>
      </c>
      <c r="J45" s="161">
        <f t="shared" si="24"/>
        <v>922544</v>
      </c>
      <c r="K45" s="161">
        <f t="shared" si="24"/>
        <v>950577</v>
      </c>
      <c r="L45" s="161">
        <f t="shared" si="24"/>
        <v>6073997</v>
      </c>
      <c r="M45" s="161">
        <f t="shared" si="24"/>
        <v>2625709</v>
      </c>
      <c r="N45" s="161">
        <f t="shared" si="24"/>
        <v>1757238</v>
      </c>
      <c r="O45" s="161">
        <f t="shared" si="24"/>
        <v>192364</v>
      </c>
      <c r="P45" s="161">
        <f t="shared" si="24"/>
        <v>4652486</v>
      </c>
      <c r="Q45" s="161">
        <f t="shared" si="24"/>
        <v>2933875</v>
      </c>
      <c r="R45" s="161">
        <f t="shared" si="24"/>
        <v>527814</v>
      </c>
      <c r="S45" s="161">
        <f t="shared" si="24"/>
        <v>520291</v>
      </c>
      <c r="T45" s="161">
        <f t="shared" si="24"/>
        <v>520291</v>
      </c>
      <c r="U45" s="161">
        <f t="shared" si="24"/>
        <v>1105830</v>
      </c>
      <c r="V45" s="161">
        <f t="shared" si="24"/>
        <v>-871521</v>
      </c>
      <c r="W45" s="161">
        <f t="shared" si="24"/>
        <v>4290580</v>
      </c>
      <c r="X45" s="161">
        <f t="shared" si="24"/>
        <v>5080725</v>
      </c>
      <c r="Y45" s="161">
        <f t="shared" si="24"/>
        <v>1074336</v>
      </c>
      <c r="Z45" s="161">
        <f t="shared" si="24"/>
        <v>2320381</v>
      </c>
      <c r="AA45" s="161">
        <f t="shared" si="24"/>
        <v>8320648</v>
      </c>
      <c r="AB45" s="161">
        <f t="shared" si="24"/>
        <v>1758021</v>
      </c>
      <c r="AC45" s="161">
        <f t="shared" si="24"/>
        <v>6769366</v>
      </c>
      <c r="AD45" s="161">
        <f t="shared" si="24"/>
        <v>5952781</v>
      </c>
      <c r="AE45" s="161">
        <f t="shared" si="24"/>
        <v>3564775</v>
      </c>
      <c r="AF45" s="161">
        <f t="shared" si="24"/>
        <v>0</v>
      </c>
      <c r="AG45" s="161">
        <f t="shared" si="24"/>
        <v>0</v>
      </c>
      <c r="AH45" s="161">
        <f t="shared" si="24"/>
        <v>0</v>
      </c>
      <c r="AI45" s="150"/>
      <c r="AJ45" s="151"/>
    </row>
    <row r="46" ht="15.75" customHeight="1">
      <c r="A46" s="79" t="s">
        <v>294</v>
      </c>
      <c r="B46" s="157">
        <f>B45/B27</f>
        <v>0.5314223636</v>
      </c>
      <c r="C46" s="157">
        <f t="shared" si="11"/>
        <v>0.3978061149</v>
      </c>
      <c r="D46" s="157">
        <f t="shared" ref="D46:AE46" si="25">D45/D27</f>
        <v>0.08405276366</v>
      </c>
      <c r="E46" s="157">
        <f t="shared" si="25"/>
        <v>-0.2791634261</v>
      </c>
      <c r="F46" s="157">
        <f t="shared" si="25"/>
        <v>-0.02134537389</v>
      </c>
      <c r="G46" s="157">
        <f t="shared" si="25"/>
        <v>0.4302904626</v>
      </c>
      <c r="H46" s="157">
        <f t="shared" si="25"/>
        <v>0.1604439845</v>
      </c>
      <c r="I46" s="157">
        <f t="shared" si="25"/>
        <v>0.8164034805</v>
      </c>
      <c r="J46" s="157">
        <f t="shared" si="25"/>
        <v>0.1655187361</v>
      </c>
      <c r="K46" s="157">
        <f t="shared" si="25"/>
        <v>0.2161801548</v>
      </c>
      <c r="L46" s="157">
        <f t="shared" si="25"/>
        <v>1.079079666</v>
      </c>
      <c r="M46" s="157">
        <f t="shared" si="25"/>
        <v>0.5388160903</v>
      </c>
      <c r="N46" s="157">
        <f t="shared" si="25"/>
        <v>0.4174880271</v>
      </c>
      <c r="O46" s="157">
        <f t="shared" si="25"/>
        <v>0.06090349707</v>
      </c>
      <c r="P46" s="157">
        <f t="shared" si="25"/>
        <v>0.8820671279</v>
      </c>
      <c r="Q46" s="157">
        <f t="shared" si="25"/>
        <v>0.647029492</v>
      </c>
      <c r="R46" s="157">
        <f t="shared" si="25"/>
        <v>0.1097739939</v>
      </c>
      <c r="S46" s="157">
        <f t="shared" si="25"/>
        <v>0.1040689607</v>
      </c>
      <c r="T46" s="157">
        <f t="shared" si="25"/>
        <v>0.1060929136</v>
      </c>
      <c r="U46" s="157">
        <f t="shared" si="25"/>
        <v>0.2770941932</v>
      </c>
      <c r="V46" s="157">
        <f t="shared" si="25"/>
        <v>-0.1825023899</v>
      </c>
      <c r="W46" s="157">
        <f t="shared" si="25"/>
        <v>0.5383616119</v>
      </c>
      <c r="X46" s="157">
        <f t="shared" si="25"/>
        <v>0.7652271655</v>
      </c>
      <c r="Y46" s="157">
        <f t="shared" si="25"/>
        <v>0.1941664191</v>
      </c>
      <c r="Z46" s="157">
        <f t="shared" si="25"/>
        <v>0.2721776644</v>
      </c>
      <c r="AA46" s="157">
        <f t="shared" si="25"/>
        <v>1.077089806</v>
      </c>
      <c r="AB46" s="157">
        <f t="shared" si="25"/>
        <v>0.319886378</v>
      </c>
      <c r="AC46" s="157">
        <f t="shared" si="25"/>
        <v>0.8059835057</v>
      </c>
      <c r="AD46" s="157">
        <f t="shared" si="25"/>
        <v>0.8554892801</v>
      </c>
      <c r="AE46" s="157">
        <f t="shared" si="25"/>
        <v>0.697897034</v>
      </c>
      <c r="AF46" s="157"/>
      <c r="AG46" s="157"/>
      <c r="AH46" s="157"/>
      <c r="AI46" s="150"/>
      <c r="AJ46" s="151"/>
    </row>
    <row r="47" ht="15.75" customHeight="1">
      <c r="A47" s="79" t="s">
        <v>45</v>
      </c>
      <c r="B47" s="171">
        <f>B45/B26</f>
        <v>51379.29406</v>
      </c>
      <c r="C47" s="171">
        <f t="shared" si="11"/>
        <v>6030.150815</v>
      </c>
      <c r="D47" s="171">
        <f t="shared" ref="D47:AE47" si="26">D45/D26</f>
        <v>761.8153477</v>
      </c>
      <c r="E47" s="171">
        <f t="shared" si="26"/>
        <v>-2392.607903</v>
      </c>
      <c r="F47" s="171">
        <f t="shared" si="26"/>
        <v>-210.9604938</v>
      </c>
      <c r="G47" s="171">
        <f t="shared" si="26"/>
        <v>5285.204152</v>
      </c>
      <c r="H47" s="171">
        <f t="shared" si="26"/>
        <v>3767.211158</v>
      </c>
      <c r="I47" s="171">
        <f t="shared" si="26"/>
        <v>12669.02326</v>
      </c>
      <c r="J47" s="171">
        <f t="shared" si="26"/>
        <v>2077.801802</v>
      </c>
      <c r="K47" s="171">
        <f t="shared" si="26"/>
        <v>2787.615836</v>
      </c>
      <c r="L47" s="171">
        <f t="shared" si="26"/>
        <v>20046.19472</v>
      </c>
      <c r="M47" s="171">
        <f t="shared" si="26"/>
        <v>8005.210366</v>
      </c>
      <c r="N47" s="171">
        <f t="shared" si="26"/>
        <v>4448.703797</v>
      </c>
      <c r="O47" s="171">
        <f t="shared" si="26"/>
        <v>500.9479167</v>
      </c>
      <c r="P47" s="171">
        <f t="shared" si="26"/>
        <v>9672.528067</v>
      </c>
      <c r="Q47" s="171">
        <f t="shared" si="26"/>
        <v>7052.584135</v>
      </c>
      <c r="R47" s="171">
        <f t="shared" si="26"/>
        <v>1199.577273</v>
      </c>
      <c r="S47" s="171">
        <f t="shared" si="26"/>
        <v>1358.462141</v>
      </c>
      <c r="T47" s="171">
        <f t="shared" si="26"/>
        <v>1461.491573</v>
      </c>
      <c r="U47" s="171">
        <f t="shared" si="26"/>
        <v>2879.765625</v>
      </c>
      <c r="V47" s="171">
        <f t="shared" si="26"/>
        <v>-2293.476316</v>
      </c>
      <c r="W47" s="171">
        <f t="shared" si="26"/>
        <v>10414.02913</v>
      </c>
      <c r="X47" s="171">
        <f t="shared" si="26"/>
        <v>11733.77598</v>
      </c>
      <c r="Y47" s="171">
        <f t="shared" si="26"/>
        <v>2276.135593</v>
      </c>
      <c r="Z47" s="171">
        <f t="shared" si="26"/>
        <v>5226.083333</v>
      </c>
      <c r="AA47" s="171">
        <f t="shared" si="26"/>
        <v>19350.34419</v>
      </c>
      <c r="AB47" s="171">
        <f t="shared" si="26"/>
        <v>4041.427586</v>
      </c>
      <c r="AC47" s="171">
        <f t="shared" si="26"/>
        <v>15526.06881</v>
      </c>
      <c r="AD47" s="171">
        <f t="shared" si="26"/>
        <v>15706.54617</v>
      </c>
      <c r="AE47" s="171">
        <f t="shared" si="26"/>
        <v>5492.719569</v>
      </c>
      <c r="AF47" s="171"/>
      <c r="AG47" s="171"/>
      <c r="AH47" s="171"/>
      <c r="AI47" s="150"/>
      <c r="AJ47" s="151"/>
    </row>
    <row r="48" ht="15.75" customHeight="1">
      <c r="A48" s="148" t="s">
        <v>46</v>
      </c>
      <c r="B48" s="161">
        <f>B27-B32</f>
        <v>35018005</v>
      </c>
      <c r="C48" s="161">
        <f t="shared" si="11"/>
        <v>1499061.161</v>
      </c>
      <c r="D48" s="161">
        <f t="shared" ref="D48:AH48" si="27">D27-D32</f>
        <v>-1122852</v>
      </c>
      <c r="E48" s="161">
        <f t="shared" si="27"/>
        <v>-321240</v>
      </c>
      <c r="F48" s="161">
        <f t="shared" si="27"/>
        <v>722032</v>
      </c>
      <c r="G48" s="161">
        <f t="shared" si="27"/>
        <v>-589818</v>
      </c>
      <c r="H48" s="161">
        <f t="shared" si="27"/>
        <v>3250006</v>
      </c>
      <c r="I48" s="161">
        <f t="shared" si="27"/>
        <v>2286074</v>
      </c>
      <c r="J48" s="161">
        <f t="shared" si="27"/>
        <v>2487326</v>
      </c>
      <c r="K48" s="161">
        <f t="shared" si="27"/>
        <v>1774949</v>
      </c>
      <c r="L48" s="161">
        <f t="shared" si="27"/>
        <v>2004959</v>
      </c>
      <c r="M48" s="161">
        <f t="shared" si="27"/>
        <v>940638</v>
      </c>
      <c r="N48" s="161">
        <f t="shared" si="27"/>
        <v>1593582</v>
      </c>
      <c r="O48" s="161">
        <f t="shared" si="27"/>
        <v>1492110</v>
      </c>
      <c r="P48" s="161">
        <f t="shared" si="27"/>
        <v>3065164</v>
      </c>
      <c r="Q48" s="161">
        <f t="shared" si="27"/>
        <v>2453346</v>
      </c>
      <c r="R48" s="161">
        <f t="shared" si="27"/>
        <v>1047241</v>
      </c>
      <c r="S48" s="161">
        <f t="shared" si="27"/>
        <v>973171</v>
      </c>
      <c r="T48" s="161">
        <f t="shared" si="27"/>
        <v>1287495</v>
      </c>
      <c r="U48" s="161">
        <f t="shared" si="27"/>
        <v>-77448</v>
      </c>
      <c r="V48" s="161">
        <f t="shared" si="27"/>
        <v>2376048</v>
      </c>
      <c r="W48" s="161">
        <f t="shared" si="27"/>
        <v>2105757</v>
      </c>
      <c r="X48" s="161">
        <f t="shared" si="27"/>
        <v>3182330</v>
      </c>
      <c r="Y48" s="161">
        <f t="shared" si="27"/>
        <v>1751018</v>
      </c>
      <c r="Z48" s="161">
        <f t="shared" si="27"/>
        <v>2628217</v>
      </c>
      <c r="AA48" s="161">
        <f t="shared" si="27"/>
        <v>3532524</v>
      </c>
      <c r="AB48" s="161">
        <f t="shared" si="27"/>
        <v>494824</v>
      </c>
      <c r="AC48" s="161">
        <f t="shared" si="27"/>
        <v>3981511</v>
      </c>
      <c r="AD48" s="161">
        <f t="shared" si="27"/>
        <v>2520914</v>
      </c>
      <c r="AE48" s="161">
        <f t="shared" si="27"/>
        <v>631018</v>
      </c>
      <c r="AF48" s="161">
        <f t="shared" si="27"/>
        <v>0</v>
      </c>
      <c r="AG48" s="161">
        <f t="shared" si="27"/>
        <v>0</v>
      </c>
      <c r="AH48" s="161">
        <f t="shared" si="27"/>
        <v>0</v>
      </c>
      <c r="AI48" s="150"/>
      <c r="AJ48" s="151"/>
    </row>
    <row r="49" ht="15.75" customHeight="1">
      <c r="A49" s="79" t="s">
        <v>295</v>
      </c>
      <c r="B49" s="157">
        <f>B48/B27</f>
        <v>0.2704970401</v>
      </c>
      <c r="C49" s="157">
        <f t="shared" si="11"/>
        <v>0.2763488633</v>
      </c>
      <c r="D49" s="157">
        <f t="shared" ref="D49:AE49" si="28">D48/D27</f>
        <v>-0.2970904843</v>
      </c>
      <c r="E49" s="157">
        <f t="shared" si="28"/>
        <v>-0.1139254378</v>
      </c>
      <c r="F49" s="157">
        <f t="shared" si="28"/>
        <v>0.1803865097</v>
      </c>
      <c r="G49" s="157">
        <f t="shared" si="28"/>
        <v>-0.1661575699</v>
      </c>
      <c r="H49" s="157">
        <f t="shared" si="28"/>
        <v>0.3910068588</v>
      </c>
      <c r="I49" s="157">
        <f t="shared" si="28"/>
        <v>0.3425969899</v>
      </c>
      <c r="J49" s="157">
        <f t="shared" si="28"/>
        <v>0.4462649541</v>
      </c>
      <c r="K49" s="157">
        <f t="shared" si="28"/>
        <v>0.4036587773</v>
      </c>
      <c r="L49" s="157">
        <f t="shared" si="28"/>
        <v>0.356192222</v>
      </c>
      <c r="M49" s="157">
        <f t="shared" si="28"/>
        <v>0.1930262986</v>
      </c>
      <c r="N49" s="157">
        <f t="shared" si="28"/>
        <v>0.3786063158</v>
      </c>
      <c r="O49" s="157">
        <f t="shared" si="28"/>
        <v>0.4724102067</v>
      </c>
      <c r="P49" s="157">
        <f t="shared" si="28"/>
        <v>0.5811259628</v>
      </c>
      <c r="Q49" s="157">
        <f t="shared" si="28"/>
        <v>0.5410548221</v>
      </c>
      <c r="R49" s="157">
        <f t="shared" si="28"/>
        <v>0.2178036716</v>
      </c>
      <c r="S49" s="157">
        <f t="shared" si="28"/>
        <v>0.1946543273</v>
      </c>
      <c r="T49" s="157">
        <f t="shared" si="28"/>
        <v>0.2625340352</v>
      </c>
      <c r="U49" s="157">
        <f t="shared" si="28"/>
        <v>-0.0194065915</v>
      </c>
      <c r="V49" s="157">
        <f t="shared" si="28"/>
        <v>0.4975605159</v>
      </c>
      <c r="W49" s="157">
        <f t="shared" si="28"/>
        <v>0.2642203928</v>
      </c>
      <c r="X49" s="157">
        <f t="shared" si="28"/>
        <v>0.4793027305</v>
      </c>
      <c r="Y49" s="157">
        <f t="shared" si="28"/>
        <v>0.3164642112</v>
      </c>
      <c r="Z49" s="157">
        <f t="shared" si="28"/>
        <v>0.3082864256</v>
      </c>
      <c r="AA49" s="157">
        <f t="shared" si="28"/>
        <v>0.4572775569</v>
      </c>
      <c r="AB49" s="157">
        <f t="shared" si="28"/>
        <v>0.09003729598</v>
      </c>
      <c r="AC49" s="157">
        <f t="shared" si="28"/>
        <v>0.4740521038</v>
      </c>
      <c r="AD49" s="157">
        <f t="shared" si="28"/>
        <v>0.3622869551</v>
      </c>
      <c r="AE49" s="157">
        <f t="shared" si="28"/>
        <v>0.1235381169</v>
      </c>
      <c r="AF49" s="157"/>
      <c r="AG49" s="157"/>
      <c r="AH49" s="157"/>
      <c r="AI49" s="150"/>
      <c r="AJ49" s="151"/>
    </row>
    <row r="50" ht="15.75" customHeight="1">
      <c r="A50" s="79" t="s">
        <v>48</v>
      </c>
      <c r="B50" s="171">
        <f>B48/B26</f>
        <v>26152.35624</v>
      </c>
      <c r="C50" s="171">
        <f t="shared" si="11"/>
        <v>4065.675083</v>
      </c>
      <c r="D50" s="171">
        <f t="shared" ref="D50:AE50" si="29">D48/D26</f>
        <v>-2692.690647</v>
      </c>
      <c r="E50" s="171">
        <f t="shared" si="29"/>
        <v>-976.4133739</v>
      </c>
      <c r="F50" s="171">
        <f t="shared" si="29"/>
        <v>1782.795062</v>
      </c>
      <c r="G50" s="171">
        <f t="shared" si="29"/>
        <v>-2040.892734</v>
      </c>
      <c r="H50" s="171">
        <f t="shared" si="29"/>
        <v>9180.80791</v>
      </c>
      <c r="I50" s="171">
        <f t="shared" si="29"/>
        <v>5316.451163</v>
      </c>
      <c r="J50" s="171">
        <f t="shared" si="29"/>
        <v>5602.085586</v>
      </c>
      <c r="K50" s="171">
        <f t="shared" si="29"/>
        <v>5205.129032</v>
      </c>
      <c r="L50" s="171">
        <f t="shared" si="29"/>
        <v>6617.026403</v>
      </c>
      <c r="M50" s="171">
        <f t="shared" si="29"/>
        <v>2867.79878</v>
      </c>
      <c r="N50" s="171">
        <f t="shared" si="29"/>
        <v>4034.38481</v>
      </c>
      <c r="O50" s="171">
        <f t="shared" si="29"/>
        <v>3885.703125</v>
      </c>
      <c r="P50" s="171">
        <f t="shared" si="29"/>
        <v>6372.482328</v>
      </c>
      <c r="Q50" s="171">
        <f t="shared" si="29"/>
        <v>5897.466346</v>
      </c>
      <c r="R50" s="171">
        <f t="shared" si="29"/>
        <v>2380.093182</v>
      </c>
      <c r="S50" s="171">
        <f t="shared" si="29"/>
        <v>2540.916449</v>
      </c>
      <c r="T50" s="171">
        <f t="shared" si="29"/>
        <v>3616.558989</v>
      </c>
      <c r="U50" s="171">
        <f t="shared" si="29"/>
        <v>-201.6875</v>
      </c>
      <c r="V50" s="171">
        <f t="shared" si="29"/>
        <v>6252.757895</v>
      </c>
      <c r="W50" s="171">
        <f t="shared" si="29"/>
        <v>5111.06068</v>
      </c>
      <c r="X50" s="171">
        <f t="shared" si="29"/>
        <v>7349.491917</v>
      </c>
      <c r="Y50" s="171">
        <f t="shared" si="29"/>
        <v>3709.783898</v>
      </c>
      <c r="Z50" s="171">
        <f t="shared" si="29"/>
        <v>5919.407658</v>
      </c>
      <c r="AA50" s="171">
        <f t="shared" si="29"/>
        <v>8215.172093</v>
      </c>
      <c r="AB50" s="171">
        <f t="shared" si="29"/>
        <v>1137.526437</v>
      </c>
      <c r="AC50" s="171">
        <f t="shared" si="29"/>
        <v>9131.905963</v>
      </c>
      <c r="AD50" s="171">
        <f t="shared" si="29"/>
        <v>6651.488127</v>
      </c>
      <c r="AE50" s="171">
        <f t="shared" si="29"/>
        <v>972.2927581</v>
      </c>
      <c r="AF50" s="171"/>
      <c r="AG50" s="171"/>
      <c r="AH50" s="171"/>
      <c r="AI50" s="150"/>
      <c r="AJ50" s="151"/>
    </row>
    <row r="51" ht="15.75" customHeight="1">
      <c r="A51" s="104" t="s">
        <v>49</v>
      </c>
      <c r="B51" s="108">
        <f t="shared" ref="B51:B62" si="30">SUM(D51:AH51)</f>
        <v>2106000</v>
      </c>
      <c r="C51" s="108">
        <f t="shared" si="11"/>
        <v>67935.48387</v>
      </c>
      <c r="D51" s="104">
        <v>42000.0</v>
      </c>
      <c r="E51" s="104">
        <v>90000.0</v>
      </c>
      <c r="F51" s="104">
        <v>14000.0</v>
      </c>
      <c r="G51" s="104">
        <v>8000.0</v>
      </c>
      <c r="H51" s="104">
        <v>22000.0</v>
      </c>
      <c r="I51" s="104">
        <v>10000.0</v>
      </c>
      <c r="J51" s="104">
        <v>150000.0</v>
      </c>
      <c r="K51" s="104">
        <v>0.0</v>
      </c>
      <c r="L51" s="104">
        <v>50000.0</v>
      </c>
      <c r="M51" s="104">
        <v>540000.0</v>
      </c>
      <c r="N51" s="104">
        <v>80000.0</v>
      </c>
      <c r="O51" s="104">
        <v>100000.0</v>
      </c>
      <c r="P51" s="104">
        <v>130000.0</v>
      </c>
      <c r="Q51" s="104">
        <v>10000.0</v>
      </c>
      <c r="R51" s="104">
        <v>10000.0</v>
      </c>
      <c r="S51" s="104">
        <v>0.0</v>
      </c>
      <c r="T51" s="104">
        <v>10000.0</v>
      </c>
      <c r="U51" s="104">
        <v>10000.0</v>
      </c>
      <c r="V51" s="104">
        <v>0.0</v>
      </c>
      <c r="W51" s="104">
        <v>40000.0</v>
      </c>
      <c r="X51" s="104">
        <v>10000.0</v>
      </c>
      <c r="Y51" s="104">
        <v>10000.0</v>
      </c>
      <c r="Z51" s="104">
        <v>30000.0</v>
      </c>
      <c r="AA51" s="104">
        <v>210000.0</v>
      </c>
      <c r="AB51" s="104">
        <v>420000.0</v>
      </c>
      <c r="AC51" s="104">
        <v>0.0</v>
      </c>
      <c r="AD51" s="104">
        <v>60000.0</v>
      </c>
      <c r="AE51" s="104">
        <v>50000.0</v>
      </c>
      <c r="AF51" s="104">
        <v>0.0</v>
      </c>
      <c r="AG51" s="104">
        <v>0.0</v>
      </c>
      <c r="AH51" s="104">
        <v>0.0</v>
      </c>
      <c r="AI51" s="164"/>
      <c r="AJ51" s="165"/>
    </row>
    <row r="52" ht="15.75" customHeight="1">
      <c r="A52" s="11" t="s">
        <v>50</v>
      </c>
      <c r="B52" s="108">
        <f t="shared" si="30"/>
        <v>0</v>
      </c>
      <c r="C52" s="108">
        <f t="shared" si="11"/>
        <v>0</v>
      </c>
      <c r="D52" s="104">
        <v>0.0</v>
      </c>
      <c r="E52" s="104">
        <v>0.0</v>
      </c>
      <c r="F52" s="104">
        <v>0.0</v>
      </c>
      <c r="G52" s="104">
        <v>0.0</v>
      </c>
      <c r="H52" s="104">
        <v>0.0</v>
      </c>
      <c r="I52" s="104">
        <v>0.0</v>
      </c>
      <c r="J52" s="104">
        <v>0.0</v>
      </c>
      <c r="K52" s="104">
        <v>0.0</v>
      </c>
      <c r="L52" s="104">
        <v>0.0</v>
      </c>
      <c r="M52" s="104">
        <v>0.0</v>
      </c>
      <c r="N52" s="104">
        <v>0.0</v>
      </c>
      <c r="O52" s="104">
        <v>0.0</v>
      </c>
      <c r="P52" s="104">
        <v>0.0</v>
      </c>
      <c r="Q52" s="104">
        <v>0.0</v>
      </c>
      <c r="R52" s="104">
        <v>0.0</v>
      </c>
      <c r="S52" s="104">
        <v>0.0</v>
      </c>
      <c r="T52" s="104">
        <v>0.0</v>
      </c>
      <c r="U52" s="104">
        <v>0.0</v>
      </c>
      <c r="V52" s="104">
        <v>0.0</v>
      </c>
      <c r="W52" s="104">
        <v>0.0</v>
      </c>
      <c r="X52" s="104">
        <v>0.0</v>
      </c>
      <c r="Y52" s="104">
        <v>0.0</v>
      </c>
      <c r="Z52" s="104">
        <v>0.0</v>
      </c>
      <c r="AA52" s="104">
        <v>0.0</v>
      </c>
      <c r="AB52" s="104">
        <v>0.0</v>
      </c>
      <c r="AC52" s="104">
        <v>0.0</v>
      </c>
      <c r="AD52" s="104">
        <v>0.0</v>
      </c>
      <c r="AE52" s="104">
        <v>0.0</v>
      </c>
      <c r="AF52" s="104">
        <v>0.0</v>
      </c>
      <c r="AG52" s="104">
        <v>0.0</v>
      </c>
      <c r="AH52" s="104">
        <v>0.0</v>
      </c>
      <c r="AI52" s="164"/>
      <c r="AJ52" s="165"/>
    </row>
    <row r="53" ht="15.75" customHeight="1">
      <c r="A53" s="104" t="s">
        <v>51</v>
      </c>
      <c r="B53" s="108">
        <f t="shared" si="30"/>
        <v>807635</v>
      </c>
      <c r="C53" s="108">
        <f t="shared" si="11"/>
        <v>26052.74194</v>
      </c>
      <c r="D53" s="104">
        <v>16000.0</v>
      </c>
      <c r="E53" s="104">
        <v>8000.0</v>
      </c>
      <c r="F53" s="104">
        <v>21000.0</v>
      </c>
      <c r="G53" s="104">
        <v>12000.0</v>
      </c>
      <c r="H53" s="104">
        <v>336635.0</v>
      </c>
      <c r="I53" s="104">
        <v>12000.0</v>
      </c>
      <c r="J53" s="104">
        <v>12000.0</v>
      </c>
      <c r="K53" s="104">
        <v>8000.0</v>
      </c>
      <c r="L53" s="104">
        <v>8000.0</v>
      </c>
      <c r="M53" s="104">
        <v>16000.0</v>
      </c>
      <c r="N53" s="104">
        <v>28000.0</v>
      </c>
      <c r="O53" s="104">
        <v>48000.0</v>
      </c>
      <c r="P53" s="104">
        <v>28000.0</v>
      </c>
      <c r="Q53" s="104">
        <v>16000.0</v>
      </c>
      <c r="R53" s="104">
        <v>44000.0</v>
      </c>
      <c r="S53" s="104">
        <v>16000.0</v>
      </c>
      <c r="T53" s="104">
        <v>20000.0</v>
      </c>
      <c r="U53" s="104">
        <v>20000.0</v>
      </c>
      <c r="V53" s="104">
        <v>12000.0</v>
      </c>
      <c r="W53" s="104">
        <v>16000.0</v>
      </c>
      <c r="X53" s="104">
        <v>20000.0</v>
      </c>
      <c r="Y53" s="104">
        <v>20000.0</v>
      </c>
      <c r="Z53" s="104">
        <v>4000.0</v>
      </c>
      <c r="AA53" s="104">
        <v>12000.0</v>
      </c>
      <c r="AB53" s="104">
        <v>8000.0</v>
      </c>
      <c r="AC53" s="104">
        <v>10000.0</v>
      </c>
      <c r="AD53" s="104">
        <v>16000.0</v>
      </c>
      <c r="AE53" s="104">
        <v>20000.0</v>
      </c>
      <c r="AF53" s="104">
        <v>0.0</v>
      </c>
      <c r="AG53" s="104">
        <v>0.0</v>
      </c>
      <c r="AH53" s="104">
        <v>0.0</v>
      </c>
      <c r="AI53" s="164"/>
      <c r="AJ53" s="165"/>
    </row>
    <row r="54" ht="15.75" customHeight="1">
      <c r="A54" s="104" t="s">
        <v>52</v>
      </c>
      <c r="B54" s="108">
        <f t="shared" si="30"/>
        <v>0</v>
      </c>
      <c r="C54" s="108">
        <f t="shared" si="11"/>
        <v>0</v>
      </c>
      <c r="D54" s="104">
        <v>0.0</v>
      </c>
      <c r="E54" s="104">
        <v>0.0</v>
      </c>
      <c r="F54" s="104">
        <v>0.0</v>
      </c>
      <c r="G54" s="104">
        <v>0.0</v>
      </c>
      <c r="H54" s="104">
        <v>0.0</v>
      </c>
      <c r="I54" s="104">
        <v>0.0</v>
      </c>
      <c r="J54" s="104">
        <v>0.0</v>
      </c>
      <c r="K54" s="104">
        <v>0.0</v>
      </c>
      <c r="L54" s="104">
        <v>0.0</v>
      </c>
      <c r="M54" s="104">
        <v>0.0</v>
      </c>
      <c r="N54" s="104">
        <v>0.0</v>
      </c>
      <c r="O54" s="104">
        <v>0.0</v>
      </c>
      <c r="P54" s="104">
        <v>0.0</v>
      </c>
      <c r="Q54" s="104">
        <v>0.0</v>
      </c>
      <c r="R54" s="104">
        <v>0.0</v>
      </c>
      <c r="S54" s="104">
        <v>0.0</v>
      </c>
      <c r="T54" s="104">
        <v>0.0</v>
      </c>
      <c r="U54" s="104">
        <v>0.0</v>
      </c>
      <c r="V54" s="104">
        <v>0.0</v>
      </c>
      <c r="W54" s="104">
        <v>0.0</v>
      </c>
      <c r="X54" s="104">
        <v>0.0</v>
      </c>
      <c r="Y54" s="104">
        <v>0.0</v>
      </c>
      <c r="Z54" s="104">
        <v>0.0</v>
      </c>
      <c r="AA54" s="104">
        <v>0.0</v>
      </c>
      <c r="AB54" s="104">
        <v>0.0</v>
      </c>
      <c r="AC54" s="104">
        <v>0.0</v>
      </c>
      <c r="AD54" s="104">
        <v>0.0</v>
      </c>
      <c r="AE54" s="104">
        <v>0.0</v>
      </c>
      <c r="AF54" s="104">
        <v>0.0</v>
      </c>
      <c r="AG54" s="104">
        <v>0.0</v>
      </c>
      <c r="AH54" s="104">
        <v>0.0</v>
      </c>
      <c r="AI54" s="164"/>
      <c r="AJ54" s="165"/>
    </row>
    <row r="55" ht="15.75" customHeight="1">
      <c r="A55" s="104" t="s">
        <v>53</v>
      </c>
      <c r="B55" s="108">
        <f t="shared" si="30"/>
        <v>1500</v>
      </c>
      <c r="C55" s="108">
        <f t="shared" si="11"/>
        <v>48.38709677</v>
      </c>
      <c r="D55" s="104">
        <v>0.0</v>
      </c>
      <c r="E55" s="104">
        <v>0.0</v>
      </c>
      <c r="F55" s="104">
        <v>0.0</v>
      </c>
      <c r="G55" s="104">
        <v>0.0</v>
      </c>
      <c r="H55" s="104">
        <v>0.0</v>
      </c>
      <c r="I55" s="104">
        <v>0.0</v>
      </c>
      <c r="J55" s="104">
        <v>0.0</v>
      </c>
      <c r="K55" s="104">
        <v>0.0</v>
      </c>
      <c r="L55" s="104">
        <v>0.0</v>
      </c>
      <c r="M55" s="104">
        <v>0.0</v>
      </c>
      <c r="N55" s="104">
        <v>0.0</v>
      </c>
      <c r="O55" s="104">
        <v>0.0</v>
      </c>
      <c r="P55" s="104">
        <v>1500.0</v>
      </c>
      <c r="Q55" s="104">
        <v>0.0</v>
      </c>
      <c r="R55" s="104">
        <v>0.0</v>
      </c>
      <c r="S55" s="104">
        <v>0.0</v>
      </c>
      <c r="T55" s="104">
        <v>0.0</v>
      </c>
      <c r="U55" s="104">
        <v>0.0</v>
      </c>
      <c r="V55" s="104">
        <v>0.0</v>
      </c>
      <c r="W55" s="104">
        <v>0.0</v>
      </c>
      <c r="X55" s="104">
        <v>0.0</v>
      </c>
      <c r="Y55" s="104">
        <v>0.0</v>
      </c>
      <c r="Z55" s="104">
        <v>0.0</v>
      </c>
      <c r="AA55" s="104">
        <v>0.0</v>
      </c>
      <c r="AB55" s="104">
        <v>0.0</v>
      </c>
      <c r="AC55" s="104">
        <v>0.0</v>
      </c>
      <c r="AD55" s="104">
        <v>0.0</v>
      </c>
      <c r="AE55" s="104">
        <v>0.0</v>
      </c>
      <c r="AF55" s="104">
        <v>0.0</v>
      </c>
      <c r="AG55" s="104">
        <v>0.0</v>
      </c>
      <c r="AH55" s="104">
        <v>0.0</v>
      </c>
      <c r="AI55" s="164"/>
      <c r="AJ55" s="165"/>
    </row>
    <row r="56" ht="15.75" customHeight="1">
      <c r="A56" s="104" t="s">
        <v>54</v>
      </c>
      <c r="B56" s="108">
        <f t="shared" si="30"/>
        <v>13845002.99</v>
      </c>
      <c r="C56" s="108">
        <f t="shared" si="11"/>
        <v>446612.9997</v>
      </c>
      <c r="D56" s="104">
        <v>0.0</v>
      </c>
      <c r="E56" s="104">
        <v>0.0</v>
      </c>
      <c r="F56" s="104">
        <v>0.0</v>
      </c>
      <c r="G56" s="104">
        <v>0.0</v>
      </c>
      <c r="H56" s="104">
        <v>0.0</v>
      </c>
      <c r="I56" s="104">
        <v>0.0</v>
      </c>
      <c r="J56" s="104">
        <v>0.0</v>
      </c>
      <c r="K56" s="104">
        <v>0.0</v>
      </c>
      <c r="L56" s="104">
        <v>0.0</v>
      </c>
      <c r="M56" s="104">
        <v>0.0</v>
      </c>
      <c r="N56" s="104">
        <v>0.0</v>
      </c>
      <c r="O56" s="104">
        <v>0.0</v>
      </c>
      <c r="P56" s="104">
        <v>0.0</v>
      </c>
      <c r="Q56" s="104">
        <v>0.0</v>
      </c>
      <c r="R56" s="104">
        <v>0.0</v>
      </c>
      <c r="S56" s="104">
        <v>0.0</v>
      </c>
      <c r="T56" s="104">
        <v>0.0</v>
      </c>
      <c r="U56" s="104">
        <v>0.0</v>
      </c>
      <c r="V56" s="104">
        <v>0.0</v>
      </c>
      <c r="W56" s="104">
        <v>0.0</v>
      </c>
      <c r="X56" s="104">
        <v>0.0</v>
      </c>
      <c r="Y56" s="104">
        <v>0.0</v>
      </c>
      <c r="Z56" s="104">
        <f>27690005.98/2</f>
        <v>13845002.99</v>
      </c>
      <c r="AA56" s="104">
        <v>0.0</v>
      </c>
      <c r="AB56" s="104">
        <v>0.0</v>
      </c>
      <c r="AC56" s="104">
        <v>0.0</v>
      </c>
      <c r="AD56" s="104">
        <v>0.0</v>
      </c>
      <c r="AE56" s="104">
        <v>0.0</v>
      </c>
      <c r="AF56" s="104">
        <v>0.0</v>
      </c>
      <c r="AG56" s="104">
        <v>0.0</v>
      </c>
      <c r="AH56" s="104">
        <v>0.0</v>
      </c>
      <c r="AI56" s="164"/>
      <c r="AJ56" s="165"/>
    </row>
    <row r="57" ht="15.75" customHeight="1">
      <c r="A57" s="104" t="s">
        <v>55</v>
      </c>
      <c r="B57" s="108">
        <f t="shared" si="30"/>
        <v>5478000</v>
      </c>
      <c r="C57" s="108">
        <f t="shared" si="11"/>
        <v>182600</v>
      </c>
      <c r="D57" s="104">
        <v>585000.0</v>
      </c>
      <c r="E57" s="104">
        <v>423000.0</v>
      </c>
      <c r="F57" s="104">
        <v>618000.0</v>
      </c>
      <c r="G57" s="104">
        <v>378000.0</v>
      </c>
      <c r="H57" s="104">
        <v>477000.0</v>
      </c>
      <c r="I57" s="104">
        <v>834000.0</v>
      </c>
      <c r="J57" s="104">
        <v>789000.0</v>
      </c>
      <c r="K57" s="104">
        <v>657000.0</v>
      </c>
      <c r="L57" s="104">
        <v>207000.0</v>
      </c>
      <c r="M57" s="104">
        <v>510000.0</v>
      </c>
      <c r="N57" s="104"/>
      <c r="O57" s="104">
        <v>0.0</v>
      </c>
      <c r="P57" s="104">
        <v>0.0</v>
      </c>
      <c r="Q57" s="104">
        <v>0.0</v>
      </c>
      <c r="R57" s="104">
        <v>0.0</v>
      </c>
      <c r="S57" s="104">
        <v>0.0</v>
      </c>
      <c r="T57" s="104">
        <v>0.0</v>
      </c>
      <c r="U57" s="104">
        <v>0.0</v>
      </c>
      <c r="V57" s="104">
        <v>0.0</v>
      </c>
      <c r="W57" s="104">
        <v>0.0</v>
      </c>
      <c r="X57" s="104">
        <v>0.0</v>
      </c>
      <c r="Y57" s="104">
        <v>0.0</v>
      </c>
      <c r="Z57" s="104">
        <v>0.0</v>
      </c>
      <c r="AA57" s="104">
        <v>0.0</v>
      </c>
      <c r="AB57" s="104">
        <v>0.0</v>
      </c>
      <c r="AC57" s="104">
        <v>0.0</v>
      </c>
      <c r="AD57" s="104">
        <v>0.0</v>
      </c>
      <c r="AE57" s="104">
        <v>0.0</v>
      </c>
      <c r="AF57" s="104">
        <v>0.0</v>
      </c>
      <c r="AG57" s="104">
        <v>0.0</v>
      </c>
      <c r="AH57" s="104">
        <v>0.0</v>
      </c>
      <c r="AI57" s="164"/>
      <c r="AJ57" s="165"/>
    </row>
    <row r="58" ht="15.75" customHeight="1">
      <c r="A58" s="65" t="s">
        <v>56</v>
      </c>
      <c r="B58" s="108">
        <f t="shared" si="30"/>
        <v>0</v>
      </c>
      <c r="C58" s="108">
        <f t="shared" si="11"/>
        <v>0</v>
      </c>
      <c r="D58" s="104">
        <v>0.0</v>
      </c>
      <c r="E58" s="104">
        <v>0.0</v>
      </c>
      <c r="F58" s="104">
        <v>0.0</v>
      </c>
      <c r="G58" s="104">
        <v>0.0</v>
      </c>
      <c r="H58" s="104">
        <v>0.0</v>
      </c>
      <c r="I58" s="104">
        <v>0.0</v>
      </c>
      <c r="J58" s="104">
        <v>0.0</v>
      </c>
      <c r="K58" s="104">
        <v>0.0</v>
      </c>
      <c r="L58" s="104">
        <v>0.0</v>
      </c>
      <c r="M58" s="104">
        <v>0.0</v>
      </c>
      <c r="N58" s="104">
        <v>0.0</v>
      </c>
      <c r="O58" s="104">
        <v>0.0</v>
      </c>
      <c r="P58" s="104">
        <v>0.0</v>
      </c>
      <c r="Q58" s="104">
        <v>0.0</v>
      </c>
      <c r="R58" s="104">
        <v>0.0</v>
      </c>
      <c r="S58" s="104">
        <v>0.0</v>
      </c>
      <c r="T58" s="104">
        <v>0.0</v>
      </c>
      <c r="U58" s="104">
        <v>0.0</v>
      </c>
      <c r="V58" s="104">
        <v>0.0</v>
      </c>
      <c r="W58" s="104">
        <v>0.0</v>
      </c>
      <c r="X58" s="104">
        <v>0.0</v>
      </c>
      <c r="Y58" s="104">
        <v>0.0</v>
      </c>
      <c r="Z58" s="104">
        <v>0.0</v>
      </c>
      <c r="AA58" s="104">
        <v>0.0</v>
      </c>
      <c r="AB58" s="104">
        <v>0.0</v>
      </c>
      <c r="AC58" s="104">
        <v>0.0</v>
      </c>
      <c r="AD58" s="104">
        <v>0.0</v>
      </c>
      <c r="AE58" s="104">
        <v>0.0</v>
      </c>
      <c r="AF58" s="104">
        <v>0.0</v>
      </c>
      <c r="AG58" s="104">
        <v>0.0</v>
      </c>
      <c r="AH58" s="104">
        <v>0.0</v>
      </c>
      <c r="AI58" s="164"/>
      <c r="AJ58" s="165"/>
    </row>
    <row r="59" ht="15.75" customHeight="1">
      <c r="A59" s="11" t="s">
        <v>57</v>
      </c>
      <c r="B59" s="108">
        <f t="shared" si="30"/>
        <v>0</v>
      </c>
      <c r="C59" s="108">
        <f t="shared" si="11"/>
        <v>0</v>
      </c>
      <c r="D59" s="104">
        <v>0.0</v>
      </c>
      <c r="E59" s="104">
        <v>0.0</v>
      </c>
      <c r="F59" s="104">
        <v>0.0</v>
      </c>
      <c r="G59" s="104">
        <v>0.0</v>
      </c>
      <c r="H59" s="104">
        <v>0.0</v>
      </c>
      <c r="I59" s="104">
        <v>0.0</v>
      </c>
      <c r="J59" s="104">
        <v>0.0</v>
      </c>
      <c r="K59" s="104">
        <v>0.0</v>
      </c>
      <c r="L59" s="104">
        <v>0.0</v>
      </c>
      <c r="M59" s="104">
        <v>0.0</v>
      </c>
      <c r="N59" s="104">
        <v>0.0</v>
      </c>
      <c r="O59" s="104">
        <v>0.0</v>
      </c>
      <c r="P59" s="104">
        <v>0.0</v>
      </c>
      <c r="Q59" s="104">
        <v>0.0</v>
      </c>
      <c r="R59" s="104">
        <v>0.0</v>
      </c>
      <c r="S59" s="104">
        <v>0.0</v>
      </c>
      <c r="T59" s="104">
        <v>0.0</v>
      </c>
      <c r="U59" s="104">
        <v>0.0</v>
      </c>
      <c r="V59" s="104">
        <v>0.0</v>
      </c>
      <c r="W59" s="104">
        <v>0.0</v>
      </c>
      <c r="X59" s="104">
        <v>0.0</v>
      </c>
      <c r="Y59" s="104">
        <v>0.0</v>
      </c>
      <c r="Z59" s="104">
        <v>0.0</v>
      </c>
      <c r="AA59" s="104">
        <v>0.0</v>
      </c>
      <c r="AB59" s="104">
        <v>0.0</v>
      </c>
      <c r="AC59" s="104">
        <v>0.0</v>
      </c>
      <c r="AD59" s="104">
        <v>0.0</v>
      </c>
      <c r="AE59" s="104">
        <v>0.0</v>
      </c>
      <c r="AF59" s="104">
        <v>0.0</v>
      </c>
      <c r="AG59" s="104">
        <v>0.0</v>
      </c>
      <c r="AH59" s="104">
        <v>0.0</v>
      </c>
      <c r="AI59" s="164"/>
      <c r="AJ59" s="165"/>
    </row>
    <row r="60" ht="15.75" customHeight="1">
      <c r="A60" s="11" t="s">
        <v>58</v>
      </c>
      <c r="B60" s="108">
        <f t="shared" si="30"/>
        <v>0</v>
      </c>
      <c r="C60" s="108">
        <f t="shared" si="11"/>
        <v>0</v>
      </c>
      <c r="D60" s="104">
        <v>0.0</v>
      </c>
      <c r="E60" s="104">
        <v>0.0</v>
      </c>
      <c r="F60" s="104">
        <v>0.0</v>
      </c>
      <c r="G60" s="104">
        <v>0.0</v>
      </c>
      <c r="H60" s="104">
        <v>0.0</v>
      </c>
      <c r="I60" s="104">
        <v>0.0</v>
      </c>
      <c r="J60" s="104">
        <v>0.0</v>
      </c>
      <c r="K60" s="104">
        <v>0.0</v>
      </c>
      <c r="L60" s="104">
        <v>0.0</v>
      </c>
      <c r="M60" s="104">
        <v>0.0</v>
      </c>
      <c r="N60" s="104">
        <v>0.0</v>
      </c>
      <c r="O60" s="104">
        <v>0.0</v>
      </c>
      <c r="P60" s="104">
        <v>0.0</v>
      </c>
      <c r="Q60" s="104">
        <v>0.0</v>
      </c>
      <c r="R60" s="104">
        <v>0.0</v>
      </c>
      <c r="S60" s="104">
        <v>0.0</v>
      </c>
      <c r="T60" s="104">
        <v>0.0</v>
      </c>
      <c r="U60" s="104">
        <v>0.0</v>
      </c>
      <c r="V60" s="104">
        <v>0.0</v>
      </c>
      <c r="W60" s="104">
        <v>0.0</v>
      </c>
      <c r="X60" s="104">
        <v>0.0</v>
      </c>
      <c r="Y60" s="104">
        <v>0.0</v>
      </c>
      <c r="Z60" s="104">
        <v>0.0</v>
      </c>
      <c r="AA60" s="104">
        <v>0.0</v>
      </c>
      <c r="AB60" s="104">
        <v>0.0</v>
      </c>
      <c r="AC60" s="104">
        <v>0.0</v>
      </c>
      <c r="AD60" s="104">
        <v>0.0</v>
      </c>
      <c r="AE60" s="104">
        <v>0.0</v>
      </c>
      <c r="AF60" s="104">
        <v>0.0</v>
      </c>
      <c r="AG60" s="104">
        <v>0.0</v>
      </c>
      <c r="AH60" s="104">
        <v>0.0</v>
      </c>
      <c r="AI60" s="164"/>
      <c r="AJ60" s="165"/>
    </row>
    <row r="61" ht="15.75" customHeight="1">
      <c r="A61" s="11" t="s">
        <v>59</v>
      </c>
      <c r="B61" s="108">
        <f t="shared" si="30"/>
        <v>10510123.05</v>
      </c>
      <c r="C61" s="108">
        <f t="shared" si="11"/>
        <v>420404.922</v>
      </c>
      <c r="D61" s="104">
        <f t="shared" ref="D61:AH61" si="31">D109</f>
        <v>885388.93</v>
      </c>
      <c r="E61" s="104">
        <f t="shared" si="31"/>
        <v>0</v>
      </c>
      <c r="F61" s="104">
        <f t="shared" si="31"/>
        <v>0</v>
      </c>
      <c r="G61" s="104">
        <f t="shared" si="31"/>
        <v>0</v>
      </c>
      <c r="H61" s="104">
        <f t="shared" si="31"/>
        <v>0</v>
      </c>
      <c r="I61" s="104">
        <f t="shared" si="31"/>
        <v>0</v>
      </c>
      <c r="J61" s="104">
        <f t="shared" si="31"/>
        <v>0</v>
      </c>
      <c r="K61" s="104">
        <f t="shared" si="31"/>
        <v>0</v>
      </c>
      <c r="L61" s="104">
        <f t="shared" si="31"/>
        <v>0</v>
      </c>
      <c r="M61" s="104">
        <f t="shared" si="31"/>
        <v>0</v>
      </c>
      <c r="N61" s="104">
        <f t="shared" si="31"/>
        <v>0</v>
      </c>
      <c r="O61" s="104">
        <f t="shared" si="31"/>
        <v>30000</v>
      </c>
      <c r="P61" s="104">
        <f t="shared" si="31"/>
        <v>1585582</v>
      </c>
      <c r="Q61" s="104">
        <f t="shared" si="31"/>
        <v>0</v>
      </c>
      <c r="R61" s="104">
        <f t="shared" si="31"/>
        <v>4211547.12</v>
      </c>
      <c r="S61" s="104">
        <f t="shared" si="31"/>
        <v>3767605</v>
      </c>
      <c r="T61" s="104">
        <f t="shared" si="31"/>
        <v>0</v>
      </c>
      <c r="U61" s="104">
        <f t="shared" si="31"/>
        <v>0</v>
      </c>
      <c r="V61" s="104">
        <f t="shared" si="31"/>
        <v>0</v>
      </c>
      <c r="W61" s="104">
        <f t="shared" si="31"/>
        <v>0</v>
      </c>
      <c r="X61" s="104">
        <f t="shared" si="31"/>
        <v>0</v>
      </c>
      <c r="Y61" s="104">
        <f t="shared" si="31"/>
        <v>30000</v>
      </c>
      <c r="Z61" s="104">
        <f t="shared" si="31"/>
        <v>0</v>
      </c>
      <c r="AA61" s="104">
        <f t="shared" si="31"/>
        <v>0</v>
      </c>
      <c r="AB61" s="104">
        <f t="shared" si="31"/>
        <v>0</v>
      </c>
      <c r="AC61" s="104" t="str">
        <f t="shared" si="31"/>
        <v/>
      </c>
      <c r="AD61" s="104" t="str">
        <f t="shared" si="31"/>
        <v/>
      </c>
      <c r="AE61" s="104" t="str">
        <f t="shared" si="31"/>
        <v/>
      </c>
      <c r="AF61" s="104" t="str">
        <f t="shared" si="31"/>
        <v/>
      </c>
      <c r="AG61" s="104" t="str">
        <f t="shared" si="31"/>
        <v/>
      </c>
      <c r="AH61" s="104" t="str">
        <f t="shared" si="31"/>
        <v/>
      </c>
      <c r="AI61" s="164"/>
      <c r="AJ61" s="165"/>
    </row>
    <row r="62" ht="15.75" customHeight="1">
      <c r="A62" s="11" t="s">
        <v>60</v>
      </c>
      <c r="B62" s="108">
        <f t="shared" si="30"/>
        <v>0</v>
      </c>
      <c r="C62" s="108">
        <f t="shared" si="11"/>
        <v>0</v>
      </c>
      <c r="D62" s="104">
        <v>0.0</v>
      </c>
      <c r="E62" s="104">
        <v>0.0</v>
      </c>
      <c r="F62" s="104">
        <v>0.0</v>
      </c>
      <c r="G62" s="104">
        <v>0.0</v>
      </c>
      <c r="H62" s="104">
        <v>0.0</v>
      </c>
      <c r="I62" s="104">
        <v>0.0</v>
      </c>
      <c r="J62" s="104">
        <v>0.0</v>
      </c>
      <c r="K62" s="104">
        <v>0.0</v>
      </c>
      <c r="L62" s="104">
        <v>0.0</v>
      </c>
      <c r="M62" s="104">
        <v>0.0</v>
      </c>
      <c r="N62" s="104">
        <v>0.0</v>
      </c>
      <c r="O62" s="104">
        <v>0.0</v>
      </c>
      <c r="P62" s="104">
        <v>0.0</v>
      </c>
      <c r="Q62" s="104">
        <v>0.0</v>
      </c>
      <c r="R62" s="104">
        <v>0.0</v>
      </c>
      <c r="S62" s="104">
        <v>0.0</v>
      </c>
      <c r="T62" s="104">
        <v>0.0</v>
      </c>
      <c r="U62" s="104">
        <v>0.0</v>
      </c>
      <c r="V62" s="104">
        <v>0.0</v>
      </c>
      <c r="W62" s="104">
        <v>0.0</v>
      </c>
      <c r="X62" s="104">
        <v>0.0</v>
      </c>
      <c r="Y62" s="104">
        <v>0.0</v>
      </c>
      <c r="Z62" s="104">
        <v>0.0</v>
      </c>
      <c r="AA62" s="104">
        <v>0.0</v>
      </c>
      <c r="AB62" s="104">
        <v>0.0</v>
      </c>
      <c r="AC62" s="104">
        <v>0.0</v>
      </c>
      <c r="AD62" s="104">
        <v>0.0</v>
      </c>
      <c r="AE62" s="104">
        <v>0.0</v>
      </c>
      <c r="AF62" s="104">
        <v>0.0</v>
      </c>
      <c r="AG62" s="104">
        <v>0.0</v>
      </c>
      <c r="AH62" s="104">
        <v>0.0</v>
      </c>
      <c r="AI62" s="164"/>
      <c r="AJ62" s="165"/>
    </row>
    <row r="63" ht="15.75" customHeight="1">
      <c r="A63" s="60" t="s">
        <v>61</v>
      </c>
      <c r="B63" s="108">
        <f>B62+B61+B60+B58+B59</f>
        <v>10510123.05</v>
      </c>
      <c r="C63" s="108">
        <f t="shared" si="11"/>
        <v>339036.2274</v>
      </c>
      <c r="D63" s="11">
        <f t="shared" ref="D63:AH63" si="32">D62+D61+D60+D59</f>
        <v>885388.93</v>
      </c>
      <c r="E63" s="11">
        <f t="shared" si="32"/>
        <v>0</v>
      </c>
      <c r="F63" s="11">
        <f t="shared" si="32"/>
        <v>0</v>
      </c>
      <c r="G63" s="11">
        <f t="shared" si="32"/>
        <v>0</v>
      </c>
      <c r="H63" s="11">
        <f t="shared" si="32"/>
        <v>0</v>
      </c>
      <c r="I63" s="11">
        <f t="shared" si="32"/>
        <v>0</v>
      </c>
      <c r="J63" s="11">
        <f t="shared" si="32"/>
        <v>0</v>
      </c>
      <c r="K63" s="11">
        <f t="shared" si="32"/>
        <v>0</v>
      </c>
      <c r="L63" s="11">
        <f t="shared" si="32"/>
        <v>0</v>
      </c>
      <c r="M63" s="11">
        <f t="shared" si="32"/>
        <v>0</v>
      </c>
      <c r="N63" s="11">
        <f t="shared" si="32"/>
        <v>0</v>
      </c>
      <c r="O63" s="11">
        <f t="shared" si="32"/>
        <v>30000</v>
      </c>
      <c r="P63" s="11">
        <f t="shared" si="32"/>
        <v>1585582</v>
      </c>
      <c r="Q63" s="11">
        <f t="shared" si="32"/>
        <v>0</v>
      </c>
      <c r="R63" s="11">
        <f t="shared" si="32"/>
        <v>4211547.12</v>
      </c>
      <c r="S63" s="11">
        <f t="shared" si="32"/>
        <v>3767605</v>
      </c>
      <c r="T63" s="11">
        <f t="shared" si="32"/>
        <v>0</v>
      </c>
      <c r="U63" s="11">
        <f t="shared" si="32"/>
        <v>0</v>
      </c>
      <c r="V63" s="11">
        <f t="shared" si="32"/>
        <v>0</v>
      </c>
      <c r="W63" s="11">
        <f t="shared" si="32"/>
        <v>0</v>
      </c>
      <c r="X63" s="11">
        <f t="shared" si="32"/>
        <v>0</v>
      </c>
      <c r="Y63" s="11">
        <f t="shared" si="32"/>
        <v>30000</v>
      </c>
      <c r="Z63" s="11">
        <f t="shared" si="32"/>
        <v>0</v>
      </c>
      <c r="AA63" s="11">
        <f t="shared" si="32"/>
        <v>0</v>
      </c>
      <c r="AB63" s="11">
        <f t="shared" si="32"/>
        <v>0</v>
      </c>
      <c r="AC63" s="11">
        <f t="shared" si="32"/>
        <v>0</v>
      </c>
      <c r="AD63" s="11">
        <f t="shared" si="32"/>
        <v>0</v>
      </c>
      <c r="AE63" s="11">
        <f t="shared" si="32"/>
        <v>0</v>
      </c>
      <c r="AF63" s="11">
        <f t="shared" si="32"/>
        <v>0</v>
      </c>
      <c r="AG63" s="11">
        <f t="shared" si="32"/>
        <v>0</v>
      </c>
      <c r="AH63" s="11">
        <f t="shared" si="32"/>
        <v>0</v>
      </c>
      <c r="AI63" s="150"/>
      <c r="AJ63" s="151"/>
    </row>
    <row r="64" ht="15.75" customHeight="1">
      <c r="A64" s="60" t="s">
        <v>62</v>
      </c>
      <c r="B64" s="108">
        <f t="shared" ref="B64:B65" si="34">SUM(D64:AH64)</f>
        <v>36048613.71</v>
      </c>
      <c r="C64" s="108">
        <f t="shared" si="11"/>
        <v>1162858.507</v>
      </c>
      <c r="D64" s="11">
        <f t="shared" ref="D64:AH64" si="33">D45-(D51+D52+D53+D54+D55+D56+D57+D58+D60+D61+D62)</f>
        <v>-1210711.93</v>
      </c>
      <c r="E64" s="11">
        <f t="shared" si="33"/>
        <v>-1308168</v>
      </c>
      <c r="F64" s="11">
        <f t="shared" si="33"/>
        <v>-738439</v>
      </c>
      <c r="G64" s="11">
        <f t="shared" si="33"/>
        <v>1129424</v>
      </c>
      <c r="H64" s="11">
        <f t="shared" si="33"/>
        <v>497957.75</v>
      </c>
      <c r="I64" s="11">
        <f t="shared" si="33"/>
        <v>4591680</v>
      </c>
      <c r="J64" s="11">
        <f t="shared" si="33"/>
        <v>-28456</v>
      </c>
      <c r="K64" s="11">
        <f t="shared" si="33"/>
        <v>285577</v>
      </c>
      <c r="L64" s="11">
        <f t="shared" si="33"/>
        <v>5808997</v>
      </c>
      <c r="M64" s="11">
        <f t="shared" si="33"/>
        <v>1559709</v>
      </c>
      <c r="N64" s="11">
        <f t="shared" si="33"/>
        <v>1649238</v>
      </c>
      <c r="O64" s="11">
        <f t="shared" si="33"/>
        <v>14364</v>
      </c>
      <c r="P64" s="11">
        <f t="shared" si="33"/>
        <v>2907404</v>
      </c>
      <c r="Q64" s="11">
        <f t="shared" si="33"/>
        <v>2907875</v>
      </c>
      <c r="R64" s="11">
        <f t="shared" si="33"/>
        <v>-3737733.12</v>
      </c>
      <c r="S64" s="11">
        <f t="shared" si="33"/>
        <v>-3263314</v>
      </c>
      <c r="T64" s="11">
        <f t="shared" si="33"/>
        <v>490291</v>
      </c>
      <c r="U64" s="11">
        <f t="shared" si="33"/>
        <v>1075830</v>
      </c>
      <c r="V64" s="11">
        <f t="shared" si="33"/>
        <v>-883521</v>
      </c>
      <c r="W64" s="11">
        <f t="shared" si="33"/>
        <v>4234580</v>
      </c>
      <c r="X64" s="11">
        <f t="shared" si="33"/>
        <v>5050725</v>
      </c>
      <c r="Y64" s="11">
        <f t="shared" si="33"/>
        <v>1014336</v>
      </c>
      <c r="Z64" s="11">
        <f t="shared" si="33"/>
        <v>-11558621.99</v>
      </c>
      <c r="AA64" s="11">
        <f t="shared" si="33"/>
        <v>8098648</v>
      </c>
      <c r="AB64" s="11">
        <f t="shared" si="33"/>
        <v>1330021</v>
      </c>
      <c r="AC64" s="11">
        <f t="shared" si="33"/>
        <v>6759366</v>
      </c>
      <c r="AD64" s="11">
        <f t="shared" si="33"/>
        <v>5876781</v>
      </c>
      <c r="AE64" s="11">
        <f t="shared" si="33"/>
        <v>3494775</v>
      </c>
      <c r="AF64" s="11">
        <f t="shared" si="33"/>
        <v>0</v>
      </c>
      <c r="AG64" s="11">
        <f t="shared" si="33"/>
        <v>0</v>
      </c>
      <c r="AH64" s="11">
        <f t="shared" si="33"/>
        <v>0</v>
      </c>
      <c r="AI64" s="150"/>
      <c r="AJ64" s="151"/>
    </row>
    <row r="65" ht="15.75" customHeight="1">
      <c r="A65" s="65" t="s">
        <v>46</v>
      </c>
      <c r="B65" s="108">
        <f t="shared" si="34"/>
        <v>35960772.95</v>
      </c>
      <c r="C65" s="108">
        <f t="shared" si="11"/>
        <v>1160024.934</v>
      </c>
      <c r="D65" s="11">
        <f t="shared" ref="D65:AH65" si="35">D48-D63</f>
        <v>-2008240.93</v>
      </c>
      <c r="E65" s="11">
        <f t="shared" si="35"/>
        <v>-321240</v>
      </c>
      <c r="F65" s="11">
        <f t="shared" si="35"/>
        <v>722032</v>
      </c>
      <c r="G65" s="11">
        <f t="shared" si="35"/>
        <v>-589818</v>
      </c>
      <c r="H65" s="11">
        <f t="shared" si="35"/>
        <v>3250006</v>
      </c>
      <c r="I65" s="11">
        <f t="shared" si="35"/>
        <v>2286074</v>
      </c>
      <c r="J65" s="11">
        <f t="shared" si="35"/>
        <v>2487326</v>
      </c>
      <c r="K65" s="11">
        <f t="shared" si="35"/>
        <v>1774949</v>
      </c>
      <c r="L65" s="11">
        <f t="shared" si="35"/>
        <v>2004959</v>
      </c>
      <c r="M65" s="11">
        <f t="shared" si="35"/>
        <v>940638</v>
      </c>
      <c r="N65" s="11">
        <f t="shared" si="35"/>
        <v>1593582</v>
      </c>
      <c r="O65" s="11">
        <f t="shared" si="35"/>
        <v>1462110</v>
      </c>
      <c r="P65" s="11">
        <f t="shared" si="35"/>
        <v>1479582</v>
      </c>
      <c r="Q65" s="11">
        <f t="shared" si="35"/>
        <v>2453346</v>
      </c>
      <c r="R65" s="11">
        <f t="shared" si="35"/>
        <v>-3164306.12</v>
      </c>
      <c r="S65" s="11">
        <f t="shared" si="35"/>
        <v>-2794434</v>
      </c>
      <c r="T65" s="11">
        <f t="shared" si="35"/>
        <v>1287495</v>
      </c>
      <c r="U65" s="11">
        <f t="shared" si="35"/>
        <v>-77448</v>
      </c>
      <c r="V65" s="11">
        <f t="shared" si="35"/>
        <v>2376048</v>
      </c>
      <c r="W65" s="11">
        <f t="shared" si="35"/>
        <v>2105757</v>
      </c>
      <c r="X65" s="11">
        <f t="shared" si="35"/>
        <v>3182330</v>
      </c>
      <c r="Y65" s="11">
        <f t="shared" si="35"/>
        <v>1721018</v>
      </c>
      <c r="Z65" s="11">
        <f t="shared" si="35"/>
        <v>2628217</v>
      </c>
      <c r="AA65" s="11">
        <f t="shared" si="35"/>
        <v>3532524</v>
      </c>
      <c r="AB65" s="11">
        <f t="shared" si="35"/>
        <v>494824</v>
      </c>
      <c r="AC65" s="11">
        <f t="shared" si="35"/>
        <v>3981511</v>
      </c>
      <c r="AD65" s="11">
        <f t="shared" si="35"/>
        <v>2520914</v>
      </c>
      <c r="AE65" s="11">
        <f t="shared" si="35"/>
        <v>631018</v>
      </c>
      <c r="AF65" s="11">
        <f t="shared" si="35"/>
        <v>0</v>
      </c>
      <c r="AG65" s="11">
        <f t="shared" si="35"/>
        <v>0</v>
      </c>
      <c r="AH65" s="11">
        <f t="shared" si="35"/>
        <v>0</v>
      </c>
      <c r="AI65" s="150"/>
      <c r="AJ65" s="151"/>
    </row>
    <row r="66" ht="15.75" customHeight="1">
      <c r="A66" s="172" t="s">
        <v>64</v>
      </c>
      <c r="B66" s="173"/>
      <c r="C66" s="174"/>
      <c r="D66" s="172"/>
      <c r="E66" s="172"/>
      <c r="F66" s="172"/>
      <c r="G66" s="172"/>
      <c r="H66" s="172"/>
      <c r="I66" s="172"/>
      <c r="J66" s="172"/>
      <c r="K66" s="175" t="s">
        <v>296</v>
      </c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0"/>
      <c r="AI66" s="177"/>
      <c r="AJ66" s="178"/>
    </row>
    <row r="67" ht="15.75" customHeight="1">
      <c r="A67" s="65" t="s">
        <v>65</v>
      </c>
      <c r="B67" s="92"/>
      <c r="C67" s="92"/>
      <c r="D67" s="60"/>
      <c r="E67" s="60"/>
      <c r="F67" s="60"/>
      <c r="G67" s="60"/>
      <c r="H67" s="60"/>
      <c r="I67" s="60"/>
      <c r="J67" s="60"/>
      <c r="K67" s="221" t="s">
        <v>297</v>
      </c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0"/>
      <c r="AI67" s="180"/>
      <c r="AJ67" s="181"/>
    </row>
    <row r="68" ht="15.75" customHeight="1">
      <c r="A68" s="172" t="s">
        <v>64</v>
      </c>
      <c r="B68" s="92"/>
      <c r="C68" s="92"/>
      <c r="D68" s="175" t="s">
        <v>275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10"/>
      <c r="AI68" s="180"/>
      <c r="AJ68" s="181"/>
    </row>
    <row r="69" ht="15.75" customHeight="1">
      <c r="A69" s="65" t="s">
        <v>65</v>
      </c>
      <c r="B69" s="92"/>
      <c r="C69" s="92"/>
      <c r="D69" s="179" t="s">
        <v>276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0"/>
      <c r="AI69" s="180"/>
      <c r="AJ69" s="181"/>
    </row>
    <row r="70" ht="15.75" customHeight="1">
      <c r="A70" s="172" t="s">
        <v>64</v>
      </c>
      <c r="B70" s="92"/>
      <c r="C70" s="92"/>
      <c r="D70" s="183" t="s">
        <v>277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0"/>
      <c r="AI70" s="177"/>
      <c r="AJ70" s="178"/>
    </row>
    <row r="71" ht="15.75" customHeight="1">
      <c r="A71" s="65" t="s">
        <v>65</v>
      </c>
      <c r="B71" s="92"/>
      <c r="C71" s="92"/>
      <c r="D71" s="179" t="s">
        <v>278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0"/>
      <c r="AI71" s="180"/>
      <c r="AJ71" s="181"/>
    </row>
    <row r="72" ht="15.75" customHeight="1">
      <c r="A72" s="172" t="s">
        <v>64</v>
      </c>
      <c r="B72" s="92"/>
      <c r="C72" s="92"/>
      <c r="D72" s="175" t="s">
        <v>281</v>
      </c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0"/>
      <c r="AI72" s="177"/>
      <c r="AJ72" s="178"/>
    </row>
    <row r="73" ht="15.75" customHeight="1">
      <c r="A73" s="65" t="s">
        <v>65</v>
      </c>
      <c r="B73" s="92"/>
      <c r="C73" s="92"/>
      <c r="D73" s="179" t="s">
        <v>282</v>
      </c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0"/>
      <c r="AI73" s="180"/>
      <c r="AJ73" s="181"/>
    </row>
    <row r="74" ht="15.75" customHeight="1">
      <c r="A74" s="172" t="s">
        <v>64</v>
      </c>
      <c r="B74" s="92"/>
      <c r="C74" s="92"/>
      <c r="D74" s="60"/>
      <c r="E74" s="60"/>
      <c r="F74" s="60"/>
      <c r="G74" s="60"/>
      <c r="H74" s="60"/>
      <c r="I74" s="60"/>
      <c r="J74" s="60"/>
      <c r="K74" s="60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75" t="s">
        <v>298</v>
      </c>
      <c r="AA74" s="176"/>
      <c r="AB74" s="176"/>
      <c r="AC74" s="176"/>
      <c r="AD74" s="176"/>
      <c r="AE74" s="176"/>
      <c r="AF74" s="176"/>
      <c r="AG74" s="176"/>
      <c r="AH74" s="10"/>
      <c r="AI74" s="180"/>
      <c r="AJ74" s="181"/>
    </row>
    <row r="75" ht="15.75" customHeight="1">
      <c r="A75" s="65" t="s">
        <v>65</v>
      </c>
      <c r="B75" s="92"/>
      <c r="C75" s="92"/>
      <c r="D75" s="60"/>
      <c r="E75" s="60"/>
      <c r="F75" s="60"/>
      <c r="G75" s="60"/>
      <c r="H75" s="60"/>
      <c r="I75" s="60"/>
      <c r="J75" s="60"/>
      <c r="K75" s="60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79" t="s">
        <v>276</v>
      </c>
      <c r="AA75" s="176"/>
      <c r="AB75" s="176"/>
      <c r="AC75" s="176"/>
      <c r="AD75" s="176"/>
      <c r="AE75" s="176"/>
      <c r="AF75" s="176"/>
      <c r="AG75" s="176"/>
      <c r="AH75" s="10"/>
      <c r="AI75" s="180"/>
      <c r="AJ75" s="181"/>
    </row>
    <row r="76" ht="15.75" customHeight="1">
      <c r="A76" s="65"/>
      <c r="B76" s="92"/>
      <c r="C76" s="92"/>
      <c r="D76" s="60"/>
      <c r="E76" s="60"/>
      <c r="F76" s="60"/>
      <c r="G76" s="60"/>
      <c r="H76" s="60"/>
      <c r="I76" s="60"/>
      <c r="J76" s="60"/>
      <c r="K76" s="60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4"/>
      <c r="AD76" s="182"/>
      <c r="AE76" s="182"/>
      <c r="AF76" s="182"/>
      <c r="AG76" s="182"/>
      <c r="AH76" s="179"/>
      <c r="AI76" s="180"/>
      <c r="AJ76" s="181"/>
    </row>
    <row r="77" ht="15.75" customHeight="1">
      <c r="A77" s="65"/>
      <c r="B77" s="92"/>
      <c r="C77" s="92"/>
      <c r="D77" s="60"/>
      <c r="E77" s="60"/>
      <c r="F77" s="60"/>
      <c r="G77" s="60"/>
      <c r="H77" s="60"/>
      <c r="I77" s="60"/>
      <c r="J77" s="60"/>
      <c r="K77" s="60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4"/>
      <c r="AD77" s="182"/>
      <c r="AE77" s="182"/>
      <c r="AF77" s="182"/>
      <c r="AG77" s="182"/>
      <c r="AH77" s="179"/>
      <c r="AI77" s="180"/>
      <c r="AJ77" s="181"/>
    </row>
    <row r="78" ht="15.75" customHeight="1">
      <c r="A78" s="65"/>
      <c r="B78" s="92"/>
      <c r="C78" s="92"/>
      <c r="D78" s="60"/>
      <c r="E78" s="60"/>
      <c r="F78" s="60"/>
      <c r="G78" s="60"/>
      <c r="H78" s="60"/>
      <c r="I78" s="60"/>
      <c r="J78" s="60"/>
      <c r="K78" s="60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4"/>
      <c r="AD78" s="182"/>
      <c r="AE78" s="182"/>
      <c r="AF78" s="182"/>
      <c r="AG78" s="182"/>
      <c r="AH78" s="179"/>
      <c r="AI78" s="180"/>
      <c r="AJ78" s="181"/>
    </row>
    <row r="79" ht="15.75" customHeight="1">
      <c r="A79" s="104" t="s">
        <v>283</v>
      </c>
      <c r="B79" s="108"/>
      <c r="C79" s="108"/>
      <c r="D79" s="11"/>
      <c r="E79" s="11"/>
      <c r="F79" s="11"/>
      <c r="G79" s="11"/>
      <c r="H79" s="11"/>
      <c r="I79" s="11"/>
      <c r="J79" s="11"/>
      <c r="K79" s="11"/>
      <c r="L79" s="222"/>
      <c r="M79" s="222"/>
      <c r="N79" s="222"/>
      <c r="O79" s="222"/>
      <c r="P79" s="222"/>
      <c r="Q79" s="222">
        <v>100000.0</v>
      </c>
      <c r="R79" s="222">
        <v>200000.0</v>
      </c>
      <c r="S79" s="222">
        <v>100000.0</v>
      </c>
      <c r="T79" s="222"/>
      <c r="U79" s="222"/>
      <c r="V79" s="222"/>
      <c r="W79" s="222"/>
      <c r="X79" s="222"/>
      <c r="Y79" s="222"/>
      <c r="Z79" s="222">
        <v>100000.0</v>
      </c>
      <c r="AA79" s="222"/>
      <c r="AB79" s="222"/>
      <c r="AC79" s="198"/>
      <c r="AD79" s="222"/>
      <c r="AE79" s="222"/>
      <c r="AF79" s="222"/>
      <c r="AG79" s="222"/>
      <c r="AH79" s="223"/>
      <c r="AI79" s="224"/>
      <c r="AJ79" s="225"/>
    </row>
    <row r="80" ht="15.75" customHeight="1">
      <c r="A80" s="56" t="s">
        <v>66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144"/>
      <c r="AI80" s="145"/>
      <c r="AJ80" s="146"/>
    </row>
    <row r="81" ht="15.75" customHeight="1">
      <c r="A81" s="60" t="s">
        <v>67</v>
      </c>
      <c r="B81" s="108">
        <f t="shared" ref="B81:B82" si="37">SUM(D81:AH81)</f>
        <v>211616.5924</v>
      </c>
      <c r="C81" s="108">
        <f t="shared" ref="C81:C88" si="38">AVERAGE(D81:AH81)</f>
        <v>7557.735444</v>
      </c>
      <c r="D81" s="11">
        <f t="shared" ref="D81:AE81" si="36">D64/D4</f>
        <v>-6208.779128</v>
      </c>
      <c r="E81" s="11">
        <f t="shared" si="36"/>
        <v>-9277.787234</v>
      </c>
      <c r="F81" s="11">
        <f t="shared" si="36"/>
        <v>-3584.65534</v>
      </c>
      <c r="G81" s="11">
        <f t="shared" si="36"/>
        <v>7103.295597</v>
      </c>
      <c r="H81" s="11">
        <f t="shared" si="36"/>
        <v>3131.809748</v>
      </c>
      <c r="I81" s="11">
        <f t="shared" si="36"/>
        <v>16516.83453</v>
      </c>
      <c r="J81" s="11">
        <f t="shared" si="36"/>
        <v>-108.1977186</v>
      </c>
      <c r="K81" s="11">
        <f t="shared" si="36"/>
        <v>1304.004566</v>
      </c>
      <c r="L81" s="11">
        <f t="shared" si="36"/>
        <v>84188.36232</v>
      </c>
      <c r="M81" s="11">
        <f t="shared" si="36"/>
        <v>9068.075581</v>
      </c>
      <c r="N81" s="11">
        <f t="shared" si="36"/>
        <v>16492.38</v>
      </c>
      <c r="O81" s="11">
        <f t="shared" si="36"/>
        <v>37.60209424</v>
      </c>
      <c r="P81" s="11">
        <f t="shared" si="36"/>
        <v>12014.06612</v>
      </c>
      <c r="Q81" s="11">
        <f t="shared" si="36"/>
        <v>23263</v>
      </c>
      <c r="R81" s="11">
        <f t="shared" si="36"/>
        <v>-11292.24508</v>
      </c>
      <c r="S81" s="11">
        <f t="shared" si="36"/>
        <v>-31682.66019</v>
      </c>
      <c r="T81" s="11">
        <f t="shared" si="36"/>
        <v>4300.798246</v>
      </c>
      <c r="U81" s="11">
        <f t="shared" si="36"/>
        <v>8746.585366</v>
      </c>
      <c r="V81" s="11">
        <f t="shared" si="36"/>
        <v>-3808.280172</v>
      </c>
      <c r="W81" s="11">
        <f t="shared" si="36"/>
        <v>22889.62162</v>
      </c>
      <c r="X81" s="11">
        <f t="shared" si="36"/>
        <v>47203.03738</v>
      </c>
      <c r="Y81" s="11">
        <f t="shared" si="36"/>
        <v>3230.369427</v>
      </c>
      <c r="Z81" s="11">
        <f t="shared" si="36"/>
        <v>-79168.64377</v>
      </c>
      <c r="AA81" s="11">
        <f t="shared" si="36"/>
        <v>33191.18033</v>
      </c>
      <c r="AB81" s="11">
        <f t="shared" si="36"/>
        <v>6363.736842</v>
      </c>
      <c r="AC81" s="11">
        <f t="shared" si="36"/>
        <v>25507.04151</v>
      </c>
      <c r="AD81" s="11">
        <f t="shared" si="36"/>
        <v>21605.8125</v>
      </c>
      <c r="AE81" s="11">
        <f t="shared" si="36"/>
        <v>10590.22727</v>
      </c>
      <c r="AF81" s="60"/>
      <c r="AG81" s="60"/>
      <c r="AH81" s="60"/>
      <c r="AI81" s="150"/>
      <c r="AJ81" s="151"/>
    </row>
    <row r="82" ht="15.75" customHeight="1">
      <c r="A82" s="60" t="s">
        <v>68</v>
      </c>
      <c r="B82" s="108">
        <f t="shared" si="37"/>
        <v>212959.7473</v>
      </c>
      <c r="C82" s="108">
        <f t="shared" si="38"/>
        <v>7605.705262</v>
      </c>
      <c r="D82" s="11">
        <f t="shared" ref="D82:AE82" si="39">D64/D25</f>
        <v>-7427.680552</v>
      </c>
      <c r="E82" s="11">
        <f t="shared" si="39"/>
        <v>-10300.53543</v>
      </c>
      <c r="F82" s="11">
        <f t="shared" si="39"/>
        <v>-6003.569106</v>
      </c>
      <c r="G82" s="11">
        <f t="shared" si="39"/>
        <v>9571.389831</v>
      </c>
      <c r="H82" s="11">
        <f t="shared" si="39"/>
        <v>2946.495562</v>
      </c>
      <c r="I82" s="11">
        <f t="shared" si="39"/>
        <v>30010.98039</v>
      </c>
      <c r="J82" s="11">
        <f t="shared" si="39"/>
        <v>-196.2482759</v>
      </c>
      <c r="K82" s="11">
        <f t="shared" si="39"/>
        <v>2196.746154</v>
      </c>
      <c r="L82" s="11">
        <f t="shared" si="39"/>
        <v>36765.8038</v>
      </c>
      <c r="M82" s="11">
        <f t="shared" si="39"/>
        <v>9568.766871</v>
      </c>
      <c r="N82" s="11">
        <f t="shared" si="39"/>
        <v>11453.04167</v>
      </c>
      <c r="O82" s="11">
        <f t="shared" si="39"/>
        <v>99.06206897</v>
      </c>
      <c r="P82" s="11">
        <f t="shared" si="39"/>
        <v>15142.72917</v>
      </c>
      <c r="Q82" s="11">
        <f t="shared" si="39"/>
        <v>17623.48485</v>
      </c>
      <c r="R82" s="11">
        <f t="shared" si="39"/>
        <v>-19266.66557</v>
      </c>
      <c r="S82" s="11">
        <f t="shared" si="39"/>
        <v>-21190.35065</v>
      </c>
      <c r="T82" s="11">
        <f t="shared" si="39"/>
        <v>2989.579268</v>
      </c>
      <c r="U82" s="11">
        <f t="shared" si="39"/>
        <v>7471.041667</v>
      </c>
      <c r="V82" s="11">
        <f t="shared" si="39"/>
        <v>-6051.513699</v>
      </c>
      <c r="W82" s="11">
        <f t="shared" si="39"/>
        <v>22524.3617</v>
      </c>
      <c r="X82" s="11">
        <f t="shared" si="39"/>
        <v>29885.94675</v>
      </c>
      <c r="Y82" s="11">
        <f t="shared" si="39"/>
        <v>5829.517241</v>
      </c>
      <c r="Z82" s="11">
        <f t="shared" si="39"/>
        <v>-60834.85258</v>
      </c>
      <c r="AA82" s="11">
        <f t="shared" si="39"/>
        <v>44498.06593</v>
      </c>
      <c r="AB82" s="11">
        <f t="shared" si="39"/>
        <v>7916.791667</v>
      </c>
      <c r="AC82" s="11">
        <f t="shared" si="39"/>
        <v>39298.63953</v>
      </c>
      <c r="AD82" s="11">
        <f t="shared" si="39"/>
        <v>30608.23438</v>
      </c>
      <c r="AE82" s="11">
        <f t="shared" si="39"/>
        <v>17830.48469</v>
      </c>
      <c r="AF82" s="60"/>
      <c r="AG82" s="60"/>
      <c r="AH82" s="60"/>
      <c r="AI82" s="150"/>
      <c r="AJ82" s="151"/>
    </row>
    <row r="83" ht="15.75" customHeight="1">
      <c r="A83" s="12" t="s">
        <v>69</v>
      </c>
      <c r="B83" s="68">
        <f t="shared" ref="B83:B88" si="41">C83</f>
        <v>0.05038831881</v>
      </c>
      <c r="C83" s="68">
        <f t="shared" si="38"/>
        <v>0.05038831881</v>
      </c>
      <c r="D83" s="12">
        <f t="shared" ref="D83:AE83" si="40">D18/D4</f>
        <v>0.05641025641</v>
      </c>
      <c r="E83" s="12">
        <f t="shared" si="40"/>
        <v>0.0780141844</v>
      </c>
      <c r="F83" s="12">
        <f t="shared" si="40"/>
        <v>0.06310679612</v>
      </c>
      <c r="G83" s="12">
        <f t="shared" si="40"/>
        <v>0.07547169811</v>
      </c>
      <c r="H83" s="12">
        <f t="shared" si="40"/>
        <v>0.08805031447</v>
      </c>
      <c r="I83" s="12">
        <f t="shared" si="40"/>
        <v>0.04316546763</v>
      </c>
      <c r="J83" s="12">
        <f t="shared" si="40"/>
        <v>0.06844106464</v>
      </c>
      <c r="K83" s="12">
        <f t="shared" si="40"/>
        <v>0.03196347032</v>
      </c>
      <c r="L83" s="12">
        <f t="shared" si="40"/>
        <v>0.08695652174</v>
      </c>
      <c r="M83" s="12">
        <f t="shared" si="40"/>
        <v>0.08720930233</v>
      </c>
      <c r="N83" s="12">
        <f t="shared" si="40"/>
        <v>0.04</v>
      </c>
      <c r="O83" s="12">
        <f t="shared" si="40"/>
        <v>0.01832460733</v>
      </c>
      <c r="P83" s="12">
        <f t="shared" si="40"/>
        <v>0.04958677686</v>
      </c>
      <c r="Q83" s="12">
        <f t="shared" si="40"/>
        <v>0.056</v>
      </c>
      <c r="R83" s="12">
        <f t="shared" si="40"/>
        <v>0.05438066465</v>
      </c>
      <c r="S83" s="12">
        <f t="shared" si="40"/>
        <v>0.02912621359</v>
      </c>
      <c r="T83" s="12">
        <f t="shared" si="40"/>
        <v>0.04385964912</v>
      </c>
      <c r="U83" s="12">
        <f t="shared" si="40"/>
        <v>0.08130081301</v>
      </c>
      <c r="V83" s="12">
        <f t="shared" si="40"/>
        <v>0.04310344828</v>
      </c>
      <c r="W83" s="12">
        <f t="shared" si="40"/>
        <v>0.04324324324</v>
      </c>
      <c r="X83" s="12">
        <f t="shared" si="40"/>
        <v>0.05607476636</v>
      </c>
      <c r="Y83" s="12">
        <f t="shared" si="40"/>
        <v>0.02229299363</v>
      </c>
      <c r="Z83" s="12">
        <f t="shared" si="40"/>
        <v>0.02739726027</v>
      </c>
      <c r="AA83" s="12">
        <f t="shared" si="40"/>
        <v>0.03278688525</v>
      </c>
      <c r="AB83" s="12">
        <f t="shared" si="40"/>
        <v>0.04306220096</v>
      </c>
      <c r="AC83" s="12">
        <f t="shared" si="40"/>
        <v>0.02641509434</v>
      </c>
      <c r="AD83" s="12">
        <f t="shared" si="40"/>
        <v>0.02573529412</v>
      </c>
      <c r="AE83" s="12">
        <f t="shared" si="40"/>
        <v>0.03939393939</v>
      </c>
      <c r="AF83" s="12"/>
      <c r="AG83" s="12"/>
      <c r="AH83" s="12"/>
      <c r="AI83" s="155"/>
      <c r="AJ83" s="156"/>
    </row>
    <row r="84" ht="15.75" customHeight="1">
      <c r="A84" s="12" t="s">
        <v>70</v>
      </c>
      <c r="B84" s="68">
        <f t="shared" si="41"/>
        <v>0.2254393424</v>
      </c>
      <c r="C84" s="68">
        <f t="shared" si="38"/>
        <v>0.2254393424</v>
      </c>
      <c r="D84" s="12">
        <f t="shared" ref="D84:AE84" si="42">D12/D10</f>
        <v>0.5</v>
      </c>
      <c r="E84" s="12">
        <f t="shared" si="42"/>
        <v>0.1428571429</v>
      </c>
      <c r="F84" s="12">
        <f t="shared" si="42"/>
        <v>0</v>
      </c>
      <c r="G84" s="12">
        <f t="shared" si="42"/>
        <v>0</v>
      </c>
      <c r="H84" s="12">
        <f t="shared" si="42"/>
        <v>0.125</v>
      </c>
      <c r="I84" s="12">
        <f t="shared" si="42"/>
        <v>0.2222222222</v>
      </c>
      <c r="J84" s="12">
        <f t="shared" si="42"/>
        <v>0.3333333333</v>
      </c>
      <c r="K84" s="12">
        <f t="shared" si="42"/>
        <v>0</v>
      </c>
      <c r="L84" s="12">
        <f t="shared" si="42"/>
        <v>0.3333333333</v>
      </c>
      <c r="M84" s="12">
        <f t="shared" si="42"/>
        <v>0.5714285714</v>
      </c>
      <c r="N84" s="12">
        <f t="shared" si="42"/>
        <v>0</v>
      </c>
      <c r="O84" s="12">
        <f t="shared" si="42"/>
        <v>1</v>
      </c>
      <c r="P84" s="12">
        <f t="shared" si="42"/>
        <v>0.4285714286</v>
      </c>
      <c r="Q84" s="12">
        <f t="shared" si="42"/>
        <v>0.1666666667</v>
      </c>
      <c r="R84" s="12">
        <f t="shared" si="42"/>
        <v>0.3</v>
      </c>
      <c r="S84" s="12">
        <f t="shared" si="42"/>
        <v>0</v>
      </c>
      <c r="T84" s="12">
        <f t="shared" si="42"/>
        <v>0.3333333333</v>
      </c>
      <c r="U84" s="12">
        <f t="shared" si="42"/>
        <v>0.6</v>
      </c>
      <c r="V84" s="12">
        <f t="shared" si="42"/>
        <v>0</v>
      </c>
      <c r="W84" s="12">
        <f t="shared" si="42"/>
        <v>0.3333333333</v>
      </c>
      <c r="X84" s="12">
        <f t="shared" si="42"/>
        <v>0.2</v>
      </c>
      <c r="Y84" s="12">
        <f t="shared" si="42"/>
        <v>0.1666666667</v>
      </c>
      <c r="Z84" s="12">
        <f t="shared" si="42"/>
        <v>0</v>
      </c>
      <c r="AA84" s="12">
        <f t="shared" si="42"/>
        <v>0.1666666667</v>
      </c>
      <c r="AB84" s="12">
        <f t="shared" si="42"/>
        <v>0</v>
      </c>
      <c r="AC84" s="12">
        <f t="shared" si="42"/>
        <v>0</v>
      </c>
      <c r="AD84" s="12">
        <f t="shared" si="42"/>
        <v>0.1666666667</v>
      </c>
      <c r="AE84" s="12">
        <f t="shared" si="42"/>
        <v>0.2222222222</v>
      </c>
      <c r="AF84" s="12"/>
      <c r="AG84" s="12"/>
      <c r="AH84" s="12"/>
      <c r="AI84" s="155"/>
      <c r="AJ84" s="156"/>
    </row>
    <row r="85" ht="15.75" customHeight="1">
      <c r="A85" s="12" t="s">
        <v>71</v>
      </c>
      <c r="B85" s="68">
        <f t="shared" si="41"/>
        <v>2.301444894</v>
      </c>
      <c r="C85" s="68">
        <f t="shared" si="38"/>
        <v>2.301444894</v>
      </c>
      <c r="D85" s="12">
        <f t="shared" ref="D85:AE85" si="43">D26/D4</f>
        <v>2.138461538</v>
      </c>
      <c r="E85" s="12">
        <f t="shared" si="43"/>
        <v>2.333333333</v>
      </c>
      <c r="F85" s="12">
        <f t="shared" si="43"/>
        <v>1.966019417</v>
      </c>
      <c r="G85" s="12">
        <f t="shared" si="43"/>
        <v>1.817610063</v>
      </c>
      <c r="H85" s="12">
        <f t="shared" si="43"/>
        <v>2.226415094</v>
      </c>
      <c r="I85" s="12">
        <f t="shared" si="43"/>
        <v>1.54676259</v>
      </c>
      <c r="J85" s="12">
        <f t="shared" si="43"/>
        <v>1.688212928</v>
      </c>
      <c r="K85" s="12">
        <f t="shared" si="43"/>
        <v>1.557077626</v>
      </c>
      <c r="L85" s="12">
        <f t="shared" si="43"/>
        <v>4.391304348</v>
      </c>
      <c r="M85" s="12">
        <f t="shared" si="43"/>
        <v>1.906976744</v>
      </c>
      <c r="N85" s="12">
        <f t="shared" si="43"/>
        <v>3.95</v>
      </c>
      <c r="O85" s="12">
        <f t="shared" si="43"/>
        <v>1.005235602</v>
      </c>
      <c r="P85" s="12">
        <f t="shared" si="43"/>
        <v>1.987603306</v>
      </c>
      <c r="Q85" s="12">
        <f t="shared" si="43"/>
        <v>3.328</v>
      </c>
      <c r="R85" s="12">
        <f t="shared" si="43"/>
        <v>1.329305136</v>
      </c>
      <c r="S85" s="12">
        <f t="shared" si="43"/>
        <v>3.718446602</v>
      </c>
      <c r="T85" s="12">
        <f t="shared" si="43"/>
        <v>3.122807018</v>
      </c>
      <c r="U85" s="12">
        <f t="shared" si="43"/>
        <v>3.12195122</v>
      </c>
      <c r="V85" s="12">
        <f t="shared" si="43"/>
        <v>1.637931034</v>
      </c>
      <c r="W85" s="12">
        <f t="shared" si="43"/>
        <v>2.227027027</v>
      </c>
      <c r="X85" s="12">
        <f t="shared" si="43"/>
        <v>4.046728972</v>
      </c>
      <c r="Y85" s="12">
        <f t="shared" si="43"/>
        <v>1.503184713</v>
      </c>
      <c r="Z85" s="12">
        <f t="shared" si="43"/>
        <v>3.04109589</v>
      </c>
      <c r="AA85" s="12">
        <f t="shared" si="43"/>
        <v>1.762295082</v>
      </c>
      <c r="AB85" s="12">
        <f t="shared" si="43"/>
        <v>2.081339713</v>
      </c>
      <c r="AC85" s="12">
        <f t="shared" si="43"/>
        <v>1.645283019</v>
      </c>
      <c r="AD85" s="12">
        <f t="shared" si="43"/>
        <v>1.393382353</v>
      </c>
      <c r="AE85" s="12">
        <f t="shared" si="43"/>
        <v>1.966666667</v>
      </c>
      <c r="AF85" s="12"/>
      <c r="AG85" s="12"/>
      <c r="AH85" s="12"/>
      <c r="AI85" s="155"/>
      <c r="AJ85" s="156"/>
    </row>
    <row r="86" ht="15.75" customHeight="1">
      <c r="A86" s="12" t="s">
        <v>72</v>
      </c>
      <c r="B86" s="68">
        <f t="shared" si="41"/>
        <v>0.3978061149</v>
      </c>
      <c r="C86" s="68">
        <f t="shared" si="38"/>
        <v>0.3978061149</v>
      </c>
      <c r="D86" s="12">
        <f t="shared" ref="D86:AE86" si="44">D45/D27</f>
        <v>0.08405276366</v>
      </c>
      <c r="E86" s="12">
        <f t="shared" si="44"/>
        <v>-0.2791634261</v>
      </c>
      <c r="F86" s="12">
        <f t="shared" si="44"/>
        <v>-0.02134537389</v>
      </c>
      <c r="G86" s="12">
        <f t="shared" si="44"/>
        <v>0.4302904626</v>
      </c>
      <c r="H86" s="12">
        <f t="shared" si="44"/>
        <v>0.1604439845</v>
      </c>
      <c r="I86" s="12">
        <f t="shared" si="44"/>
        <v>0.8164034805</v>
      </c>
      <c r="J86" s="12">
        <f t="shared" si="44"/>
        <v>0.1655187361</v>
      </c>
      <c r="K86" s="12">
        <f t="shared" si="44"/>
        <v>0.2161801548</v>
      </c>
      <c r="L86" s="12">
        <f t="shared" si="44"/>
        <v>1.079079666</v>
      </c>
      <c r="M86" s="12">
        <f t="shared" si="44"/>
        <v>0.5388160903</v>
      </c>
      <c r="N86" s="12">
        <f t="shared" si="44"/>
        <v>0.4174880271</v>
      </c>
      <c r="O86" s="12">
        <f t="shared" si="44"/>
        <v>0.06090349707</v>
      </c>
      <c r="P86" s="12">
        <f t="shared" si="44"/>
        <v>0.8820671279</v>
      </c>
      <c r="Q86" s="12">
        <f t="shared" si="44"/>
        <v>0.647029492</v>
      </c>
      <c r="R86" s="12">
        <f t="shared" si="44"/>
        <v>0.1097739939</v>
      </c>
      <c r="S86" s="12">
        <f t="shared" si="44"/>
        <v>0.1040689607</v>
      </c>
      <c r="T86" s="12">
        <f t="shared" si="44"/>
        <v>0.1060929136</v>
      </c>
      <c r="U86" s="12">
        <f t="shared" si="44"/>
        <v>0.2770941932</v>
      </c>
      <c r="V86" s="12">
        <f t="shared" si="44"/>
        <v>-0.1825023899</v>
      </c>
      <c r="W86" s="12">
        <f t="shared" si="44"/>
        <v>0.5383616119</v>
      </c>
      <c r="X86" s="12">
        <f t="shared" si="44"/>
        <v>0.7652271655</v>
      </c>
      <c r="Y86" s="12">
        <f t="shared" si="44"/>
        <v>0.1941664191</v>
      </c>
      <c r="Z86" s="12">
        <f t="shared" si="44"/>
        <v>0.2721776644</v>
      </c>
      <c r="AA86" s="12">
        <f t="shared" si="44"/>
        <v>1.077089806</v>
      </c>
      <c r="AB86" s="12">
        <f t="shared" si="44"/>
        <v>0.319886378</v>
      </c>
      <c r="AC86" s="12">
        <f t="shared" si="44"/>
        <v>0.8059835057</v>
      </c>
      <c r="AD86" s="12">
        <f t="shared" si="44"/>
        <v>0.8554892801</v>
      </c>
      <c r="AE86" s="12">
        <f t="shared" si="44"/>
        <v>0.697897034</v>
      </c>
      <c r="AF86" s="12"/>
      <c r="AG86" s="12"/>
      <c r="AH86" s="12"/>
      <c r="AI86" s="155"/>
      <c r="AJ86" s="156"/>
    </row>
    <row r="87" ht="15.75" customHeight="1">
      <c r="A87" s="12" t="s">
        <v>73</v>
      </c>
      <c r="B87" s="68">
        <f t="shared" si="41"/>
        <v>0.199862386</v>
      </c>
      <c r="C87" s="68">
        <f t="shared" si="38"/>
        <v>0.199862386</v>
      </c>
      <c r="D87" s="12">
        <f t="shared" ref="D87:AE87" si="45">D64/D27</f>
        <v>-0.3203369577</v>
      </c>
      <c r="E87" s="12">
        <f t="shared" si="45"/>
        <v>-0.4639323001</v>
      </c>
      <c r="F87" s="12">
        <f t="shared" si="45"/>
        <v>-0.184485499</v>
      </c>
      <c r="G87" s="12">
        <f t="shared" si="45"/>
        <v>0.3181699223</v>
      </c>
      <c r="H87" s="12">
        <f t="shared" si="45"/>
        <v>0.05990908807</v>
      </c>
      <c r="I87" s="12">
        <f t="shared" si="45"/>
        <v>0.6881210962</v>
      </c>
      <c r="J87" s="12">
        <f t="shared" si="45"/>
        <v>-0.005105448796</v>
      </c>
      <c r="K87" s="12">
        <f t="shared" si="45"/>
        <v>0.06494590135</v>
      </c>
      <c r="L87" s="12">
        <f t="shared" si="45"/>
        <v>1.032000928</v>
      </c>
      <c r="M87" s="12">
        <f t="shared" si="45"/>
        <v>0.3200645256</v>
      </c>
      <c r="N87" s="12">
        <f t="shared" si="45"/>
        <v>0.3918291767</v>
      </c>
      <c r="O87" s="12">
        <f t="shared" si="45"/>
        <v>0.004547721153</v>
      </c>
      <c r="P87" s="12">
        <f t="shared" si="45"/>
        <v>0.5512161662</v>
      </c>
      <c r="Q87" s="12">
        <f t="shared" si="45"/>
        <v>0.6412955167</v>
      </c>
      <c r="R87" s="12">
        <f t="shared" si="45"/>
        <v>-0.7773683392</v>
      </c>
      <c r="S87" s="12">
        <f t="shared" si="45"/>
        <v>-0.6527302923</v>
      </c>
      <c r="T87" s="12">
        <f t="shared" si="45"/>
        <v>0.09997559189</v>
      </c>
      <c r="U87" s="12">
        <f t="shared" si="45"/>
        <v>0.2695769204</v>
      </c>
      <c r="V87" s="12">
        <f t="shared" si="45"/>
        <v>-0.185015271</v>
      </c>
      <c r="W87" s="12">
        <f t="shared" si="45"/>
        <v>0.5313349977</v>
      </c>
      <c r="X87" s="12">
        <f t="shared" si="45"/>
        <v>0.7607087523</v>
      </c>
      <c r="Y87" s="12">
        <f t="shared" si="45"/>
        <v>0.1833225256</v>
      </c>
      <c r="Z87" s="12">
        <f t="shared" si="45"/>
        <v>-1.355811281</v>
      </c>
      <c r="AA87" s="12">
        <f t="shared" si="45"/>
        <v>1.048352388</v>
      </c>
      <c r="AB87" s="12">
        <f t="shared" si="45"/>
        <v>0.2420082584</v>
      </c>
      <c r="AC87" s="12">
        <f t="shared" si="45"/>
        <v>0.804792872</v>
      </c>
      <c r="AD87" s="12">
        <f t="shared" si="45"/>
        <v>0.844567127</v>
      </c>
      <c r="AE87" s="12">
        <f t="shared" si="45"/>
        <v>0.684192721</v>
      </c>
      <c r="AF87" s="12"/>
      <c r="AG87" s="12"/>
      <c r="AH87" s="12"/>
      <c r="AI87" s="155"/>
      <c r="AJ87" s="156"/>
    </row>
    <row r="88" ht="15.75" customHeight="1">
      <c r="A88" s="185" t="s">
        <v>74</v>
      </c>
      <c r="B88" s="186">
        <f t="shared" si="41"/>
        <v>1.867327046</v>
      </c>
      <c r="C88" s="186">
        <f t="shared" si="38"/>
        <v>1.867327046</v>
      </c>
      <c r="D88" s="13">
        <f t="shared" ref="D88:AE88" si="46">D24/D25</f>
        <v>1.644171779</v>
      </c>
      <c r="E88" s="13">
        <f t="shared" si="46"/>
        <v>1.826771654</v>
      </c>
      <c r="F88" s="13">
        <f t="shared" si="46"/>
        <v>1.739837398</v>
      </c>
      <c r="G88" s="13">
        <f t="shared" si="46"/>
        <v>1.805084746</v>
      </c>
      <c r="H88" s="13">
        <f t="shared" si="46"/>
        <v>1.822485207</v>
      </c>
      <c r="I88" s="13">
        <f t="shared" si="46"/>
        <v>1.941176471</v>
      </c>
      <c r="J88" s="13">
        <f t="shared" si="46"/>
        <v>1.793103448</v>
      </c>
      <c r="K88" s="13">
        <f t="shared" si="46"/>
        <v>1.907692308</v>
      </c>
      <c r="L88" s="13">
        <f t="shared" si="46"/>
        <v>1.727848101</v>
      </c>
      <c r="M88" s="13">
        <f t="shared" si="46"/>
        <v>1.926380368</v>
      </c>
      <c r="N88" s="13">
        <f t="shared" si="46"/>
        <v>1.854166667</v>
      </c>
      <c r="O88" s="13">
        <f t="shared" si="46"/>
        <v>1.648275862</v>
      </c>
      <c r="P88" s="13">
        <f t="shared" si="46"/>
        <v>1.833333333</v>
      </c>
      <c r="Q88" s="13">
        <f t="shared" si="46"/>
        <v>1.836363636</v>
      </c>
      <c r="R88" s="13">
        <f t="shared" si="46"/>
        <v>1.943298969</v>
      </c>
      <c r="S88" s="13">
        <f t="shared" si="46"/>
        <v>2.025974026</v>
      </c>
      <c r="T88" s="13">
        <f t="shared" si="46"/>
        <v>1.853658537</v>
      </c>
      <c r="U88" s="13">
        <f t="shared" si="46"/>
        <v>1.875</v>
      </c>
      <c r="V88" s="13">
        <f t="shared" si="46"/>
        <v>1.780821918</v>
      </c>
      <c r="W88" s="13">
        <f t="shared" si="46"/>
        <v>2.005319149</v>
      </c>
      <c r="X88" s="13">
        <f t="shared" si="46"/>
        <v>2.088757396</v>
      </c>
      <c r="Y88" s="13">
        <f t="shared" si="46"/>
        <v>1.82183908</v>
      </c>
      <c r="Z88" s="13">
        <f t="shared" si="46"/>
        <v>1.994736842</v>
      </c>
      <c r="AA88" s="13">
        <f t="shared" si="46"/>
        <v>1.956043956</v>
      </c>
      <c r="AB88" s="13">
        <f t="shared" si="46"/>
        <v>1.791666667</v>
      </c>
      <c r="AC88" s="13">
        <f t="shared" si="46"/>
        <v>1.953488372</v>
      </c>
      <c r="AD88" s="13">
        <f t="shared" si="46"/>
        <v>2.005208333</v>
      </c>
      <c r="AE88" s="13">
        <f t="shared" si="46"/>
        <v>1.882653061</v>
      </c>
      <c r="AF88" s="13"/>
      <c r="AG88" s="13"/>
      <c r="AH88" s="13"/>
      <c r="AI88" s="187"/>
      <c r="AJ88" s="188"/>
    </row>
    <row r="89" ht="15.75" customHeight="1">
      <c r="A89" s="60"/>
      <c r="B89" s="92"/>
      <c r="C89" s="92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189"/>
      <c r="AI89" s="150"/>
      <c r="AJ89" s="151"/>
    </row>
    <row r="90" ht="15.75" customHeight="1">
      <c r="A90" s="60" t="s">
        <v>64</v>
      </c>
      <c r="B90" s="92"/>
      <c r="C90" s="92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189"/>
      <c r="AI90" s="150"/>
      <c r="AJ90" s="151"/>
    </row>
    <row r="91" ht="15.75" customHeight="1">
      <c r="A91" s="60" t="s">
        <v>75</v>
      </c>
      <c r="B91" s="92"/>
      <c r="C91" s="92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189"/>
      <c r="AI91" s="150"/>
      <c r="AJ91" s="151"/>
    </row>
    <row r="92" ht="15.75" customHeight="1">
      <c r="A92" s="60"/>
      <c r="B92" s="92"/>
      <c r="C92" s="92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189"/>
      <c r="AI92" s="150"/>
      <c r="AJ92" s="151"/>
    </row>
    <row r="93" ht="15.75" customHeight="1">
      <c r="A93" s="56" t="s">
        <v>76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144"/>
      <c r="AI93" s="145"/>
      <c r="AJ93" s="146"/>
    </row>
    <row r="94" ht="15.75" customHeight="1">
      <c r="A94" s="60" t="s">
        <v>77</v>
      </c>
      <c r="B94" s="92">
        <f t="shared" ref="B94:B96" si="47">SUM(D94:AH94)</f>
        <v>1343</v>
      </c>
      <c r="C94" s="152">
        <f t="shared" ref="C94:C98" si="48">AVERAGE(D94:AH94)</f>
        <v>53.72</v>
      </c>
      <c r="D94" s="65">
        <v>50.0</v>
      </c>
      <c r="E94" s="65">
        <v>45.0</v>
      </c>
      <c r="F94" s="65">
        <v>51.0</v>
      </c>
      <c r="G94" s="65">
        <v>34.0</v>
      </c>
      <c r="H94" s="65">
        <v>30.0</v>
      </c>
      <c r="I94" s="65">
        <v>66.0</v>
      </c>
      <c r="J94" s="65">
        <v>37.0</v>
      </c>
      <c r="K94" s="65">
        <v>40.0</v>
      </c>
      <c r="L94" s="65">
        <v>38.0</v>
      </c>
      <c r="M94" s="65">
        <v>48.0</v>
      </c>
      <c r="N94" s="65">
        <v>62.0</v>
      </c>
      <c r="O94" s="65">
        <v>87.0</v>
      </c>
      <c r="P94" s="65">
        <v>79.0</v>
      </c>
      <c r="Q94" s="65">
        <v>59.0</v>
      </c>
      <c r="R94" s="65">
        <v>57.0</v>
      </c>
      <c r="S94" s="65">
        <v>45.0</v>
      </c>
      <c r="T94" s="65">
        <v>37.0</v>
      </c>
      <c r="U94" s="65">
        <v>60.0</v>
      </c>
      <c r="V94" s="65">
        <v>70.0</v>
      </c>
      <c r="W94" s="65">
        <v>29.0</v>
      </c>
      <c r="X94" s="65">
        <v>46.0</v>
      </c>
      <c r="Y94" s="65">
        <v>67.0</v>
      </c>
      <c r="Z94" s="65">
        <v>82.0</v>
      </c>
      <c r="AA94" s="65">
        <v>62.0</v>
      </c>
      <c r="AB94" s="65">
        <v>62.0</v>
      </c>
      <c r="AC94" s="65"/>
      <c r="AD94" s="65"/>
      <c r="AE94" s="65"/>
      <c r="AF94" s="65"/>
      <c r="AG94" s="65"/>
      <c r="AH94" s="153"/>
      <c r="AI94" s="150"/>
      <c r="AJ94" s="151"/>
    </row>
    <row r="95" ht="15.75" customHeight="1">
      <c r="A95" s="60" t="s">
        <v>78</v>
      </c>
      <c r="B95" s="92">
        <f t="shared" si="47"/>
        <v>173</v>
      </c>
      <c r="C95" s="152">
        <f t="shared" si="48"/>
        <v>6.92</v>
      </c>
      <c r="D95" s="65">
        <v>5.0</v>
      </c>
      <c r="E95" s="65">
        <v>9.0</v>
      </c>
      <c r="F95" s="65">
        <v>6.0</v>
      </c>
      <c r="G95" s="65">
        <v>2.0</v>
      </c>
      <c r="H95" s="65">
        <v>5.0</v>
      </c>
      <c r="I95" s="65">
        <v>3.0</v>
      </c>
      <c r="J95" s="65">
        <v>7.0</v>
      </c>
      <c r="K95" s="65">
        <v>6.0</v>
      </c>
      <c r="L95" s="65">
        <v>3.0</v>
      </c>
      <c r="M95" s="65">
        <v>10.0</v>
      </c>
      <c r="N95" s="65">
        <v>6.0</v>
      </c>
      <c r="O95" s="65">
        <v>12.0</v>
      </c>
      <c r="P95" s="65">
        <v>11.0</v>
      </c>
      <c r="Q95" s="65">
        <v>13.0</v>
      </c>
      <c r="R95" s="65">
        <v>9.0</v>
      </c>
      <c r="S95" s="65">
        <v>8.0</v>
      </c>
      <c r="T95" s="65">
        <v>6.0</v>
      </c>
      <c r="U95" s="23">
        <v>5.0</v>
      </c>
      <c r="V95" s="65">
        <v>11.0</v>
      </c>
      <c r="W95" s="65">
        <v>7.0</v>
      </c>
      <c r="X95" s="65">
        <v>8.0</v>
      </c>
      <c r="Y95" s="65">
        <v>2.0</v>
      </c>
      <c r="Z95" s="65">
        <v>7.0</v>
      </c>
      <c r="AA95" s="65">
        <v>7.0</v>
      </c>
      <c r="AB95" s="65">
        <v>5.0</v>
      </c>
      <c r="AC95" s="65"/>
      <c r="AD95" s="65"/>
      <c r="AE95" s="65"/>
      <c r="AF95" s="65"/>
      <c r="AG95" s="65"/>
      <c r="AH95" s="153"/>
      <c r="AI95" s="150"/>
      <c r="AJ95" s="151"/>
    </row>
    <row r="96" ht="15.75" customHeight="1">
      <c r="A96" s="65" t="s">
        <v>79</v>
      </c>
      <c r="B96" s="92">
        <f t="shared" si="47"/>
        <v>69</v>
      </c>
      <c r="C96" s="152">
        <f t="shared" si="48"/>
        <v>2.76</v>
      </c>
      <c r="D96" s="65">
        <v>5.0</v>
      </c>
      <c r="E96" s="65">
        <v>4.0</v>
      </c>
      <c r="F96" s="65">
        <v>3.0</v>
      </c>
      <c r="G96" s="65">
        <v>1.0</v>
      </c>
      <c r="H96" s="65">
        <v>1.0</v>
      </c>
      <c r="I96" s="65">
        <v>3.0</v>
      </c>
      <c r="J96" s="65">
        <v>3.0</v>
      </c>
      <c r="K96" s="65">
        <v>1.0</v>
      </c>
      <c r="L96" s="65">
        <v>3.0</v>
      </c>
      <c r="M96" s="65">
        <v>5.0</v>
      </c>
      <c r="N96" s="65">
        <v>1.0</v>
      </c>
      <c r="O96" s="65">
        <v>2.0</v>
      </c>
      <c r="P96" s="65">
        <v>2.0</v>
      </c>
      <c r="Q96" s="65">
        <v>4.0</v>
      </c>
      <c r="R96" s="65">
        <v>2.0</v>
      </c>
      <c r="S96" s="65">
        <v>2.0</v>
      </c>
      <c r="T96" s="65">
        <v>2.0</v>
      </c>
      <c r="U96" s="65">
        <v>2.0</v>
      </c>
      <c r="V96" s="65">
        <v>2.0</v>
      </c>
      <c r="W96" s="65">
        <v>3.0</v>
      </c>
      <c r="X96" s="65">
        <v>2.0</v>
      </c>
      <c r="Y96" s="65">
        <v>3.0</v>
      </c>
      <c r="Z96" s="65">
        <v>7.0</v>
      </c>
      <c r="AA96" s="65">
        <v>5.0</v>
      </c>
      <c r="AB96" s="65">
        <v>1.0</v>
      </c>
      <c r="AC96" s="65"/>
      <c r="AD96" s="65"/>
      <c r="AE96" s="65"/>
      <c r="AF96" s="65"/>
      <c r="AG96" s="65"/>
      <c r="AH96" s="153"/>
      <c r="AI96" s="150"/>
      <c r="AJ96" s="151"/>
    </row>
    <row r="97" ht="15.75" customHeight="1">
      <c r="A97" s="60" t="s">
        <v>80</v>
      </c>
      <c r="B97" s="109">
        <v>8022259.0</v>
      </c>
      <c r="C97" s="92" t="str">
        <f t="shared" si="48"/>
        <v>#DIV/0!</v>
      </c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189"/>
      <c r="AI97" s="150"/>
      <c r="AJ97" s="151"/>
    </row>
    <row r="98" ht="15.75" customHeight="1">
      <c r="A98" s="60" t="s">
        <v>81</v>
      </c>
      <c r="B98" s="109">
        <v>5490590.0</v>
      </c>
      <c r="C98" s="92" t="str">
        <f t="shared" si="48"/>
        <v>#DIV/0!</v>
      </c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189"/>
      <c r="AI98" s="150"/>
      <c r="AJ98" s="151"/>
    </row>
    <row r="99" ht="15.75" customHeight="1">
      <c r="A99" s="65" t="s">
        <v>82</v>
      </c>
      <c r="B99" s="191"/>
      <c r="C99" s="92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189"/>
      <c r="AI99" s="150"/>
      <c r="AJ99" s="151"/>
    </row>
    <row r="100" ht="15.75" customHeight="1">
      <c r="A100" s="65" t="s">
        <v>83</v>
      </c>
      <c r="B100" s="191"/>
      <c r="C100" s="92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189"/>
      <c r="AI100" s="150"/>
      <c r="AJ100" s="151"/>
    </row>
    <row r="101" ht="15.75" customHeight="1">
      <c r="A101" s="60" t="s">
        <v>84</v>
      </c>
      <c r="B101" s="92">
        <f>SUM(D101:AH101)</f>
        <v>0</v>
      </c>
      <c r="C101" s="92" t="str">
        <f t="shared" ref="C101:C112" si="49">AVERAGE(D101:AH101)</f>
        <v>#DIV/0!</v>
      </c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189"/>
      <c r="AI101" s="150"/>
      <c r="AJ101" s="151"/>
    </row>
    <row r="102" ht="15.75" customHeight="1">
      <c r="A102" s="60" t="s">
        <v>85</v>
      </c>
      <c r="B102" s="109">
        <v>2531669.0</v>
      </c>
      <c r="C102" s="92" t="str">
        <f t="shared" si="49"/>
        <v>#DIV/0!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189"/>
      <c r="AI102" s="150"/>
      <c r="AJ102" s="151"/>
    </row>
    <row r="103" ht="15.75" customHeight="1">
      <c r="A103" s="60" t="s">
        <v>86</v>
      </c>
      <c r="B103" s="92">
        <f t="shared" ref="B103:B109" si="50">SUM(D103:AH103)</f>
        <v>0</v>
      </c>
      <c r="C103" s="92" t="str">
        <f t="shared" si="49"/>
        <v>#DIV/0!</v>
      </c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189"/>
      <c r="AI103" s="150"/>
      <c r="AJ103" s="151"/>
    </row>
    <row r="104" ht="15.75" customHeight="1">
      <c r="A104" s="60" t="s">
        <v>87</v>
      </c>
      <c r="B104" s="92">
        <f t="shared" si="50"/>
        <v>0</v>
      </c>
      <c r="C104" s="92" t="str">
        <f t="shared" si="49"/>
        <v>#DIV/0!</v>
      </c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189"/>
      <c r="AI104" s="150"/>
      <c r="AJ104" s="151"/>
    </row>
    <row r="105" ht="15.75" customHeight="1">
      <c r="A105" s="104" t="s">
        <v>299</v>
      </c>
      <c r="B105" s="108">
        <f t="shared" si="50"/>
        <v>339666</v>
      </c>
      <c r="C105" s="108">
        <f t="shared" si="49"/>
        <v>13586.64</v>
      </c>
      <c r="D105" s="104">
        <v>0.0</v>
      </c>
      <c r="E105" s="104">
        <v>0.0</v>
      </c>
      <c r="F105" s="104">
        <v>0.0</v>
      </c>
      <c r="G105" s="104">
        <v>0.0</v>
      </c>
      <c r="H105" s="104">
        <v>0.0</v>
      </c>
      <c r="I105" s="104">
        <v>0.0</v>
      </c>
      <c r="J105" s="104">
        <v>0.0</v>
      </c>
      <c r="K105" s="104">
        <v>0.0</v>
      </c>
      <c r="L105" s="104">
        <v>30000.0</v>
      </c>
      <c r="M105" s="104">
        <v>35000.0</v>
      </c>
      <c r="N105" s="104">
        <v>0.0</v>
      </c>
      <c r="O105" s="104">
        <v>0.0</v>
      </c>
      <c r="P105" s="104">
        <v>0.0</v>
      </c>
      <c r="Q105" s="104">
        <v>0.0</v>
      </c>
      <c r="R105" s="104">
        <v>0.0</v>
      </c>
      <c r="S105" s="104">
        <v>30000.0</v>
      </c>
      <c r="T105" s="104">
        <v>0.0</v>
      </c>
      <c r="U105" s="104">
        <v>0.0</v>
      </c>
      <c r="V105" s="104">
        <v>33000.0</v>
      </c>
      <c r="W105" s="104">
        <v>0.0</v>
      </c>
      <c r="X105" s="104">
        <v>0.0</v>
      </c>
      <c r="Y105" s="104">
        <v>0.0</v>
      </c>
      <c r="Z105" s="104">
        <v>130000.0</v>
      </c>
      <c r="AA105" s="104">
        <v>0.0</v>
      </c>
      <c r="AB105" s="104">
        <v>81666.0</v>
      </c>
      <c r="AC105" s="104"/>
      <c r="AD105" s="104"/>
      <c r="AE105" s="104"/>
      <c r="AF105" s="104"/>
      <c r="AG105" s="104"/>
      <c r="AH105" s="167"/>
      <c r="AI105" s="164"/>
      <c r="AJ105" s="165"/>
    </row>
    <row r="106" ht="15.75" customHeight="1">
      <c r="A106" s="60" t="s">
        <v>89</v>
      </c>
      <c r="B106" s="108">
        <f t="shared" si="50"/>
        <v>1645582</v>
      </c>
      <c r="C106" s="108">
        <f t="shared" si="49"/>
        <v>65823.28</v>
      </c>
      <c r="D106" s="104">
        <v>0.0</v>
      </c>
      <c r="E106" s="104">
        <v>0.0</v>
      </c>
      <c r="F106" s="104">
        <v>0.0</v>
      </c>
      <c r="G106" s="104">
        <v>0.0</v>
      </c>
      <c r="H106" s="104">
        <v>0.0</v>
      </c>
      <c r="I106" s="104">
        <v>0.0</v>
      </c>
      <c r="J106" s="104">
        <v>0.0</v>
      </c>
      <c r="K106" s="104">
        <v>0.0</v>
      </c>
      <c r="L106" s="104">
        <v>0.0</v>
      </c>
      <c r="M106" s="104">
        <v>0.0</v>
      </c>
      <c r="N106" s="104">
        <v>0.0</v>
      </c>
      <c r="O106" s="104">
        <v>30000.0</v>
      </c>
      <c r="P106" s="226">
        <v>1585582.0</v>
      </c>
      <c r="Q106" s="104">
        <v>0.0</v>
      </c>
      <c r="R106" s="104">
        <v>0.0</v>
      </c>
      <c r="S106" s="104">
        <v>0.0</v>
      </c>
      <c r="T106" s="104">
        <v>0.0</v>
      </c>
      <c r="U106" s="104">
        <v>0.0</v>
      </c>
      <c r="V106" s="104">
        <v>0.0</v>
      </c>
      <c r="W106" s="104">
        <v>0.0</v>
      </c>
      <c r="X106" s="104">
        <v>0.0</v>
      </c>
      <c r="Y106" s="104">
        <v>30000.0</v>
      </c>
      <c r="Z106" s="104">
        <v>0.0</v>
      </c>
      <c r="AA106" s="104">
        <v>0.0</v>
      </c>
      <c r="AB106" s="104">
        <v>0.0</v>
      </c>
      <c r="AC106" s="60"/>
      <c r="AD106" s="60"/>
      <c r="AE106" s="60"/>
      <c r="AF106" s="60"/>
      <c r="AG106" s="60"/>
      <c r="AH106" s="189"/>
      <c r="AI106" s="150"/>
      <c r="AJ106" s="151"/>
    </row>
    <row r="107" ht="15.75" customHeight="1">
      <c r="A107" s="60" t="s">
        <v>90</v>
      </c>
      <c r="B107" s="108">
        <f t="shared" si="50"/>
        <v>7979152.12</v>
      </c>
      <c r="C107" s="108">
        <f t="shared" si="49"/>
        <v>319166.0848</v>
      </c>
      <c r="D107" s="104">
        <v>0.0</v>
      </c>
      <c r="E107" s="104">
        <v>0.0</v>
      </c>
      <c r="F107" s="104">
        <v>0.0</v>
      </c>
      <c r="G107" s="104">
        <v>0.0</v>
      </c>
      <c r="H107" s="104">
        <v>0.0</v>
      </c>
      <c r="I107" s="104">
        <v>0.0</v>
      </c>
      <c r="J107" s="104">
        <v>0.0</v>
      </c>
      <c r="K107" s="104">
        <v>0.0</v>
      </c>
      <c r="L107" s="104">
        <v>0.0</v>
      </c>
      <c r="M107" s="104">
        <v>0.0</v>
      </c>
      <c r="N107" s="104">
        <v>0.0</v>
      </c>
      <c r="O107" s="104">
        <v>0.0</v>
      </c>
      <c r="P107" s="104">
        <v>0.0</v>
      </c>
      <c r="Q107" s="104">
        <v>0.0</v>
      </c>
      <c r="R107" s="104">
        <v>4211547.12</v>
      </c>
      <c r="S107" s="104">
        <v>3767605.0</v>
      </c>
      <c r="T107" s="65">
        <v>0.0</v>
      </c>
      <c r="U107" s="65">
        <v>0.0</v>
      </c>
      <c r="V107" s="65">
        <v>0.0</v>
      </c>
      <c r="W107" s="65">
        <v>0.0</v>
      </c>
      <c r="X107" s="65">
        <v>0.0</v>
      </c>
      <c r="Y107" s="65">
        <v>0.0</v>
      </c>
      <c r="Z107" s="104">
        <v>0.0</v>
      </c>
      <c r="AA107" s="104">
        <v>0.0</v>
      </c>
      <c r="AB107" s="104">
        <v>0.0</v>
      </c>
      <c r="AC107" s="60"/>
      <c r="AD107" s="60"/>
      <c r="AE107" s="60"/>
      <c r="AF107" s="60"/>
      <c r="AG107" s="60"/>
      <c r="AH107" s="189"/>
      <c r="AI107" s="150"/>
      <c r="AJ107" s="151"/>
    </row>
    <row r="108" ht="15.75" customHeight="1">
      <c r="A108" s="60" t="s">
        <v>91</v>
      </c>
      <c r="B108" s="108">
        <f t="shared" si="50"/>
        <v>885388.93</v>
      </c>
      <c r="C108" s="108">
        <f t="shared" si="49"/>
        <v>35415.5572</v>
      </c>
      <c r="D108" s="104">
        <v>885388.93</v>
      </c>
      <c r="E108" s="104">
        <v>0.0</v>
      </c>
      <c r="F108" s="104">
        <v>0.0</v>
      </c>
      <c r="G108" s="104">
        <v>0.0</v>
      </c>
      <c r="H108" s="104">
        <v>0.0</v>
      </c>
      <c r="I108" s="104">
        <v>0.0</v>
      </c>
      <c r="J108" s="104">
        <v>0.0</v>
      </c>
      <c r="K108" s="104">
        <v>0.0</v>
      </c>
      <c r="L108" s="104">
        <v>0.0</v>
      </c>
      <c r="M108" s="104">
        <v>0.0</v>
      </c>
      <c r="N108" s="104">
        <v>0.0</v>
      </c>
      <c r="O108" s="104">
        <v>0.0</v>
      </c>
      <c r="P108" s="104">
        <v>0.0</v>
      </c>
      <c r="Q108" s="104">
        <v>0.0</v>
      </c>
      <c r="R108" s="104">
        <v>0.0</v>
      </c>
      <c r="S108" s="104">
        <v>0.0</v>
      </c>
      <c r="T108" s="104">
        <v>0.0</v>
      </c>
      <c r="U108" s="104">
        <v>0.0</v>
      </c>
      <c r="V108" s="104">
        <v>0.0</v>
      </c>
      <c r="W108" s="104">
        <v>0.0</v>
      </c>
      <c r="X108" s="104">
        <v>0.0</v>
      </c>
      <c r="Y108" s="104">
        <v>0.0</v>
      </c>
      <c r="Z108" s="104">
        <v>0.0</v>
      </c>
      <c r="AA108" s="104">
        <v>0.0</v>
      </c>
      <c r="AB108" s="104">
        <v>0.0</v>
      </c>
      <c r="AC108" s="60"/>
      <c r="AD108" s="60"/>
      <c r="AE108" s="60"/>
      <c r="AF108" s="60"/>
      <c r="AG108" s="60"/>
      <c r="AH108" s="189"/>
      <c r="AI108" s="150"/>
      <c r="AJ108" s="151"/>
    </row>
    <row r="109" ht="15.75" customHeight="1">
      <c r="A109" s="11" t="s">
        <v>92</v>
      </c>
      <c r="B109" s="108">
        <f t="shared" si="50"/>
        <v>10510123.05</v>
      </c>
      <c r="C109" s="108">
        <f t="shared" si="49"/>
        <v>420404.922</v>
      </c>
      <c r="D109" s="104">
        <f t="shared" ref="D109:Y109" si="51">SUM(D106:D108)</f>
        <v>885388.93</v>
      </c>
      <c r="E109" s="104">
        <f t="shared" si="51"/>
        <v>0</v>
      </c>
      <c r="F109" s="104">
        <f t="shared" si="51"/>
        <v>0</v>
      </c>
      <c r="G109" s="104">
        <f t="shared" si="51"/>
        <v>0</v>
      </c>
      <c r="H109" s="104">
        <f t="shared" si="51"/>
        <v>0</v>
      </c>
      <c r="I109" s="104">
        <f t="shared" si="51"/>
        <v>0</v>
      </c>
      <c r="J109" s="104">
        <f t="shared" si="51"/>
        <v>0</v>
      </c>
      <c r="K109" s="104">
        <f t="shared" si="51"/>
        <v>0</v>
      </c>
      <c r="L109" s="104">
        <f t="shared" si="51"/>
        <v>0</v>
      </c>
      <c r="M109" s="104">
        <f t="shared" si="51"/>
        <v>0</v>
      </c>
      <c r="N109" s="104">
        <f t="shared" si="51"/>
        <v>0</v>
      </c>
      <c r="O109" s="104">
        <f t="shared" si="51"/>
        <v>30000</v>
      </c>
      <c r="P109" s="104">
        <f t="shared" si="51"/>
        <v>1585582</v>
      </c>
      <c r="Q109" s="104">
        <f t="shared" si="51"/>
        <v>0</v>
      </c>
      <c r="R109" s="104">
        <f t="shared" si="51"/>
        <v>4211547.12</v>
      </c>
      <c r="S109" s="104">
        <f t="shared" si="51"/>
        <v>3767605</v>
      </c>
      <c r="T109" s="104">
        <f t="shared" si="51"/>
        <v>0</v>
      </c>
      <c r="U109" s="104">
        <f t="shared" si="51"/>
        <v>0</v>
      </c>
      <c r="V109" s="104">
        <f t="shared" si="51"/>
        <v>0</v>
      </c>
      <c r="W109" s="104">
        <f t="shared" si="51"/>
        <v>0</v>
      </c>
      <c r="X109" s="104">
        <f t="shared" si="51"/>
        <v>0</v>
      </c>
      <c r="Y109" s="104">
        <f t="shared" si="51"/>
        <v>30000</v>
      </c>
      <c r="Z109" s="104">
        <v>0.0</v>
      </c>
      <c r="AA109" s="104">
        <v>0.0</v>
      </c>
      <c r="AB109" s="104">
        <v>0.0</v>
      </c>
      <c r="AC109" s="104"/>
      <c r="AD109" s="104"/>
      <c r="AE109" s="104"/>
      <c r="AF109" s="104"/>
      <c r="AG109" s="167"/>
      <c r="AH109" s="167"/>
      <c r="AI109" s="164"/>
      <c r="AJ109" s="165"/>
    </row>
    <row r="110" ht="15.75" customHeight="1">
      <c r="A110" s="60" t="s">
        <v>93</v>
      </c>
      <c r="B110" s="108">
        <f>B102-B108</f>
        <v>1646280.07</v>
      </c>
      <c r="C110" s="92" t="str">
        <f t="shared" si="49"/>
        <v>#DIV/0!</v>
      </c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189"/>
      <c r="AI110" s="150"/>
      <c r="AJ110" s="151"/>
    </row>
    <row r="111" ht="15.75" customHeight="1">
      <c r="A111" s="60" t="s">
        <v>94</v>
      </c>
      <c r="B111" s="68">
        <f>B95/B94</f>
        <v>0.1288160834</v>
      </c>
      <c r="C111" s="68">
        <f t="shared" si="49"/>
        <v>0.1348685847</v>
      </c>
      <c r="D111" s="12">
        <f t="shared" ref="D111:AB111" si="52">D95/D94</f>
        <v>0.1</v>
      </c>
      <c r="E111" s="12">
        <f t="shared" si="52"/>
        <v>0.2</v>
      </c>
      <c r="F111" s="12">
        <f t="shared" si="52"/>
        <v>0.1176470588</v>
      </c>
      <c r="G111" s="12">
        <f t="shared" si="52"/>
        <v>0.05882352941</v>
      </c>
      <c r="H111" s="12">
        <f t="shared" si="52"/>
        <v>0.1666666667</v>
      </c>
      <c r="I111" s="12">
        <f t="shared" si="52"/>
        <v>0.04545454545</v>
      </c>
      <c r="J111" s="12">
        <f t="shared" si="52"/>
        <v>0.1891891892</v>
      </c>
      <c r="K111" s="12">
        <f t="shared" si="52"/>
        <v>0.15</v>
      </c>
      <c r="L111" s="12">
        <f t="shared" si="52"/>
        <v>0.07894736842</v>
      </c>
      <c r="M111" s="12">
        <f t="shared" si="52"/>
        <v>0.2083333333</v>
      </c>
      <c r="N111" s="12">
        <f t="shared" si="52"/>
        <v>0.09677419355</v>
      </c>
      <c r="O111" s="12">
        <f t="shared" si="52"/>
        <v>0.1379310345</v>
      </c>
      <c r="P111" s="12">
        <f t="shared" si="52"/>
        <v>0.1392405063</v>
      </c>
      <c r="Q111" s="12">
        <f t="shared" si="52"/>
        <v>0.2203389831</v>
      </c>
      <c r="R111" s="12">
        <f t="shared" si="52"/>
        <v>0.1578947368</v>
      </c>
      <c r="S111" s="12">
        <f t="shared" si="52"/>
        <v>0.1777777778</v>
      </c>
      <c r="T111" s="12">
        <f t="shared" si="52"/>
        <v>0.1621621622</v>
      </c>
      <c r="U111" s="12">
        <f t="shared" si="52"/>
        <v>0.08333333333</v>
      </c>
      <c r="V111" s="12">
        <f t="shared" si="52"/>
        <v>0.1571428571</v>
      </c>
      <c r="W111" s="12">
        <f t="shared" si="52"/>
        <v>0.2413793103</v>
      </c>
      <c r="X111" s="12">
        <f t="shared" si="52"/>
        <v>0.1739130435</v>
      </c>
      <c r="Y111" s="12">
        <f t="shared" si="52"/>
        <v>0.02985074627</v>
      </c>
      <c r="Z111" s="12">
        <f t="shared" si="52"/>
        <v>0.08536585366</v>
      </c>
      <c r="AA111" s="12">
        <f t="shared" si="52"/>
        <v>0.1129032258</v>
      </c>
      <c r="AB111" s="12">
        <f t="shared" si="52"/>
        <v>0.08064516129</v>
      </c>
      <c r="AC111" s="12"/>
      <c r="AD111" s="12"/>
      <c r="AE111" s="12"/>
      <c r="AF111" s="12"/>
      <c r="AG111" s="12"/>
      <c r="AH111" s="12"/>
      <c r="AI111" s="155"/>
      <c r="AJ111" s="156"/>
    </row>
    <row r="112" ht="15.75" customHeight="1">
      <c r="A112" s="60" t="s">
        <v>95</v>
      </c>
      <c r="B112" s="92">
        <f>SUM(D112:AH112)</f>
        <v>0</v>
      </c>
      <c r="C112" s="92" t="str">
        <f t="shared" si="49"/>
        <v>#DIV/0!</v>
      </c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189"/>
      <c r="AI112" s="150"/>
      <c r="AJ112" s="151"/>
    </row>
    <row r="113" ht="15.75" customHeight="1">
      <c r="A113" s="60" t="s">
        <v>75</v>
      </c>
      <c r="B113" s="92"/>
      <c r="C113" s="92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189"/>
      <c r="AI113" s="150"/>
      <c r="AJ113" s="151"/>
    </row>
    <row r="114" ht="15.75" customHeight="1">
      <c r="A114" s="60"/>
      <c r="B114" s="92"/>
      <c r="C114" s="92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189"/>
      <c r="AI114" s="150"/>
      <c r="AJ114" s="151"/>
    </row>
    <row r="115" ht="15.75" customHeight="1">
      <c r="A115" s="56" t="s">
        <v>96</v>
      </c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144"/>
      <c r="AI115" s="145"/>
      <c r="AJ115" s="146"/>
    </row>
    <row r="116" ht="15.75" customHeight="1">
      <c r="A116" s="11" t="s">
        <v>97</v>
      </c>
      <c r="B116" s="108">
        <f t="shared" ref="B116:B126" si="53">SUM(D116:AH116)</f>
        <v>44177975.17</v>
      </c>
      <c r="C116" s="108">
        <f t="shared" ref="C116:C130" si="54">AVERAGE(D116:AH116)</f>
        <v>1577784.828</v>
      </c>
      <c r="D116" s="104">
        <v>1034896.0</v>
      </c>
      <c r="E116" s="104">
        <v>1442942.5</v>
      </c>
      <c r="F116" s="104">
        <v>1234745.0</v>
      </c>
      <c r="G116" s="104">
        <v>1168454.0</v>
      </c>
      <c r="H116" s="104">
        <v>1658322.5</v>
      </c>
      <c r="I116" s="104">
        <v>1539758.0</v>
      </c>
      <c r="J116" s="104">
        <v>1429134.5</v>
      </c>
      <c r="K116" s="104">
        <v>1261818.25</v>
      </c>
      <c r="L116" s="104">
        <v>1375490.13</v>
      </c>
      <c r="M116" s="104">
        <v>1908340.5</v>
      </c>
      <c r="N116" s="104">
        <v>1118124.5</v>
      </c>
      <c r="O116" s="104">
        <v>909736.5</v>
      </c>
      <c r="P116" s="104">
        <v>1834139.0</v>
      </c>
      <c r="Q116" s="104">
        <v>986005.0</v>
      </c>
      <c r="R116" s="104">
        <v>2537348.0</v>
      </c>
      <c r="S116" s="104">
        <v>816721.5</v>
      </c>
      <c r="T116" s="104">
        <v>1614980.75</v>
      </c>
      <c r="U116" s="104">
        <v>1668264.63</v>
      </c>
      <c r="V116" s="104">
        <v>2262930.84</v>
      </c>
      <c r="W116" s="104">
        <v>2482816.85</v>
      </c>
      <c r="X116" s="104">
        <v>1719466.5</v>
      </c>
      <c r="Y116" s="104">
        <v>1920775.0</v>
      </c>
      <c r="Z116" s="104">
        <v>2266403.5</v>
      </c>
      <c r="AA116" s="104">
        <v>1495020.0</v>
      </c>
      <c r="AB116" s="104">
        <v>1745026.0</v>
      </c>
      <c r="AC116" s="104">
        <v>1503701.65</v>
      </c>
      <c r="AD116" s="104">
        <v>1568622.43</v>
      </c>
      <c r="AE116" s="104">
        <v>1673991.14</v>
      </c>
      <c r="AF116" s="104"/>
      <c r="AG116" s="104"/>
      <c r="AH116" s="167"/>
      <c r="AI116" s="164"/>
      <c r="AJ116" s="165"/>
    </row>
    <row r="117" ht="15.75" customHeight="1">
      <c r="A117" s="11" t="s">
        <v>98</v>
      </c>
      <c r="B117" s="108">
        <f t="shared" si="53"/>
        <v>37479402.79</v>
      </c>
      <c r="C117" s="108">
        <f t="shared" si="54"/>
        <v>1338550.1</v>
      </c>
      <c r="D117" s="104">
        <v>1021400.9</v>
      </c>
      <c r="E117" s="104">
        <v>1322389.7</v>
      </c>
      <c r="F117" s="104">
        <v>966060.9</v>
      </c>
      <c r="G117" s="104">
        <v>823702.2</v>
      </c>
      <c r="H117" s="104">
        <v>1237807.7</v>
      </c>
      <c r="I117" s="104">
        <v>1079213.0</v>
      </c>
      <c r="J117" s="104">
        <v>909313.2</v>
      </c>
      <c r="K117" s="104">
        <v>1176420.5</v>
      </c>
      <c r="L117" s="104">
        <v>1608155.75</v>
      </c>
      <c r="M117" s="104">
        <v>1768319.3</v>
      </c>
      <c r="N117" s="104">
        <v>763465.2</v>
      </c>
      <c r="O117" s="104">
        <v>867525.7</v>
      </c>
      <c r="P117" s="104">
        <v>1562717.6</v>
      </c>
      <c r="Q117" s="104">
        <v>691363.1</v>
      </c>
      <c r="R117" s="104">
        <v>2524540.8</v>
      </c>
      <c r="S117" s="104">
        <v>1314934.4</v>
      </c>
      <c r="T117" s="104">
        <v>1669373.5</v>
      </c>
      <c r="U117" s="104">
        <v>1107631.7</v>
      </c>
      <c r="V117" s="104">
        <v>1747870.4</v>
      </c>
      <c r="W117" s="104">
        <v>2111093.7</v>
      </c>
      <c r="X117" s="104">
        <v>1174154.6</v>
      </c>
      <c r="Y117" s="104">
        <v>1822135.3</v>
      </c>
      <c r="Z117" s="104">
        <v>2066274.2</v>
      </c>
      <c r="AA117" s="104">
        <v>1582786.78</v>
      </c>
      <c r="AB117" s="104">
        <v>1086250.2</v>
      </c>
      <c r="AC117" s="104">
        <v>1249681.78</v>
      </c>
      <c r="AD117" s="104">
        <v>996644.3</v>
      </c>
      <c r="AE117" s="104">
        <v>1228176.38</v>
      </c>
      <c r="AF117" s="104"/>
      <c r="AG117" s="104"/>
      <c r="AH117" s="167"/>
      <c r="AI117" s="164"/>
      <c r="AJ117" s="165"/>
    </row>
    <row r="118" ht="15.75" customHeight="1">
      <c r="A118" s="60" t="s">
        <v>99</v>
      </c>
      <c r="B118" s="92">
        <f t="shared" si="53"/>
        <v>1755</v>
      </c>
      <c r="C118" s="152">
        <f t="shared" si="54"/>
        <v>62.67857143</v>
      </c>
      <c r="D118" s="65">
        <v>54.0</v>
      </c>
      <c r="E118" s="65">
        <v>60.0</v>
      </c>
      <c r="F118" s="65">
        <v>57.0</v>
      </c>
      <c r="G118" s="65">
        <v>53.0</v>
      </c>
      <c r="H118" s="65">
        <v>60.0</v>
      </c>
      <c r="I118" s="65">
        <v>63.0</v>
      </c>
      <c r="J118" s="65">
        <v>53.0</v>
      </c>
      <c r="K118" s="65">
        <v>54.0</v>
      </c>
      <c r="L118" s="65">
        <v>68.0</v>
      </c>
      <c r="M118" s="65">
        <v>66.0</v>
      </c>
      <c r="N118" s="65">
        <v>47.0</v>
      </c>
      <c r="O118" s="65">
        <v>54.0</v>
      </c>
      <c r="P118" s="65">
        <v>72.0</v>
      </c>
      <c r="Q118" s="65">
        <v>58.0</v>
      </c>
      <c r="R118" s="65">
        <v>78.0</v>
      </c>
      <c r="S118" s="65">
        <v>37.0</v>
      </c>
      <c r="T118" s="65">
        <v>63.0</v>
      </c>
      <c r="U118" s="65">
        <v>69.0</v>
      </c>
      <c r="V118" s="65">
        <v>65.0</v>
      </c>
      <c r="W118" s="65">
        <v>70.0</v>
      </c>
      <c r="X118" s="65">
        <v>63.0</v>
      </c>
      <c r="Y118" s="65">
        <v>70.0</v>
      </c>
      <c r="Z118" s="65">
        <v>75.0</v>
      </c>
      <c r="AA118" s="65">
        <v>66.0</v>
      </c>
      <c r="AB118" s="65">
        <v>75.0</v>
      </c>
      <c r="AC118" s="65">
        <v>63.0</v>
      </c>
      <c r="AD118" s="65">
        <v>66.0</v>
      </c>
      <c r="AE118" s="65">
        <v>76.0</v>
      </c>
      <c r="AF118" s="65"/>
      <c r="AG118" s="65"/>
      <c r="AH118" s="153"/>
      <c r="AI118" s="150"/>
      <c r="AJ118" s="151"/>
    </row>
    <row r="119" ht="15.75" customHeight="1">
      <c r="A119" s="60" t="s">
        <v>100</v>
      </c>
      <c r="B119" s="92">
        <f t="shared" si="53"/>
        <v>9287</v>
      </c>
      <c r="C119" s="152">
        <f t="shared" si="54"/>
        <v>331.6785714</v>
      </c>
      <c r="D119" s="65">
        <v>265.0</v>
      </c>
      <c r="E119" s="65">
        <v>310.0</v>
      </c>
      <c r="F119" s="65">
        <v>296.0</v>
      </c>
      <c r="G119" s="65">
        <v>245.0</v>
      </c>
      <c r="H119" s="65">
        <v>318.0</v>
      </c>
      <c r="I119" s="65">
        <v>308.0</v>
      </c>
      <c r="J119" s="65">
        <v>257.0</v>
      </c>
      <c r="K119" s="65">
        <v>263.0</v>
      </c>
      <c r="L119" s="65">
        <v>334.0</v>
      </c>
      <c r="M119" s="65">
        <v>356.0</v>
      </c>
      <c r="N119" s="65">
        <v>259.0</v>
      </c>
      <c r="O119" s="65">
        <v>239.0</v>
      </c>
      <c r="P119" s="65">
        <v>409.0</v>
      </c>
      <c r="Q119" s="65">
        <v>273.0</v>
      </c>
      <c r="R119" s="65">
        <v>429.0</v>
      </c>
      <c r="S119" s="65">
        <v>195.0</v>
      </c>
      <c r="T119" s="65">
        <v>382.0</v>
      </c>
      <c r="U119" s="65">
        <v>390.0</v>
      </c>
      <c r="V119" s="65">
        <v>378.0</v>
      </c>
      <c r="W119" s="65">
        <v>429.0</v>
      </c>
      <c r="X119" s="65">
        <v>324.0</v>
      </c>
      <c r="Y119" s="65">
        <v>380.0</v>
      </c>
      <c r="Z119" s="65">
        <v>462.0</v>
      </c>
      <c r="AA119" s="65">
        <v>391.0</v>
      </c>
      <c r="AB119" s="65">
        <v>380.0</v>
      </c>
      <c r="AC119" s="65">
        <v>322.0</v>
      </c>
      <c r="AD119" s="65">
        <v>313.0</v>
      </c>
      <c r="AE119" s="65">
        <v>380.0</v>
      </c>
      <c r="AF119" s="65"/>
      <c r="AG119" s="65"/>
      <c r="AH119" s="153"/>
      <c r="AI119" s="150"/>
      <c r="AJ119" s="151"/>
    </row>
    <row r="120" ht="15.75" customHeight="1">
      <c r="A120" s="11" t="s">
        <v>101</v>
      </c>
      <c r="B120" s="108">
        <f t="shared" si="53"/>
        <v>0</v>
      </c>
      <c r="C120" s="108">
        <f t="shared" si="54"/>
        <v>0</v>
      </c>
      <c r="D120" s="104">
        <v>0.0</v>
      </c>
      <c r="E120" s="104">
        <v>0.0</v>
      </c>
      <c r="F120" s="104">
        <v>0.0</v>
      </c>
      <c r="G120" s="104">
        <v>0.0</v>
      </c>
      <c r="H120" s="104">
        <v>0.0</v>
      </c>
      <c r="I120" s="104">
        <v>0.0</v>
      </c>
      <c r="J120" s="104">
        <v>0.0</v>
      </c>
      <c r="K120" s="104">
        <v>0.0</v>
      </c>
      <c r="L120" s="104">
        <v>0.0</v>
      </c>
      <c r="M120" s="104">
        <v>0.0</v>
      </c>
      <c r="N120" s="104">
        <v>0.0</v>
      </c>
      <c r="O120" s="104">
        <v>0.0</v>
      </c>
      <c r="P120" s="104">
        <v>0.0</v>
      </c>
      <c r="Q120" s="104">
        <v>0.0</v>
      </c>
      <c r="R120" s="104">
        <v>0.0</v>
      </c>
      <c r="S120" s="104">
        <v>0.0</v>
      </c>
      <c r="T120" s="104">
        <v>0.0</v>
      </c>
      <c r="U120" s="104">
        <v>0.0</v>
      </c>
      <c r="V120" s="104">
        <v>0.0</v>
      </c>
      <c r="W120" s="104">
        <v>0.0</v>
      </c>
      <c r="X120" s="104">
        <v>0.0</v>
      </c>
      <c r="Y120" s="104">
        <v>0.0</v>
      </c>
      <c r="Z120" s="104">
        <v>0.0</v>
      </c>
      <c r="AA120" s="104">
        <v>0.0</v>
      </c>
      <c r="AB120" s="104">
        <v>0.0</v>
      </c>
      <c r="AC120" s="104">
        <v>0.0</v>
      </c>
      <c r="AD120" s="104">
        <v>0.0</v>
      </c>
      <c r="AE120" s="104">
        <v>0.0</v>
      </c>
      <c r="AF120" s="104"/>
      <c r="AG120" s="104"/>
      <c r="AH120" s="104"/>
      <c r="AI120" s="164"/>
      <c r="AJ120" s="165"/>
    </row>
    <row r="121" ht="15.75" customHeight="1">
      <c r="A121" s="11" t="s">
        <v>102</v>
      </c>
      <c r="B121" s="108">
        <f t="shared" si="53"/>
        <v>0</v>
      </c>
      <c r="C121" s="108">
        <f t="shared" si="54"/>
        <v>0</v>
      </c>
      <c r="D121" s="104">
        <v>0.0</v>
      </c>
      <c r="E121" s="104">
        <v>0.0</v>
      </c>
      <c r="F121" s="104">
        <v>0.0</v>
      </c>
      <c r="G121" s="104">
        <v>0.0</v>
      </c>
      <c r="H121" s="104">
        <v>0.0</v>
      </c>
      <c r="I121" s="104">
        <v>0.0</v>
      </c>
      <c r="J121" s="104">
        <v>0.0</v>
      </c>
      <c r="K121" s="104">
        <v>0.0</v>
      </c>
      <c r="L121" s="104">
        <v>0.0</v>
      </c>
      <c r="M121" s="104">
        <v>0.0</v>
      </c>
      <c r="N121" s="104">
        <v>0.0</v>
      </c>
      <c r="O121" s="104">
        <v>0.0</v>
      </c>
      <c r="P121" s="104">
        <v>0.0</v>
      </c>
      <c r="Q121" s="104">
        <v>0.0</v>
      </c>
      <c r="R121" s="104">
        <v>0.0</v>
      </c>
      <c r="S121" s="104">
        <v>0.0</v>
      </c>
      <c r="T121" s="104">
        <v>0.0</v>
      </c>
      <c r="U121" s="104">
        <v>0.0</v>
      </c>
      <c r="V121" s="104">
        <v>0.0</v>
      </c>
      <c r="W121" s="104">
        <v>0.0</v>
      </c>
      <c r="X121" s="104">
        <v>0.0</v>
      </c>
      <c r="Y121" s="104">
        <v>0.0</v>
      </c>
      <c r="Z121" s="104">
        <v>0.0</v>
      </c>
      <c r="AA121" s="104">
        <v>0.0</v>
      </c>
      <c r="AB121" s="104">
        <v>0.0</v>
      </c>
      <c r="AC121" s="104">
        <v>0.0</v>
      </c>
      <c r="AD121" s="104">
        <v>0.0</v>
      </c>
      <c r="AE121" s="104">
        <v>0.0</v>
      </c>
      <c r="AF121" s="104"/>
      <c r="AG121" s="104"/>
      <c r="AH121" s="104"/>
      <c r="AI121" s="164"/>
      <c r="AJ121" s="165"/>
    </row>
    <row r="122" ht="15.75" customHeight="1">
      <c r="A122" s="60" t="s">
        <v>103</v>
      </c>
      <c r="B122" s="92">
        <f t="shared" si="53"/>
        <v>0</v>
      </c>
      <c r="C122" s="92">
        <f t="shared" si="54"/>
        <v>0</v>
      </c>
      <c r="D122" s="65">
        <v>0.0</v>
      </c>
      <c r="E122" s="65">
        <v>0.0</v>
      </c>
      <c r="F122" s="65">
        <v>0.0</v>
      </c>
      <c r="G122" s="65">
        <v>0.0</v>
      </c>
      <c r="H122" s="65">
        <v>0.0</v>
      </c>
      <c r="I122" s="65">
        <v>0.0</v>
      </c>
      <c r="J122" s="65">
        <v>0.0</v>
      </c>
      <c r="K122" s="65">
        <v>0.0</v>
      </c>
      <c r="L122" s="65">
        <v>0.0</v>
      </c>
      <c r="M122" s="65">
        <v>0.0</v>
      </c>
      <c r="N122" s="65">
        <v>0.0</v>
      </c>
      <c r="O122" s="65">
        <v>0.0</v>
      </c>
      <c r="P122" s="65">
        <v>0.0</v>
      </c>
      <c r="Q122" s="65">
        <v>0.0</v>
      </c>
      <c r="R122" s="65">
        <v>0.0</v>
      </c>
      <c r="S122" s="65">
        <v>0.0</v>
      </c>
      <c r="T122" s="65">
        <v>0.0</v>
      </c>
      <c r="U122" s="65">
        <v>0.0</v>
      </c>
      <c r="V122" s="65">
        <v>0.0</v>
      </c>
      <c r="W122" s="65">
        <v>0.0</v>
      </c>
      <c r="X122" s="65">
        <v>0.0</v>
      </c>
      <c r="Y122" s="65">
        <v>0.0</v>
      </c>
      <c r="Z122" s="65">
        <v>0.0</v>
      </c>
      <c r="AA122" s="65">
        <v>0.0</v>
      </c>
      <c r="AB122" s="65">
        <v>0.0</v>
      </c>
      <c r="AC122" s="65">
        <v>0.0</v>
      </c>
      <c r="AD122" s="65">
        <v>0.0</v>
      </c>
      <c r="AE122" s="65">
        <v>0.0</v>
      </c>
      <c r="AF122" s="65"/>
      <c r="AG122" s="65"/>
      <c r="AH122" s="65"/>
      <c r="AI122" s="150"/>
      <c r="AJ122" s="151"/>
    </row>
    <row r="123" ht="15.75" customHeight="1">
      <c r="A123" s="60" t="s">
        <v>104</v>
      </c>
      <c r="B123" s="92">
        <f t="shared" si="53"/>
        <v>0</v>
      </c>
      <c r="C123" s="92">
        <f t="shared" si="54"/>
        <v>0</v>
      </c>
      <c r="D123" s="65">
        <v>0.0</v>
      </c>
      <c r="E123" s="65">
        <v>0.0</v>
      </c>
      <c r="F123" s="65">
        <v>0.0</v>
      </c>
      <c r="G123" s="65">
        <v>0.0</v>
      </c>
      <c r="H123" s="65">
        <v>0.0</v>
      </c>
      <c r="I123" s="65">
        <v>0.0</v>
      </c>
      <c r="J123" s="65">
        <v>0.0</v>
      </c>
      <c r="K123" s="65">
        <v>0.0</v>
      </c>
      <c r="L123" s="65">
        <v>0.0</v>
      </c>
      <c r="M123" s="65">
        <v>0.0</v>
      </c>
      <c r="N123" s="65">
        <v>0.0</v>
      </c>
      <c r="O123" s="65">
        <v>0.0</v>
      </c>
      <c r="P123" s="65">
        <v>0.0</v>
      </c>
      <c r="Q123" s="65">
        <v>0.0</v>
      </c>
      <c r="R123" s="65">
        <v>0.0</v>
      </c>
      <c r="S123" s="65">
        <v>0.0</v>
      </c>
      <c r="T123" s="65">
        <v>0.0</v>
      </c>
      <c r="U123" s="65">
        <v>0.0</v>
      </c>
      <c r="V123" s="65">
        <v>0.0</v>
      </c>
      <c r="W123" s="65">
        <v>0.0</v>
      </c>
      <c r="X123" s="65">
        <v>0.0</v>
      </c>
      <c r="Y123" s="65">
        <v>0.0</v>
      </c>
      <c r="Z123" s="65">
        <v>0.0</v>
      </c>
      <c r="AA123" s="65">
        <v>0.0</v>
      </c>
      <c r="AB123" s="65">
        <v>0.0</v>
      </c>
      <c r="AC123" s="65">
        <v>0.0</v>
      </c>
      <c r="AD123" s="65">
        <v>0.0</v>
      </c>
      <c r="AE123" s="65">
        <v>0.0</v>
      </c>
      <c r="AF123" s="65"/>
      <c r="AG123" s="65"/>
      <c r="AH123" s="65"/>
      <c r="AI123" s="150"/>
      <c r="AJ123" s="151"/>
    </row>
    <row r="124" ht="15.75" customHeight="1">
      <c r="A124" s="60" t="s">
        <v>105</v>
      </c>
      <c r="B124" s="92">
        <f t="shared" si="53"/>
        <v>1755</v>
      </c>
      <c r="C124" s="152">
        <f t="shared" si="54"/>
        <v>56.61290323</v>
      </c>
      <c r="D124" s="60">
        <f t="shared" ref="D124:AH124" si="55">D118+D122</f>
        <v>54</v>
      </c>
      <c r="E124" s="60">
        <f t="shared" si="55"/>
        <v>60</v>
      </c>
      <c r="F124" s="60">
        <f t="shared" si="55"/>
        <v>57</v>
      </c>
      <c r="G124" s="60">
        <f t="shared" si="55"/>
        <v>53</v>
      </c>
      <c r="H124" s="60">
        <f t="shared" si="55"/>
        <v>60</v>
      </c>
      <c r="I124" s="60">
        <f t="shared" si="55"/>
        <v>63</v>
      </c>
      <c r="J124" s="60">
        <f t="shared" si="55"/>
        <v>53</v>
      </c>
      <c r="K124" s="60">
        <f t="shared" si="55"/>
        <v>54</v>
      </c>
      <c r="L124" s="60">
        <f t="shared" si="55"/>
        <v>68</v>
      </c>
      <c r="M124" s="60">
        <f t="shared" si="55"/>
        <v>66</v>
      </c>
      <c r="N124" s="60">
        <f t="shared" si="55"/>
        <v>47</v>
      </c>
      <c r="O124" s="60">
        <f t="shared" si="55"/>
        <v>54</v>
      </c>
      <c r="P124" s="60">
        <f t="shared" si="55"/>
        <v>72</v>
      </c>
      <c r="Q124" s="60">
        <f t="shared" si="55"/>
        <v>58</v>
      </c>
      <c r="R124" s="60">
        <f t="shared" si="55"/>
        <v>78</v>
      </c>
      <c r="S124" s="60">
        <f t="shared" si="55"/>
        <v>37</v>
      </c>
      <c r="T124" s="60">
        <f t="shared" si="55"/>
        <v>63</v>
      </c>
      <c r="U124" s="60">
        <f t="shared" si="55"/>
        <v>69</v>
      </c>
      <c r="V124" s="60">
        <f t="shared" si="55"/>
        <v>65</v>
      </c>
      <c r="W124" s="60">
        <f t="shared" si="55"/>
        <v>70</v>
      </c>
      <c r="X124" s="60">
        <f t="shared" si="55"/>
        <v>63</v>
      </c>
      <c r="Y124" s="60">
        <f t="shared" si="55"/>
        <v>70</v>
      </c>
      <c r="Z124" s="60">
        <f t="shared" si="55"/>
        <v>75</v>
      </c>
      <c r="AA124" s="60">
        <f t="shared" si="55"/>
        <v>66</v>
      </c>
      <c r="AB124" s="60">
        <f t="shared" si="55"/>
        <v>75</v>
      </c>
      <c r="AC124" s="60">
        <f t="shared" si="55"/>
        <v>63</v>
      </c>
      <c r="AD124" s="60">
        <f t="shared" si="55"/>
        <v>66</v>
      </c>
      <c r="AE124" s="60">
        <f t="shared" si="55"/>
        <v>76</v>
      </c>
      <c r="AF124" s="60">
        <f t="shared" si="55"/>
        <v>0</v>
      </c>
      <c r="AG124" s="60">
        <f t="shared" si="55"/>
        <v>0</v>
      </c>
      <c r="AH124" s="60">
        <f t="shared" si="55"/>
        <v>0</v>
      </c>
      <c r="AI124" s="150"/>
      <c r="AJ124" s="151"/>
    </row>
    <row r="125" ht="15.75" customHeight="1">
      <c r="A125" s="11" t="s">
        <v>106</v>
      </c>
      <c r="B125" s="108">
        <f t="shared" si="53"/>
        <v>44177975.17</v>
      </c>
      <c r="C125" s="108">
        <f t="shared" si="54"/>
        <v>1425095.973</v>
      </c>
      <c r="D125" s="11">
        <f t="shared" ref="D125:AH125" si="56">D116+D120</f>
        <v>1034896</v>
      </c>
      <c r="E125" s="11">
        <f t="shared" si="56"/>
        <v>1442942.5</v>
      </c>
      <c r="F125" s="11">
        <f t="shared" si="56"/>
        <v>1234745</v>
      </c>
      <c r="G125" s="11">
        <f t="shared" si="56"/>
        <v>1168454</v>
      </c>
      <c r="H125" s="11">
        <f t="shared" si="56"/>
        <v>1658322.5</v>
      </c>
      <c r="I125" s="11">
        <f t="shared" si="56"/>
        <v>1539758</v>
      </c>
      <c r="J125" s="11">
        <f t="shared" si="56"/>
        <v>1429134.5</v>
      </c>
      <c r="K125" s="11">
        <f t="shared" si="56"/>
        <v>1261818.25</v>
      </c>
      <c r="L125" s="11">
        <f t="shared" si="56"/>
        <v>1375490.13</v>
      </c>
      <c r="M125" s="11">
        <f t="shared" si="56"/>
        <v>1908340.5</v>
      </c>
      <c r="N125" s="11">
        <f t="shared" si="56"/>
        <v>1118124.5</v>
      </c>
      <c r="O125" s="11">
        <f t="shared" si="56"/>
        <v>909736.5</v>
      </c>
      <c r="P125" s="11">
        <f t="shared" si="56"/>
        <v>1834139</v>
      </c>
      <c r="Q125" s="11">
        <f t="shared" si="56"/>
        <v>986005</v>
      </c>
      <c r="R125" s="11">
        <f t="shared" si="56"/>
        <v>2537348</v>
      </c>
      <c r="S125" s="11">
        <f t="shared" si="56"/>
        <v>816721.5</v>
      </c>
      <c r="T125" s="11">
        <f t="shared" si="56"/>
        <v>1614980.75</v>
      </c>
      <c r="U125" s="11">
        <f t="shared" si="56"/>
        <v>1668264.63</v>
      </c>
      <c r="V125" s="11">
        <f t="shared" si="56"/>
        <v>2262930.84</v>
      </c>
      <c r="W125" s="11">
        <f t="shared" si="56"/>
        <v>2482816.85</v>
      </c>
      <c r="X125" s="11">
        <f t="shared" si="56"/>
        <v>1719466.5</v>
      </c>
      <c r="Y125" s="11">
        <f t="shared" si="56"/>
        <v>1920775</v>
      </c>
      <c r="Z125" s="11">
        <f t="shared" si="56"/>
        <v>2266403.5</v>
      </c>
      <c r="AA125" s="11">
        <f t="shared" si="56"/>
        <v>1495020</v>
      </c>
      <c r="AB125" s="11">
        <f t="shared" si="56"/>
        <v>1745026</v>
      </c>
      <c r="AC125" s="11">
        <f t="shared" si="56"/>
        <v>1503701.65</v>
      </c>
      <c r="AD125" s="11">
        <f t="shared" si="56"/>
        <v>1568622.43</v>
      </c>
      <c r="AE125" s="11">
        <f t="shared" si="56"/>
        <v>1673991.14</v>
      </c>
      <c r="AF125" s="11">
        <f t="shared" si="56"/>
        <v>0</v>
      </c>
      <c r="AG125" s="11">
        <f t="shared" si="56"/>
        <v>0</v>
      </c>
      <c r="AH125" s="11">
        <f t="shared" si="56"/>
        <v>0</v>
      </c>
      <c r="AI125" s="164"/>
      <c r="AJ125" s="165"/>
    </row>
    <row r="126" ht="15.75" customHeight="1">
      <c r="A126" s="11" t="s">
        <v>107</v>
      </c>
      <c r="B126" s="108">
        <f t="shared" si="53"/>
        <v>37479402.79</v>
      </c>
      <c r="C126" s="108">
        <f t="shared" si="54"/>
        <v>1209012.993</v>
      </c>
      <c r="D126" s="11">
        <f t="shared" ref="D126:AH126" si="57">D117+D121</f>
        <v>1021400.9</v>
      </c>
      <c r="E126" s="11">
        <f t="shared" si="57"/>
        <v>1322389.7</v>
      </c>
      <c r="F126" s="11">
        <f t="shared" si="57"/>
        <v>966060.9</v>
      </c>
      <c r="G126" s="11">
        <f t="shared" si="57"/>
        <v>823702.2</v>
      </c>
      <c r="H126" s="11">
        <f t="shared" si="57"/>
        <v>1237807.7</v>
      </c>
      <c r="I126" s="11">
        <f t="shared" si="57"/>
        <v>1079213</v>
      </c>
      <c r="J126" s="11">
        <f t="shared" si="57"/>
        <v>909313.2</v>
      </c>
      <c r="K126" s="11">
        <f t="shared" si="57"/>
        <v>1176420.5</v>
      </c>
      <c r="L126" s="11">
        <f t="shared" si="57"/>
        <v>1608155.75</v>
      </c>
      <c r="M126" s="11">
        <f t="shared" si="57"/>
        <v>1768319.3</v>
      </c>
      <c r="N126" s="11">
        <f t="shared" si="57"/>
        <v>763465.2</v>
      </c>
      <c r="O126" s="11">
        <f t="shared" si="57"/>
        <v>867525.7</v>
      </c>
      <c r="P126" s="11">
        <f t="shared" si="57"/>
        <v>1562717.6</v>
      </c>
      <c r="Q126" s="11">
        <f t="shared" si="57"/>
        <v>691363.1</v>
      </c>
      <c r="R126" s="11">
        <f t="shared" si="57"/>
        <v>2524540.8</v>
      </c>
      <c r="S126" s="11">
        <f t="shared" si="57"/>
        <v>1314934.4</v>
      </c>
      <c r="T126" s="11">
        <f t="shared" si="57"/>
        <v>1669373.5</v>
      </c>
      <c r="U126" s="11">
        <f t="shared" si="57"/>
        <v>1107631.7</v>
      </c>
      <c r="V126" s="11">
        <f t="shared" si="57"/>
        <v>1747870.4</v>
      </c>
      <c r="W126" s="11">
        <f t="shared" si="57"/>
        <v>2111093.7</v>
      </c>
      <c r="X126" s="11">
        <f t="shared" si="57"/>
        <v>1174154.6</v>
      </c>
      <c r="Y126" s="11">
        <f t="shared" si="57"/>
        <v>1822135.3</v>
      </c>
      <c r="Z126" s="11">
        <f t="shared" si="57"/>
        <v>2066274.2</v>
      </c>
      <c r="AA126" s="11">
        <f t="shared" si="57"/>
        <v>1582786.78</v>
      </c>
      <c r="AB126" s="11">
        <f t="shared" si="57"/>
        <v>1086250.2</v>
      </c>
      <c r="AC126" s="11">
        <f t="shared" si="57"/>
        <v>1249681.78</v>
      </c>
      <c r="AD126" s="11">
        <f t="shared" si="57"/>
        <v>996644.3</v>
      </c>
      <c r="AE126" s="11">
        <f t="shared" si="57"/>
        <v>1228176.38</v>
      </c>
      <c r="AF126" s="11">
        <f t="shared" si="57"/>
        <v>0</v>
      </c>
      <c r="AG126" s="11">
        <f t="shared" si="57"/>
        <v>0</v>
      </c>
      <c r="AH126" s="11">
        <f t="shared" si="57"/>
        <v>0</v>
      </c>
      <c r="AI126" s="164"/>
      <c r="AJ126" s="165"/>
    </row>
    <row r="127" ht="15.75" customHeight="1">
      <c r="A127" s="12" t="s">
        <v>40</v>
      </c>
      <c r="B127" s="68">
        <f>C127</f>
        <v>0.8586365513</v>
      </c>
      <c r="C127" s="68">
        <f t="shared" si="54"/>
        <v>0.8586365513</v>
      </c>
      <c r="D127" s="12">
        <f t="shared" ref="D127:AE127" si="58">D126/D125</f>
        <v>0.9869599457</v>
      </c>
      <c r="E127" s="12">
        <f t="shared" si="58"/>
        <v>0.9164534969</v>
      </c>
      <c r="F127" s="12">
        <f t="shared" si="58"/>
        <v>0.7823970941</v>
      </c>
      <c r="G127" s="12">
        <f t="shared" si="58"/>
        <v>0.704950473</v>
      </c>
      <c r="H127" s="12">
        <f t="shared" si="58"/>
        <v>0.7464215796</v>
      </c>
      <c r="I127" s="12">
        <f t="shared" si="58"/>
        <v>0.7008978034</v>
      </c>
      <c r="J127" s="12">
        <f t="shared" si="58"/>
        <v>0.6362684548</v>
      </c>
      <c r="K127" s="12">
        <f t="shared" si="58"/>
        <v>0.9323216715</v>
      </c>
      <c r="L127" s="12">
        <f t="shared" si="58"/>
        <v>1.169151065</v>
      </c>
      <c r="M127" s="12">
        <f t="shared" si="58"/>
        <v>0.926626721</v>
      </c>
      <c r="N127" s="12">
        <f t="shared" si="58"/>
        <v>0.682808757</v>
      </c>
      <c r="O127" s="12">
        <f t="shared" si="58"/>
        <v>0.9536010702</v>
      </c>
      <c r="P127" s="12">
        <f t="shared" si="58"/>
        <v>0.8520169954</v>
      </c>
      <c r="Q127" s="12">
        <f t="shared" si="58"/>
        <v>0.7011760589</v>
      </c>
      <c r="R127" s="12">
        <f t="shared" si="58"/>
        <v>0.9949525252</v>
      </c>
      <c r="S127" s="12">
        <f t="shared" si="58"/>
        <v>1.610015654</v>
      </c>
      <c r="T127" s="12">
        <f t="shared" si="58"/>
        <v>1.033680123</v>
      </c>
      <c r="U127" s="12">
        <f t="shared" si="58"/>
        <v>0.6639424466</v>
      </c>
      <c r="V127" s="12">
        <f t="shared" si="58"/>
        <v>0.7723923193</v>
      </c>
      <c r="W127" s="12">
        <f t="shared" si="58"/>
        <v>0.8502816871</v>
      </c>
      <c r="X127" s="12">
        <f t="shared" si="58"/>
        <v>0.6828598289</v>
      </c>
      <c r="Y127" s="12">
        <f t="shared" si="58"/>
        <v>0.9486458851</v>
      </c>
      <c r="Z127" s="12">
        <f t="shared" si="58"/>
        <v>0.9116974096</v>
      </c>
      <c r="AA127" s="12">
        <f t="shared" si="58"/>
        <v>1.058706091</v>
      </c>
      <c r="AB127" s="12">
        <f t="shared" si="58"/>
        <v>0.6224836765</v>
      </c>
      <c r="AC127" s="12">
        <f t="shared" si="58"/>
        <v>0.8310702991</v>
      </c>
      <c r="AD127" s="12">
        <f t="shared" si="58"/>
        <v>0.635362775</v>
      </c>
      <c r="AE127" s="12">
        <f t="shared" si="58"/>
        <v>0.7336815295</v>
      </c>
      <c r="AF127" s="12"/>
      <c r="AG127" s="12"/>
      <c r="AH127" s="12"/>
      <c r="AI127" s="155"/>
      <c r="AJ127" s="156"/>
    </row>
    <row r="128" ht="15.75" customHeight="1">
      <c r="A128" s="11" t="s">
        <v>43</v>
      </c>
      <c r="B128" s="108">
        <f t="shared" ref="B128:B130" si="60">SUM(D128:AH128)</f>
        <v>6698572.38</v>
      </c>
      <c r="C128" s="108">
        <f t="shared" si="54"/>
        <v>216082.98</v>
      </c>
      <c r="D128" s="11">
        <f t="shared" ref="D128:AH128" si="59">D125-D126</f>
        <v>13495.1</v>
      </c>
      <c r="E128" s="11">
        <f t="shared" si="59"/>
        <v>120552.8</v>
      </c>
      <c r="F128" s="11">
        <f t="shared" si="59"/>
        <v>268684.1</v>
      </c>
      <c r="G128" s="11">
        <f t="shared" si="59"/>
        <v>344751.8</v>
      </c>
      <c r="H128" s="11">
        <f t="shared" si="59"/>
        <v>420514.8</v>
      </c>
      <c r="I128" s="11">
        <f t="shared" si="59"/>
        <v>460545</v>
      </c>
      <c r="J128" s="11">
        <f t="shared" si="59"/>
        <v>519821.3</v>
      </c>
      <c r="K128" s="11">
        <f t="shared" si="59"/>
        <v>85397.75</v>
      </c>
      <c r="L128" s="11">
        <f t="shared" si="59"/>
        <v>-232665.62</v>
      </c>
      <c r="M128" s="11">
        <f t="shared" si="59"/>
        <v>140021.2</v>
      </c>
      <c r="N128" s="11">
        <f t="shared" si="59"/>
        <v>354659.3</v>
      </c>
      <c r="O128" s="11">
        <f t="shared" si="59"/>
        <v>42210.8</v>
      </c>
      <c r="P128" s="11">
        <f t="shared" si="59"/>
        <v>271421.4</v>
      </c>
      <c r="Q128" s="11">
        <f t="shared" si="59"/>
        <v>294641.9</v>
      </c>
      <c r="R128" s="11">
        <f t="shared" si="59"/>
        <v>12807.2</v>
      </c>
      <c r="S128" s="11">
        <f t="shared" si="59"/>
        <v>-498212.9</v>
      </c>
      <c r="T128" s="11">
        <f t="shared" si="59"/>
        <v>-54392.75</v>
      </c>
      <c r="U128" s="11">
        <f t="shared" si="59"/>
        <v>560632.93</v>
      </c>
      <c r="V128" s="11">
        <f t="shared" si="59"/>
        <v>515060.44</v>
      </c>
      <c r="W128" s="11">
        <f t="shared" si="59"/>
        <v>371723.15</v>
      </c>
      <c r="X128" s="11">
        <f t="shared" si="59"/>
        <v>545311.9</v>
      </c>
      <c r="Y128" s="11">
        <f t="shared" si="59"/>
        <v>98639.7</v>
      </c>
      <c r="Z128" s="11">
        <f t="shared" si="59"/>
        <v>200129.3</v>
      </c>
      <c r="AA128" s="11">
        <f t="shared" si="59"/>
        <v>-87766.78</v>
      </c>
      <c r="AB128" s="11">
        <f t="shared" si="59"/>
        <v>658775.8</v>
      </c>
      <c r="AC128" s="11">
        <f t="shared" si="59"/>
        <v>254019.87</v>
      </c>
      <c r="AD128" s="11">
        <f t="shared" si="59"/>
        <v>571978.13</v>
      </c>
      <c r="AE128" s="11">
        <f t="shared" si="59"/>
        <v>445814.76</v>
      </c>
      <c r="AF128" s="11">
        <f t="shared" si="59"/>
        <v>0</v>
      </c>
      <c r="AG128" s="11">
        <f t="shared" si="59"/>
        <v>0</v>
      </c>
      <c r="AH128" s="11">
        <f t="shared" si="59"/>
        <v>0</v>
      </c>
      <c r="AI128" s="164"/>
      <c r="AJ128" s="165"/>
    </row>
    <row r="129" ht="15.75" customHeight="1">
      <c r="A129" s="11" t="s">
        <v>108</v>
      </c>
      <c r="B129" s="108">
        <f t="shared" si="60"/>
        <v>0</v>
      </c>
      <c r="C129" s="108">
        <f t="shared" si="54"/>
        <v>0</v>
      </c>
      <c r="D129" s="104">
        <v>0.0</v>
      </c>
      <c r="E129" s="104">
        <v>0.0</v>
      </c>
      <c r="F129" s="104">
        <v>0.0</v>
      </c>
      <c r="G129" s="104">
        <v>0.0</v>
      </c>
      <c r="H129" s="104">
        <v>0.0</v>
      </c>
      <c r="I129" s="104">
        <v>0.0</v>
      </c>
      <c r="J129" s="104">
        <v>0.0</v>
      </c>
      <c r="K129" s="104">
        <v>0.0</v>
      </c>
      <c r="L129" s="104">
        <v>0.0</v>
      </c>
      <c r="M129" s="104">
        <v>0.0</v>
      </c>
      <c r="N129" s="104">
        <v>0.0</v>
      </c>
      <c r="O129" s="104">
        <v>0.0</v>
      </c>
      <c r="P129" s="104">
        <v>0.0</v>
      </c>
      <c r="Q129" s="104">
        <v>0.0</v>
      </c>
      <c r="R129" s="104">
        <v>0.0</v>
      </c>
      <c r="S129" s="104">
        <v>0.0</v>
      </c>
      <c r="T129" s="104">
        <v>0.0</v>
      </c>
      <c r="U129" s="104">
        <v>0.0</v>
      </c>
      <c r="V129" s="104">
        <v>0.0</v>
      </c>
      <c r="W129" s="104">
        <v>0.0</v>
      </c>
      <c r="X129" s="104">
        <v>0.0</v>
      </c>
      <c r="Y129" s="104">
        <v>0.0</v>
      </c>
      <c r="Z129" s="104">
        <v>0.0</v>
      </c>
      <c r="AA129" s="104">
        <v>0.0</v>
      </c>
      <c r="AB129" s="104">
        <v>0.0</v>
      </c>
      <c r="AC129" s="104">
        <v>0.0</v>
      </c>
      <c r="AD129" s="104">
        <v>0.0</v>
      </c>
      <c r="AE129" s="104">
        <v>0.0</v>
      </c>
      <c r="AF129" s="104">
        <v>0.0</v>
      </c>
      <c r="AG129" s="104">
        <v>0.0</v>
      </c>
      <c r="AH129" s="104">
        <v>0.0</v>
      </c>
      <c r="AI129" s="164"/>
      <c r="AJ129" s="165"/>
    </row>
    <row r="130" ht="15.75" customHeight="1">
      <c r="A130" s="11" t="s">
        <v>62</v>
      </c>
      <c r="B130" s="108">
        <f t="shared" si="60"/>
        <v>6698572.38</v>
      </c>
      <c r="C130" s="108">
        <f t="shared" si="54"/>
        <v>216082.98</v>
      </c>
      <c r="D130" s="11">
        <f t="shared" ref="D130:AH130" si="61">D128-D129</f>
        <v>13495.1</v>
      </c>
      <c r="E130" s="11">
        <f t="shared" si="61"/>
        <v>120552.8</v>
      </c>
      <c r="F130" s="11">
        <f t="shared" si="61"/>
        <v>268684.1</v>
      </c>
      <c r="G130" s="11">
        <f t="shared" si="61"/>
        <v>344751.8</v>
      </c>
      <c r="H130" s="11">
        <f t="shared" si="61"/>
        <v>420514.8</v>
      </c>
      <c r="I130" s="11">
        <f t="shared" si="61"/>
        <v>460545</v>
      </c>
      <c r="J130" s="11">
        <f t="shared" si="61"/>
        <v>519821.3</v>
      </c>
      <c r="K130" s="11">
        <f t="shared" si="61"/>
        <v>85397.75</v>
      </c>
      <c r="L130" s="11">
        <f t="shared" si="61"/>
        <v>-232665.62</v>
      </c>
      <c r="M130" s="11">
        <f t="shared" si="61"/>
        <v>140021.2</v>
      </c>
      <c r="N130" s="11">
        <f t="shared" si="61"/>
        <v>354659.3</v>
      </c>
      <c r="O130" s="11">
        <f t="shared" si="61"/>
        <v>42210.8</v>
      </c>
      <c r="P130" s="11">
        <f t="shared" si="61"/>
        <v>271421.4</v>
      </c>
      <c r="Q130" s="11">
        <f t="shared" si="61"/>
        <v>294641.9</v>
      </c>
      <c r="R130" s="11">
        <f t="shared" si="61"/>
        <v>12807.2</v>
      </c>
      <c r="S130" s="11">
        <f t="shared" si="61"/>
        <v>-498212.9</v>
      </c>
      <c r="T130" s="11">
        <f t="shared" si="61"/>
        <v>-54392.75</v>
      </c>
      <c r="U130" s="11">
        <f t="shared" si="61"/>
        <v>560632.93</v>
      </c>
      <c r="V130" s="11">
        <f t="shared" si="61"/>
        <v>515060.44</v>
      </c>
      <c r="W130" s="11">
        <f t="shared" si="61"/>
        <v>371723.15</v>
      </c>
      <c r="X130" s="11">
        <f t="shared" si="61"/>
        <v>545311.9</v>
      </c>
      <c r="Y130" s="11">
        <f t="shared" si="61"/>
        <v>98639.7</v>
      </c>
      <c r="Z130" s="11">
        <f t="shared" si="61"/>
        <v>200129.3</v>
      </c>
      <c r="AA130" s="11">
        <f t="shared" si="61"/>
        <v>-87766.78</v>
      </c>
      <c r="AB130" s="11">
        <f t="shared" si="61"/>
        <v>658775.8</v>
      </c>
      <c r="AC130" s="11">
        <f t="shared" si="61"/>
        <v>254019.87</v>
      </c>
      <c r="AD130" s="11">
        <f t="shared" si="61"/>
        <v>571978.13</v>
      </c>
      <c r="AE130" s="11">
        <f t="shared" si="61"/>
        <v>445814.76</v>
      </c>
      <c r="AF130" s="11">
        <f t="shared" si="61"/>
        <v>0</v>
      </c>
      <c r="AG130" s="11">
        <f t="shared" si="61"/>
        <v>0</v>
      </c>
      <c r="AH130" s="11">
        <f t="shared" si="61"/>
        <v>0</v>
      </c>
      <c r="AI130" s="164"/>
      <c r="AJ130" s="165"/>
    </row>
    <row r="131" ht="15.75" customHeight="1">
      <c r="A131" s="60" t="s">
        <v>64</v>
      </c>
      <c r="B131" s="92"/>
      <c r="C131" s="92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189"/>
      <c r="AI131" s="150"/>
      <c r="AJ131" s="151"/>
    </row>
    <row r="132" ht="15.75" customHeight="1">
      <c r="A132" s="60" t="s">
        <v>75</v>
      </c>
      <c r="B132" s="92"/>
      <c r="C132" s="92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189"/>
      <c r="AI132" s="150"/>
      <c r="AJ132" s="151"/>
    </row>
    <row r="133" ht="15.75" customHeight="1">
      <c r="A133" s="60"/>
      <c r="B133" s="92"/>
      <c r="C133" s="92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189"/>
      <c r="AI133" s="150"/>
      <c r="AJ133" s="151"/>
    </row>
    <row r="134" ht="15.75" customHeight="1">
      <c r="A134" s="56" t="s">
        <v>109</v>
      </c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144"/>
      <c r="AI134" s="145"/>
      <c r="AJ134" s="146"/>
    </row>
    <row r="135" ht="15.75" customHeight="1">
      <c r="A135" s="11" t="s">
        <v>97</v>
      </c>
      <c r="B135" s="108">
        <f t="shared" ref="B135:B145" si="62">SUM(D135:AH135)</f>
        <v>192921306.8</v>
      </c>
      <c r="C135" s="108">
        <f t="shared" ref="C135:C149" si="63">AVERAGE(D135:AH135)</f>
        <v>6890046.67</v>
      </c>
      <c r="D135" s="104">
        <v>8444736.5</v>
      </c>
      <c r="E135" s="104">
        <v>7216650.5</v>
      </c>
      <c r="F135" s="104">
        <v>6572642.5</v>
      </c>
      <c r="G135" s="104">
        <v>6332862.5</v>
      </c>
      <c r="H135" s="227">
        <v>8856345.5</v>
      </c>
      <c r="I135" s="227">
        <v>7445578.5</v>
      </c>
      <c r="J135" s="227">
        <v>1.01128525E7</v>
      </c>
      <c r="K135" s="104">
        <v>8926770.5</v>
      </c>
      <c r="L135" s="193">
        <v>6598549.25</v>
      </c>
      <c r="M135" s="104">
        <v>7077836.5</v>
      </c>
      <c r="N135" s="104">
        <v>6605032.5</v>
      </c>
      <c r="O135" s="104">
        <v>5565424.5</v>
      </c>
      <c r="P135" s="104">
        <v>5161684.5</v>
      </c>
      <c r="Q135" s="104">
        <v>5521939.0</v>
      </c>
      <c r="R135" s="104">
        <v>8672571.0</v>
      </c>
      <c r="S135" s="104">
        <v>3628994.5</v>
      </c>
      <c r="T135" s="104">
        <v>5020057.5</v>
      </c>
      <c r="U135" s="104">
        <v>3117245.5</v>
      </c>
      <c r="V135" s="104">
        <v>5490258.0</v>
      </c>
      <c r="W135" s="104">
        <v>6425436.5</v>
      </c>
      <c r="X135" s="104">
        <v>3932489.0</v>
      </c>
      <c r="Y135" s="104">
        <v>6239344.0</v>
      </c>
      <c r="Z135" s="104">
        <v>6923679.0</v>
      </c>
      <c r="AA135" s="104">
        <v>6095606.5</v>
      </c>
      <c r="AB135" s="104">
        <v>1.2356284E7</v>
      </c>
      <c r="AC135" s="104">
        <v>8362667.0</v>
      </c>
      <c r="AD135" s="104">
        <v>6498762.0</v>
      </c>
      <c r="AE135" s="104">
        <v>9719007.0</v>
      </c>
      <c r="AF135" s="104"/>
      <c r="AG135" s="104"/>
      <c r="AH135" s="167"/>
      <c r="AI135" s="164"/>
      <c r="AJ135" s="165"/>
    </row>
    <row r="136" ht="15.75" customHeight="1">
      <c r="A136" s="11" t="s">
        <v>98</v>
      </c>
      <c r="B136" s="108">
        <f t="shared" si="62"/>
        <v>188840393.7</v>
      </c>
      <c r="C136" s="108">
        <f t="shared" si="63"/>
        <v>6744299.775</v>
      </c>
      <c r="D136" s="104">
        <v>8900008.6</v>
      </c>
      <c r="E136" s="104">
        <v>6846826.8</v>
      </c>
      <c r="F136" s="104">
        <v>6690601.4</v>
      </c>
      <c r="G136" s="104">
        <v>6240739.7</v>
      </c>
      <c r="H136" s="227">
        <v>8639277.8</v>
      </c>
      <c r="I136" s="227">
        <v>7748453.1</v>
      </c>
      <c r="J136" s="227">
        <v>1.03545114E7</v>
      </c>
      <c r="K136" s="104">
        <v>9172044.4</v>
      </c>
      <c r="L136" s="104">
        <v>6179268.2</v>
      </c>
      <c r="M136" s="104">
        <v>7109811.8</v>
      </c>
      <c r="N136" s="104">
        <v>6688108.0</v>
      </c>
      <c r="O136" s="104">
        <v>5648378.8</v>
      </c>
      <c r="P136" s="104">
        <v>4675323.8</v>
      </c>
      <c r="Q136" s="104">
        <v>5471123.7</v>
      </c>
      <c r="R136" s="104">
        <v>8441130.0</v>
      </c>
      <c r="S136" s="104">
        <v>3489183.3</v>
      </c>
      <c r="T136" s="104">
        <v>4698882.6</v>
      </c>
      <c r="U136" s="104">
        <v>2764449.3</v>
      </c>
      <c r="V136" s="104">
        <v>5031930.8</v>
      </c>
      <c r="W136" s="104">
        <v>6444840.8</v>
      </c>
      <c r="X136" s="104">
        <v>3793620.8</v>
      </c>
      <c r="Y136" s="104">
        <v>6087738.6</v>
      </c>
      <c r="Z136" s="104">
        <v>6795043.2</v>
      </c>
      <c r="AA136" s="104">
        <v>6027921.7</v>
      </c>
      <c r="AB136" s="104">
        <v>1.2054667E7</v>
      </c>
      <c r="AC136" s="104">
        <v>7822613.3</v>
      </c>
      <c r="AD136" s="104">
        <v>5727805.7</v>
      </c>
      <c r="AE136" s="104">
        <v>9296089.1</v>
      </c>
      <c r="AF136" s="104"/>
      <c r="AG136" s="104"/>
      <c r="AH136" s="167"/>
      <c r="AI136" s="164"/>
      <c r="AJ136" s="165"/>
    </row>
    <row r="137" ht="15.75" customHeight="1">
      <c r="A137" s="60" t="s">
        <v>99</v>
      </c>
      <c r="B137" s="92">
        <f t="shared" si="62"/>
        <v>1920</v>
      </c>
      <c r="C137" s="92">
        <f t="shared" si="63"/>
        <v>68.57142857</v>
      </c>
      <c r="D137" s="65">
        <v>61.0</v>
      </c>
      <c r="E137" s="65">
        <v>60.0</v>
      </c>
      <c r="F137" s="65">
        <v>47.0</v>
      </c>
      <c r="G137" s="65">
        <v>56.0</v>
      </c>
      <c r="H137" s="228">
        <v>60.0</v>
      </c>
      <c r="I137" s="228">
        <v>67.0</v>
      </c>
      <c r="J137" s="228">
        <v>57.0</v>
      </c>
      <c r="K137" s="65">
        <v>46.0</v>
      </c>
      <c r="L137" s="65">
        <v>56.0</v>
      </c>
      <c r="M137" s="65">
        <v>68.0</v>
      </c>
      <c r="N137" s="65">
        <v>63.0</v>
      </c>
      <c r="O137" s="65">
        <v>65.0</v>
      </c>
      <c r="P137" s="65">
        <v>71.0</v>
      </c>
      <c r="Q137" s="65">
        <v>56.0</v>
      </c>
      <c r="R137" s="65">
        <v>88.0</v>
      </c>
      <c r="S137" s="65">
        <v>41.0</v>
      </c>
      <c r="T137" s="65">
        <v>71.0</v>
      </c>
      <c r="U137" s="65">
        <v>57.0</v>
      </c>
      <c r="V137" s="65">
        <v>74.0</v>
      </c>
      <c r="W137" s="65">
        <v>81.0</v>
      </c>
      <c r="X137" s="65">
        <v>73.0</v>
      </c>
      <c r="Y137" s="65">
        <v>95.0</v>
      </c>
      <c r="Z137" s="65">
        <v>104.0</v>
      </c>
      <c r="AA137" s="65">
        <v>71.0</v>
      </c>
      <c r="AB137" s="65">
        <v>67.0</v>
      </c>
      <c r="AC137" s="65">
        <v>77.0</v>
      </c>
      <c r="AD137" s="65">
        <v>87.0</v>
      </c>
      <c r="AE137" s="65">
        <v>101.0</v>
      </c>
      <c r="AF137" s="65"/>
      <c r="AG137" s="65"/>
      <c r="AH137" s="153"/>
      <c r="AI137" s="150"/>
      <c r="AJ137" s="151"/>
    </row>
    <row r="138" ht="15.75" customHeight="1">
      <c r="A138" s="60" t="s">
        <v>100</v>
      </c>
      <c r="B138" s="92">
        <f t="shared" si="62"/>
        <v>9453</v>
      </c>
      <c r="C138" s="92">
        <f t="shared" si="63"/>
        <v>337.6071429</v>
      </c>
      <c r="D138" s="65">
        <v>375.0</v>
      </c>
      <c r="E138" s="65">
        <v>346.0</v>
      </c>
      <c r="F138" s="65">
        <v>340.0</v>
      </c>
      <c r="G138" s="65">
        <v>270.0</v>
      </c>
      <c r="H138" s="228">
        <v>348.0</v>
      </c>
      <c r="I138" s="228">
        <v>355.0</v>
      </c>
      <c r="J138" s="228">
        <v>335.0</v>
      </c>
      <c r="K138" s="65">
        <v>344.0</v>
      </c>
      <c r="L138" s="65">
        <v>302.0</v>
      </c>
      <c r="M138" s="65">
        <v>424.0</v>
      </c>
      <c r="N138" s="65">
        <v>356.0</v>
      </c>
      <c r="O138" s="65">
        <v>281.0</v>
      </c>
      <c r="P138" s="65">
        <v>335.0</v>
      </c>
      <c r="Q138" s="65">
        <v>273.0</v>
      </c>
      <c r="R138" s="65">
        <v>429.0</v>
      </c>
      <c r="S138" s="65">
        <v>170.0</v>
      </c>
      <c r="T138" s="65">
        <v>273.0</v>
      </c>
      <c r="U138" s="65">
        <v>241.0</v>
      </c>
      <c r="V138" s="65">
        <v>293.0</v>
      </c>
      <c r="W138" s="65">
        <v>383.0</v>
      </c>
      <c r="X138" s="65">
        <v>322.0</v>
      </c>
      <c r="Y138" s="65">
        <v>354.0</v>
      </c>
      <c r="Z138" s="65">
        <v>421.0</v>
      </c>
      <c r="AA138" s="65">
        <v>334.0</v>
      </c>
      <c r="AB138" s="65">
        <v>424.0</v>
      </c>
      <c r="AC138" s="65">
        <v>334.0</v>
      </c>
      <c r="AD138" s="65">
        <v>337.0</v>
      </c>
      <c r="AE138" s="65">
        <v>454.0</v>
      </c>
      <c r="AF138" s="65"/>
      <c r="AG138" s="65"/>
      <c r="AH138" s="153"/>
      <c r="AI138" s="150"/>
      <c r="AJ138" s="151"/>
    </row>
    <row r="139" ht="15.75" customHeight="1">
      <c r="A139" s="11" t="s">
        <v>101</v>
      </c>
      <c r="B139" s="108">
        <f t="shared" si="62"/>
        <v>0</v>
      </c>
      <c r="C139" s="108">
        <f t="shared" si="63"/>
        <v>0</v>
      </c>
      <c r="D139" s="104">
        <v>0.0</v>
      </c>
      <c r="E139" s="104">
        <v>0.0</v>
      </c>
      <c r="F139" s="104">
        <v>0.0</v>
      </c>
      <c r="G139" s="104">
        <v>0.0</v>
      </c>
      <c r="H139" s="104">
        <v>0.0</v>
      </c>
      <c r="I139" s="104">
        <v>0.0</v>
      </c>
      <c r="J139" s="104">
        <v>0.0</v>
      </c>
      <c r="K139" s="104">
        <v>0.0</v>
      </c>
      <c r="L139" s="104">
        <v>0.0</v>
      </c>
      <c r="M139" s="104">
        <v>0.0</v>
      </c>
      <c r="N139" s="104">
        <v>0.0</v>
      </c>
      <c r="O139" s="104">
        <v>0.0</v>
      </c>
      <c r="P139" s="104">
        <v>0.0</v>
      </c>
      <c r="Q139" s="104">
        <v>0.0</v>
      </c>
      <c r="R139" s="104">
        <v>0.0</v>
      </c>
      <c r="S139" s="104">
        <v>0.0</v>
      </c>
      <c r="T139" s="104">
        <v>0.0</v>
      </c>
      <c r="U139" s="104">
        <v>0.0</v>
      </c>
      <c r="V139" s="104">
        <v>0.0</v>
      </c>
      <c r="W139" s="104">
        <v>0.0</v>
      </c>
      <c r="X139" s="104">
        <v>0.0</v>
      </c>
      <c r="Y139" s="104">
        <v>0.0</v>
      </c>
      <c r="Z139" s="104">
        <v>0.0</v>
      </c>
      <c r="AA139" s="104">
        <v>0.0</v>
      </c>
      <c r="AB139" s="104">
        <v>0.0</v>
      </c>
      <c r="AC139" s="104">
        <v>0.0</v>
      </c>
      <c r="AD139" s="104">
        <v>0.0</v>
      </c>
      <c r="AE139" s="104">
        <v>0.0</v>
      </c>
      <c r="AF139" s="104"/>
      <c r="AG139" s="104"/>
      <c r="AH139" s="104"/>
      <c r="AI139" s="164"/>
      <c r="AJ139" s="165"/>
    </row>
    <row r="140" ht="15.75" customHeight="1">
      <c r="A140" s="11" t="s">
        <v>102</v>
      </c>
      <c r="B140" s="108">
        <f t="shared" si="62"/>
        <v>0</v>
      </c>
      <c r="C140" s="108">
        <f t="shared" si="63"/>
        <v>0</v>
      </c>
      <c r="D140" s="104">
        <v>0.0</v>
      </c>
      <c r="E140" s="104">
        <v>0.0</v>
      </c>
      <c r="F140" s="104">
        <v>0.0</v>
      </c>
      <c r="G140" s="104">
        <v>0.0</v>
      </c>
      <c r="H140" s="104">
        <v>0.0</v>
      </c>
      <c r="I140" s="104">
        <v>0.0</v>
      </c>
      <c r="J140" s="104">
        <v>0.0</v>
      </c>
      <c r="K140" s="104">
        <v>0.0</v>
      </c>
      <c r="L140" s="104">
        <v>0.0</v>
      </c>
      <c r="M140" s="104">
        <v>0.0</v>
      </c>
      <c r="N140" s="104">
        <v>0.0</v>
      </c>
      <c r="O140" s="104">
        <v>0.0</v>
      </c>
      <c r="P140" s="104">
        <v>0.0</v>
      </c>
      <c r="Q140" s="104">
        <v>0.0</v>
      </c>
      <c r="R140" s="104">
        <v>0.0</v>
      </c>
      <c r="S140" s="104">
        <v>0.0</v>
      </c>
      <c r="T140" s="104">
        <v>0.0</v>
      </c>
      <c r="U140" s="104">
        <v>0.0</v>
      </c>
      <c r="V140" s="104">
        <v>0.0</v>
      </c>
      <c r="W140" s="104">
        <v>0.0</v>
      </c>
      <c r="X140" s="104">
        <v>0.0</v>
      </c>
      <c r="Y140" s="104">
        <v>0.0</v>
      </c>
      <c r="Z140" s="104">
        <v>0.0</v>
      </c>
      <c r="AA140" s="104">
        <v>0.0</v>
      </c>
      <c r="AB140" s="104">
        <v>0.0</v>
      </c>
      <c r="AC140" s="104">
        <v>0.0</v>
      </c>
      <c r="AD140" s="104">
        <v>0.0</v>
      </c>
      <c r="AE140" s="104">
        <v>0.0</v>
      </c>
      <c r="AF140" s="104"/>
      <c r="AG140" s="104"/>
      <c r="AH140" s="104"/>
      <c r="AI140" s="164"/>
      <c r="AJ140" s="165"/>
    </row>
    <row r="141" ht="15.75" customHeight="1">
      <c r="A141" s="60" t="s">
        <v>103</v>
      </c>
      <c r="B141" s="92">
        <f t="shared" si="62"/>
        <v>0</v>
      </c>
      <c r="C141" s="92">
        <f t="shared" si="63"/>
        <v>0</v>
      </c>
      <c r="D141" s="65">
        <v>0.0</v>
      </c>
      <c r="E141" s="65">
        <v>0.0</v>
      </c>
      <c r="F141" s="65">
        <v>0.0</v>
      </c>
      <c r="G141" s="65">
        <v>0.0</v>
      </c>
      <c r="H141" s="65">
        <v>0.0</v>
      </c>
      <c r="I141" s="65">
        <v>0.0</v>
      </c>
      <c r="J141" s="65">
        <v>0.0</v>
      </c>
      <c r="K141" s="65">
        <v>0.0</v>
      </c>
      <c r="L141" s="65">
        <v>0.0</v>
      </c>
      <c r="M141" s="65">
        <v>0.0</v>
      </c>
      <c r="N141" s="65">
        <v>0.0</v>
      </c>
      <c r="O141" s="65">
        <v>0.0</v>
      </c>
      <c r="P141" s="65">
        <v>0.0</v>
      </c>
      <c r="Q141" s="65">
        <v>0.0</v>
      </c>
      <c r="R141" s="65">
        <v>0.0</v>
      </c>
      <c r="S141" s="65">
        <v>0.0</v>
      </c>
      <c r="T141" s="65">
        <v>0.0</v>
      </c>
      <c r="U141" s="65">
        <v>0.0</v>
      </c>
      <c r="V141" s="65">
        <v>0.0</v>
      </c>
      <c r="W141" s="65">
        <v>0.0</v>
      </c>
      <c r="X141" s="65">
        <v>0.0</v>
      </c>
      <c r="Y141" s="65">
        <v>0.0</v>
      </c>
      <c r="Z141" s="65">
        <v>0.0</v>
      </c>
      <c r="AA141" s="65">
        <v>0.0</v>
      </c>
      <c r="AB141" s="65">
        <v>0.0</v>
      </c>
      <c r="AC141" s="65">
        <v>0.0</v>
      </c>
      <c r="AD141" s="65">
        <v>0.0</v>
      </c>
      <c r="AE141" s="65">
        <v>0.0</v>
      </c>
      <c r="AF141" s="65"/>
      <c r="AG141" s="65"/>
      <c r="AH141" s="65"/>
      <c r="AI141" s="150"/>
      <c r="AJ141" s="151"/>
    </row>
    <row r="142" ht="15.75" customHeight="1">
      <c r="A142" s="60" t="s">
        <v>104</v>
      </c>
      <c r="B142" s="92">
        <f t="shared" si="62"/>
        <v>0</v>
      </c>
      <c r="C142" s="92">
        <f t="shared" si="63"/>
        <v>0</v>
      </c>
      <c r="D142" s="65">
        <v>0.0</v>
      </c>
      <c r="E142" s="65">
        <v>0.0</v>
      </c>
      <c r="F142" s="65">
        <v>0.0</v>
      </c>
      <c r="G142" s="65">
        <v>0.0</v>
      </c>
      <c r="H142" s="65">
        <v>0.0</v>
      </c>
      <c r="I142" s="65">
        <v>0.0</v>
      </c>
      <c r="J142" s="65">
        <v>0.0</v>
      </c>
      <c r="K142" s="65">
        <v>0.0</v>
      </c>
      <c r="L142" s="65">
        <v>0.0</v>
      </c>
      <c r="M142" s="65">
        <v>0.0</v>
      </c>
      <c r="N142" s="65">
        <v>0.0</v>
      </c>
      <c r="O142" s="65">
        <v>0.0</v>
      </c>
      <c r="P142" s="65">
        <v>0.0</v>
      </c>
      <c r="Q142" s="65">
        <v>0.0</v>
      </c>
      <c r="R142" s="65">
        <v>0.0</v>
      </c>
      <c r="S142" s="65">
        <v>0.0</v>
      </c>
      <c r="T142" s="65">
        <v>0.0</v>
      </c>
      <c r="U142" s="65">
        <v>0.0</v>
      </c>
      <c r="V142" s="65">
        <v>0.0</v>
      </c>
      <c r="W142" s="65">
        <v>0.0</v>
      </c>
      <c r="X142" s="65">
        <v>0.0</v>
      </c>
      <c r="Y142" s="65">
        <v>0.0</v>
      </c>
      <c r="Z142" s="65">
        <v>0.0</v>
      </c>
      <c r="AA142" s="65">
        <v>0.0</v>
      </c>
      <c r="AB142" s="65">
        <v>0.0</v>
      </c>
      <c r="AC142" s="65">
        <v>0.0</v>
      </c>
      <c r="AD142" s="65">
        <v>0.0</v>
      </c>
      <c r="AE142" s="65">
        <v>0.0</v>
      </c>
      <c r="AF142" s="65"/>
      <c r="AG142" s="65"/>
      <c r="AH142" s="65"/>
      <c r="AI142" s="150"/>
      <c r="AJ142" s="151"/>
    </row>
    <row r="143" ht="15.75" customHeight="1">
      <c r="A143" s="60" t="s">
        <v>105</v>
      </c>
      <c r="B143" s="92">
        <f t="shared" si="62"/>
        <v>1920</v>
      </c>
      <c r="C143" s="92">
        <f t="shared" si="63"/>
        <v>61.93548387</v>
      </c>
      <c r="D143" s="60">
        <f t="shared" ref="D143:AH143" si="64">D137+D141</f>
        <v>61</v>
      </c>
      <c r="E143" s="60">
        <f t="shared" si="64"/>
        <v>60</v>
      </c>
      <c r="F143" s="60">
        <f t="shared" si="64"/>
        <v>47</v>
      </c>
      <c r="G143" s="60">
        <f t="shared" si="64"/>
        <v>56</v>
      </c>
      <c r="H143" s="60">
        <f t="shared" si="64"/>
        <v>60</v>
      </c>
      <c r="I143" s="60">
        <f t="shared" si="64"/>
        <v>67</v>
      </c>
      <c r="J143" s="60">
        <f t="shared" si="64"/>
        <v>57</v>
      </c>
      <c r="K143" s="60">
        <f t="shared" si="64"/>
        <v>46</v>
      </c>
      <c r="L143" s="60">
        <f t="shared" si="64"/>
        <v>56</v>
      </c>
      <c r="M143" s="60">
        <f t="shared" si="64"/>
        <v>68</v>
      </c>
      <c r="N143" s="60">
        <f t="shared" si="64"/>
        <v>63</v>
      </c>
      <c r="O143" s="60">
        <f t="shared" si="64"/>
        <v>65</v>
      </c>
      <c r="P143" s="60">
        <f t="shared" si="64"/>
        <v>71</v>
      </c>
      <c r="Q143" s="60">
        <f t="shared" si="64"/>
        <v>56</v>
      </c>
      <c r="R143" s="60">
        <f t="shared" si="64"/>
        <v>88</v>
      </c>
      <c r="S143" s="60">
        <f t="shared" si="64"/>
        <v>41</v>
      </c>
      <c r="T143" s="60">
        <f t="shared" si="64"/>
        <v>71</v>
      </c>
      <c r="U143" s="60">
        <f t="shared" si="64"/>
        <v>57</v>
      </c>
      <c r="V143" s="60">
        <f t="shared" si="64"/>
        <v>74</v>
      </c>
      <c r="W143" s="60">
        <f t="shared" si="64"/>
        <v>81</v>
      </c>
      <c r="X143" s="60">
        <f t="shared" si="64"/>
        <v>73</v>
      </c>
      <c r="Y143" s="60">
        <f t="shared" si="64"/>
        <v>95</v>
      </c>
      <c r="Z143" s="60">
        <f t="shared" si="64"/>
        <v>104</v>
      </c>
      <c r="AA143" s="60">
        <f t="shared" si="64"/>
        <v>71</v>
      </c>
      <c r="AB143" s="60">
        <f t="shared" si="64"/>
        <v>67</v>
      </c>
      <c r="AC143" s="60">
        <f t="shared" si="64"/>
        <v>77</v>
      </c>
      <c r="AD143" s="60">
        <f t="shared" si="64"/>
        <v>87</v>
      </c>
      <c r="AE143" s="60">
        <f t="shared" si="64"/>
        <v>101</v>
      </c>
      <c r="AF143" s="60">
        <f t="shared" si="64"/>
        <v>0</v>
      </c>
      <c r="AG143" s="60">
        <f t="shared" si="64"/>
        <v>0</v>
      </c>
      <c r="AH143" s="60">
        <f t="shared" si="64"/>
        <v>0</v>
      </c>
      <c r="AI143" s="150"/>
      <c r="AJ143" s="151"/>
    </row>
    <row r="144" ht="15.75" customHeight="1">
      <c r="A144" s="11" t="s">
        <v>106</v>
      </c>
      <c r="B144" s="108">
        <f t="shared" si="62"/>
        <v>192921306.8</v>
      </c>
      <c r="C144" s="108">
        <f t="shared" si="63"/>
        <v>6223267.96</v>
      </c>
      <c r="D144" s="11">
        <f t="shared" ref="D144:AH144" si="65">D135+D139</f>
        <v>8444736.5</v>
      </c>
      <c r="E144" s="11">
        <f t="shared" si="65"/>
        <v>7216650.5</v>
      </c>
      <c r="F144" s="11">
        <f t="shared" si="65"/>
        <v>6572642.5</v>
      </c>
      <c r="G144" s="11">
        <f t="shared" si="65"/>
        <v>6332862.5</v>
      </c>
      <c r="H144" s="11">
        <f t="shared" si="65"/>
        <v>8856345.5</v>
      </c>
      <c r="I144" s="11">
        <f t="shared" si="65"/>
        <v>7445578.5</v>
      </c>
      <c r="J144" s="11">
        <f t="shared" si="65"/>
        <v>10112852.5</v>
      </c>
      <c r="K144" s="11">
        <f t="shared" si="65"/>
        <v>8926770.5</v>
      </c>
      <c r="L144" s="11">
        <f t="shared" si="65"/>
        <v>6598549.25</v>
      </c>
      <c r="M144" s="11">
        <f t="shared" si="65"/>
        <v>7077836.5</v>
      </c>
      <c r="N144" s="11">
        <f t="shared" si="65"/>
        <v>6605032.5</v>
      </c>
      <c r="O144" s="11">
        <f t="shared" si="65"/>
        <v>5565424.5</v>
      </c>
      <c r="P144" s="11">
        <f t="shared" si="65"/>
        <v>5161684.5</v>
      </c>
      <c r="Q144" s="11">
        <f t="shared" si="65"/>
        <v>5521939</v>
      </c>
      <c r="R144" s="11">
        <f t="shared" si="65"/>
        <v>8672571</v>
      </c>
      <c r="S144" s="11">
        <f t="shared" si="65"/>
        <v>3628994.5</v>
      </c>
      <c r="T144" s="11">
        <f t="shared" si="65"/>
        <v>5020057.5</v>
      </c>
      <c r="U144" s="11">
        <f t="shared" si="65"/>
        <v>3117245.5</v>
      </c>
      <c r="V144" s="11">
        <f t="shared" si="65"/>
        <v>5490258</v>
      </c>
      <c r="W144" s="11">
        <f t="shared" si="65"/>
        <v>6425436.5</v>
      </c>
      <c r="X144" s="11">
        <f t="shared" si="65"/>
        <v>3932489</v>
      </c>
      <c r="Y144" s="11">
        <f t="shared" si="65"/>
        <v>6239344</v>
      </c>
      <c r="Z144" s="11">
        <f t="shared" si="65"/>
        <v>6923679</v>
      </c>
      <c r="AA144" s="11">
        <f t="shared" si="65"/>
        <v>6095606.5</v>
      </c>
      <c r="AB144" s="11">
        <f t="shared" si="65"/>
        <v>12356284</v>
      </c>
      <c r="AC144" s="11">
        <f t="shared" si="65"/>
        <v>8362667</v>
      </c>
      <c r="AD144" s="11">
        <f t="shared" si="65"/>
        <v>6498762</v>
      </c>
      <c r="AE144" s="11">
        <f t="shared" si="65"/>
        <v>9719007</v>
      </c>
      <c r="AF144" s="11">
        <f t="shared" si="65"/>
        <v>0</v>
      </c>
      <c r="AG144" s="11">
        <f t="shared" si="65"/>
        <v>0</v>
      </c>
      <c r="AH144" s="11">
        <f t="shared" si="65"/>
        <v>0</v>
      </c>
      <c r="AI144" s="164"/>
      <c r="AJ144" s="165"/>
    </row>
    <row r="145" ht="15.75" customHeight="1">
      <c r="A145" s="11" t="s">
        <v>107</v>
      </c>
      <c r="B145" s="108">
        <f t="shared" si="62"/>
        <v>188840393.7</v>
      </c>
      <c r="C145" s="108">
        <f t="shared" si="63"/>
        <v>6091625.603</v>
      </c>
      <c r="D145" s="11">
        <f t="shared" ref="D145:AH145" si="66">D136+D140</f>
        <v>8900008.6</v>
      </c>
      <c r="E145" s="11">
        <f t="shared" si="66"/>
        <v>6846826.8</v>
      </c>
      <c r="F145" s="11">
        <f t="shared" si="66"/>
        <v>6690601.4</v>
      </c>
      <c r="G145" s="11">
        <f t="shared" si="66"/>
        <v>6240739.7</v>
      </c>
      <c r="H145" s="11">
        <f t="shared" si="66"/>
        <v>8639277.8</v>
      </c>
      <c r="I145" s="11">
        <f t="shared" si="66"/>
        <v>7748453.1</v>
      </c>
      <c r="J145" s="11">
        <f t="shared" si="66"/>
        <v>10354511.4</v>
      </c>
      <c r="K145" s="11">
        <f t="shared" si="66"/>
        <v>9172044.4</v>
      </c>
      <c r="L145" s="11">
        <f t="shared" si="66"/>
        <v>6179268.2</v>
      </c>
      <c r="M145" s="11">
        <f t="shared" si="66"/>
        <v>7109811.8</v>
      </c>
      <c r="N145" s="11">
        <f t="shared" si="66"/>
        <v>6688108</v>
      </c>
      <c r="O145" s="11">
        <f t="shared" si="66"/>
        <v>5648378.8</v>
      </c>
      <c r="P145" s="11">
        <f t="shared" si="66"/>
        <v>4675323.8</v>
      </c>
      <c r="Q145" s="11">
        <f t="shared" si="66"/>
        <v>5471123.7</v>
      </c>
      <c r="R145" s="11">
        <f t="shared" si="66"/>
        <v>8441130</v>
      </c>
      <c r="S145" s="11">
        <f t="shared" si="66"/>
        <v>3489183.3</v>
      </c>
      <c r="T145" s="11">
        <f t="shared" si="66"/>
        <v>4698882.6</v>
      </c>
      <c r="U145" s="11">
        <f t="shared" si="66"/>
        <v>2764449.3</v>
      </c>
      <c r="V145" s="11">
        <f t="shared" si="66"/>
        <v>5031930.8</v>
      </c>
      <c r="W145" s="11">
        <f t="shared" si="66"/>
        <v>6444840.8</v>
      </c>
      <c r="X145" s="11">
        <f t="shared" si="66"/>
        <v>3793620.8</v>
      </c>
      <c r="Y145" s="11">
        <f t="shared" si="66"/>
        <v>6087738.6</v>
      </c>
      <c r="Z145" s="11">
        <f t="shared" si="66"/>
        <v>6795043.2</v>
      </c>
      <c r="AA145" s="11">
        <f t="shared" si="66"/>
        <v>6027921.7</v>
      </c>
      <c r="AB145" s="11">
        <f t="shared" si="66"/>
        <v>12054667</v>
      </c>
      <c r="AC145" s="11">
        <f t="shared" si="66"/>
        <v>7822613.3</v>
      </c>
      <c r="AD145" s="11">
        <f t="shared" si="66"/>
        <v>5727805.7</v>
      </c>
      <c r="AE145" s="11">
        <f t="shared" si="66"/>
        <v>9296089.1</v>
      </c>
      <c r="AF145" s="11">
        <f t="shared" si="66"/>
        <v>0</v>
      </c>
      <c r="AG145" s="11">
        <f t="shared" si="66"/>
        <v>0</v>
      </c>
      <c r="AH145" s="11">
        <f t="shared" si="66"/>
        <v>0</v>
      </c>
      <c r="AI145" s="164"/>
      <c r="AJ145" s="165"/>
    </row>
    <row r="146" ht="15.75" customHeight="1">
      <c r="A146" s="12" t="s">
        <v>40</v>
      </c>
      <c r="B146" s="68">
        <f>C146</f>
        <v>0.974120812</v>
      </c>
      <c r="C146" s="68">
        <f t="shared" si="63"/>
        <v>0.974120812</v>
      </c>
      <c r="D146" s="12">
        <f t="shared" ref="D146:AE146" si="67">D145/D144</f>
        <v>1.053911937</v>
      </c>
      <c r="E146" s="12">
        <f t="shared" si="67"/>
        <v>0.9487541069</v>
      </c>
      <c r="F146" s="12">
        <f t="shared" si="67"/>
        <v>1.017946952</v>
      </c>
      <c r="G146" s="12">
        <f t="shared" si="67"/>
        <v>0.9854532133</v>
      </c>
      <c r="H146" s="12">
        <f t="shared" si="67"/>
        <v>0.97549015</v>
      </c>
      <c r="I146" s="12">
        <f t="shared" si="67"/>
        <v>1.040678451</v>
      </c>
      <c r="J146" s="12">
        <f t="shared" si="67"/>
        <v>1.023896215</v>
      </c>
      <c r="K146" s="12">
        <f t="shared" si="67"/>
        <v>1.027476219</v>
      </c>
      <c r="L146" s="12">
        <f t="shared" si="67"/>
        <v>0.9364586011</v>
      </c>
      <c r="M146" s="12">
        <f t="shared" si="67"/>
        <v>1.004517666</v>
      </c>
      <c r="N146" s="12">
        <f t="shared" si="67"/>
        <v>1.012577607</v>
      </c>
      <c r="O146" s="12">
        <f t="shared" si="67"/>
        <v>1.014905296</v>
      </c>
      <c r="P146" s="12">
        <f t="shared" si="67"/>
        <v>0.9057748105</v>
      </c>
      <c r="Q146" s="12">
        <f t="shared" si="67"/>
        <v>0.9907975622</v>
      </c>
      <c r="R146" s="12">
        <f t="shared" si="67"/>
        <v>0.97331345</v>
      </c>
      <c r="S146" s="12">
        <f t="shared" si="67"/>
        <v>0.9614738463</v>
      </c>
      <c r="T146" s="12">
        <f t="shared" si="67"/>
        <v>0.9360216691</v>
      </c>
      <c r="U146" s="12">
        <f t="shared" si="67"/>
        <v>0.8868243775</v>
      </c>
      <c r="V146" s="12">
        <f t="shared" si="67"/>
        <v>0.9165199158</v>
      </c>
      <c r="W146" s="12">
        <f t="shared" si="67"/>
        <v>1.003019919</v>
      </c>
      <c r="X146" s="12">
        <f t="shared" si="67"/>
        <v>0.9646869451</v>
      </c>
      <c r="Y146" s="12">
        <f t="shared" si="67"/>
        <v>0.9757017084</v>
      </c>
      <c r="Z146" s="12">
        <f t="shared" si="67"/>
        <v>0.9814208891</v>
      </c>
      <c r="AA146" s="12">
        <f t="shared" si="67"/>
        <v>0.9888961336</v>
      </c>
      <c r="AB146" s="12">
        <f t="shared" si="67"/>
        <v>0.9755899913</v>
      </c>
      <c r="AC146" s="12">
        <f t="shared" si="67"/>
        <v>0.9354208771</v>
      </c>
      <c r="AD146" s="12">
        <f t="shared" si="67"/>
        <v>0.8813687438</v>
      </c>
      <c r="AE146" s="12">
        <f t="shared" si="67"/>
        <v>0.9564854825</v>
      </c>
      <c r="AF146" s="12"/>
      <c r="AG146" s="12"/>
      <c r="AH146" s="12"/>
      <c r="AI146" s="155"/>
      <c r="AJ146" s="156"/>
    </row>
    <row r="147" ht="15.75" customHeight="1">
      <c r="A147" s="11" t="s">
        <v>43</v>
      </c>
      <c r="B147" s="108">
        <f t="shared" ref="B147:B149" si="69">SUM(D147:AH147)</f>
        <v>4080913.05</v>
      </c>
      <c r="C147" s="108">
        <f t="shared" si="63"/>
        <v>131642.3565</v>
      </c>
      <c r="D147" s="11">
        <f t="shared" ref="D147:AH147" si="68">D144-D145</f>
        <v>-455272.1</v>
      </c>
      <c r="E147" s="11">
        <f t="shared" si="68"/>
        <v>369823.7</v>
      </c>
      <c r="F147" s="11">
        <f t="shared" si="68"/>
        <v>-117958.9</v>
      </c>
      <c r="G147" s="11">
        <f t="shared" si="68"/>
        <v>92122.8</v>
      </c>
      <c r="H147" s="11">
        <f t="shared" si="68"/>
        <v>217067.7</v>
      </c>
      <c r="I147" s="11">
        <f t="shared" si="68"/>
        <v>-302874.6</v>
      </c>
      <c r="J147" s="11">
        <f t="shared" si="68"/>
        <v>-241658.9</v>
      </c>
      <c r="K147" s="11">
        <f t="shared" si="68"/>
        <v>-245273.9</v>
      </c>
      <c r="L147" s="11">
        <f t="shared" si="68"/>
        <v>419281.05</v>
      </c>
      <c r="M147" s="11">
        <f t="shared" si="68"/>
        <v>-31975.3</v>
      </c>
      <c r="N147" s="11">
        <f t="shared" si="68"/>
        <v>-83075.5</v>
      </c>
      <c r="O147" s="11">
        <f t="shared" si="68"/>
        <v>-82954.3</v>
      </c>
      <c r="P147" s="11">
        <f t="shared" si="68"/>
        <v>486360.7</v>
      </c>
      <c r="Q147" s="11">
        <f t="shared" si="68"/>
        <v>50815.3</v>
      </c>
      <c r="R147" s="11">
        <f t="shared" si="68"/>
        <v>231441</v>
      </c>
      <c r="S147" s="11">
        <f t="shared" si="68"/>
        <v>139811.2</v>
      </c>
      <c r="T147" s="11">
        <f t="shared" si="68"/>
        <v>321174.9</v>
      </c>
      <c r="U147" s="11">
        <f t="shared" si="68"/>
        <v>352796.2</v>
      </c>
      <c r="V147" s="11">
        <f t="shared" si="68"/>
        <v>458327.2</v>
      </c>
      <c r="W147" s="11">
        <f t="shared" si="68"/>
        <v>-19404.3</v>
      </c>
      <c r="X147" s="11">
        <f t="shared" si="68"/>
        <v>138868.2</v>
      </c>
      <c r="Y147" s="11">
        <f t="shared" si="68"/>
        <v>151605.4</v>
      </c>
      <c r="Z147" s="11">
        <f t="shared" si="68"/>
        <v>128635.8</v>
      </c>
      <c r="AA147" s="11">
        <f t="shared" si="68"/>
        <v>67684.8</v>
      </c>
      <c r="AB147" s="11">
        <f t="shared" si="68"/>
        <v>301617</v>
      </c>
      <c r="AC147" s="11">
        <f t="shared" si="68"/>
        <v>540053.7</v>
      </c>
      <c r="AD147" s="11">
        <f t="shared" si="68"/>
        <v>770956.3</v>
      </c>
      <c r="AE147" s="11">
        <f t="shared" si="68"/>
        <v>422917.9</v>
      </c>
      <c r="AF147" s="11">
        <f t="shared" si="68"/>
        <v>0</v>
      </c>
      <c r="AG147" s="11">
        <f t="shared" si="68"/>
        <v>0</v>
      </c>
      <c r="AH147" s="11">
        <f t="shared" si="68"/>
        <v>0</v>
      </c>
      <c r="AI147" s="164"/>
      <c r="AJ147" s="165"/>
    </row>
    <row r="148" ht="15.75" customHeight="1">
      <c r="A148" s="11" t="s">
        <v>110</v>
      </c>
      <c r="B148" s="108">
        <f t="shared" si="69"/>
        <v>0</v>
      </c>
      <c r="C148" s="108">
        <f t="shared" si="63"/>
        <v>0</v>
      </c>
      <c r="D148" s="104">
        <v>0.0</v>
      </c>
      <c r="E148" s="104">
        <v>0.0</v>
      </c>
      <c r="F148" s="104">
        <v>0.0</v>
      </c>
      <c r="G148" s="104">
        <v>0.0</v>
      </c>
      <c r="H148" s="104">
        <v>0.0</v>
      </c>
      <c r="I148" s="104">
        <v>0.0</v>
      </c>
      <c r="J148" s="104">
        <v>0.0</v>
      </c>
      <c r="K148" s="104">
        <v>0.0</v>
      </c>
      <c r="L148" s="104">
        <v>0.0</v>
      </c>
      <c r="M148" s="104">
        <v>0.0</v>
      </c>
      <c r="N148" s="104">
        <v>0.0</v>
      </c>
      <c r="O148" s="104">
        <v>0.0</v>
      </c>
      <c r="P148" s="104">
        <v>0.0</v>
      </c>
      <c r="Q148" s="104">
        <v>0.0</v>
      </c>
      <c r="R148" s="104">
        <v>0.0</v>
      </c>
      <c r="S148" s="104">
        <v>0.0</v>
      </c>
      <c r="T148" s="104">
        <v>0.0</v>
      </c>
      <c r="U148" s="104">
        <v>0.0</v>
      </c>
      <c r="V148" s="104">
        <v>0.0</v>
      </c>
      <c r="W148" s="104">
        <v>0.0</v>
      </c>
      <c r="X148" s="104">
        <v>0.0</v>
      </c>
      <c r="Y148" s="104">
        <v>0.0</v>
      </c>
      <c r="Z148" s="104">
        <v>0.0</v>
      </c>
      <c r="AA148" s="104">
        <v>0.0</v>
      </c>
      <c r="AB148" s="104">
        <v>0.0</v>
      </c>
      <c r="AC148" s="104">
        <v>0.0</v>
      </c>
      <c r="AD148" s="104">
        <v>0.0</v>
      </c>
      <c r="AE148" s="104">
        <v>0.0</v>
      </c>
      <c r="AF148" s="104">
        <v>0.0</v>
      </c>
      <c r="AG148" s="104">
        <v>0.0</v>
      </c>
      <c r="AH148" s="104">
        <v>0.0</v>
      </c>
      <c r="AI148" s="164"/>
      <c r="AJ148" s="165"/>
    </row>
    <row r="149" ht="15.75" customHeight="1">
      <c r="A149" s="11" t="s">
        <v>62</v>
      </c>
      <c r="B149" s="108">
        <f t="shared" si="69"/>
        <v>4080913.05</v>
      </c>
      <c r="C149" s="108">
        <f t="shared" si="63"/>
        <v>131642.3565</v>
      </c>
      <c r="D149" s="11">
        <f t="shared" ref="D149:AH149" si="70">D147-D148</f>
        <v>-455272.1</v>
      </c>
      <c r="E149" s="11">
        <f t="shared" si="70"/>
        <v>369823.7</v>
      </c>
      <c r="F149" s="11">
        <f t="shared" si="70"/>
        <v>-117958.9</v>
      </c>
      <c r="G149" s="11">
        <f t="shared" si="70"/>
        <v>92122.8</v>
      </c>
      <c r="H149" s="11">
        <f t="shared" si="70"/>
        <v>217067.7</v>
      </c>
      <c r="I149" s="11">
        <f t="shared" si="70"/>
        <v>-302874.6</v>
      </c>
      <c r="J149" s="11">
        <f t="shared" si="70"/>
        <v>-241658.9</v>
      </c>
      <c r="K149" s="11">
        <f t="shared" si="70"/>
        <v>-245273.9</v>
      </c>
      <c r="L149" s="11">
        <f t="shared" si="70"/>
        <v>419281.05</v>
      </c>
      <c r="M149" s="11">
        <f t="shared" si="70"/>
        <v>-31975.3</v>
      </c>
      <c r="N149" s="11">
        <f t="shared" si="70"/>
        <v>-83075.5</v>
      </c>
      <c r="O149" s="11">
        <f t="shared" si="70"/>
        <v>-82954.3</v>
      </c>
      <c r="P149" s="11">
        <f t="shared" si="70"/>
        <v>486360.7</v>
      </c>
      <c r="Q149" s="11">
        <f t="shared" si="70"/>
        <v>50815.3</v>
      </c>
      <c r="R149" s="11">
        <f t="shared" si="70"/>
        <v>231441</v>
      </c>
      <c r="S149" s="11">
        <f t="shared" si="70"/>
        <v>139811.2</v>
      </c>
      <c r="T149" s="11">
        <f t="shared" si="70"/>
        <v>321174.9</v>
      </c>
      <c r="U149" s="11">
        <f t="shared" si="70"/>
        <v>352796.2</v>
      </c>
      <c r="V149" s="11">
        <f t="shared" si="70"/>
        <v>458327.2</v>
      </c>
      <c r="W149" s="11">
        <f t="shared" si="70"/>
        <v>-19404.3</v>
      </c>
      <c r="X149" s="11">
        <f t="shared" si="70"/>
        <v>138868.2</v>
      </c>
      <c r="Y149" s="11">
        <f t="shared" si="70"/>
        <v>151605.4</v>
      </c>
      <c r="Z149" s="11">
        <f t="shared" si="70"/>
        <v>128635.8</v>
      </c>
      <c r="AA149" s="11">
        <f t="shared" si="70"/>
        <v>67684.8</v>
      </c>
      <c r="AB149" s="11">
        <f t="shared" si="70"/>
        <v>301617</v>
      </c>
      <c r="AC149" s="11">
        <f t="shared" si="70"/>
        <v>540053.7</v>
      </c>
      <c r="AD149" s="11">
        <f t="shared" si="70"/>
        <v>770956.3</v>
      </c>
      <c r="AE149" s="11">
        <f t="shared" si="70"/>
        <v>422917.9</v>
      </c>
      <c r="AF149" s="11">
        <f t="shared" si="70"/>
        <v>0</v>
      </c>
      <c r="AG149" s="11">
        <f t="shared" si="70"/>
        <v>0</v>
      </c>
      <c r="AH149" s="11">
        <f t="shared" si="70"/>
        <v>0</v>
      </c>
      <c r="AI149" s="164"/>
      <c r="AJ149" s="165"/>
    </row>
    <row r="150" ht="15.75" customHeight="1">
      <c r="A150" s="60" t="s">
        <v>64</v>
      </c>
      <c r="B150" s="92"/>
      <c r="C150" s="92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189"/>
      <c r="AI150" s="150"/>
      <c r="AJ150" s="151"/>
    </row>
    <row r="151" ht="15.75" customHeight="1">
      <c r="A151" s="60" t="s">
        <v>75</v>
      </c>
      <c r="B151" s="92"/>
      <c r="C151" s="92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189"/>
      <c r="AI151" s="150"/>
      <c r="AJ151" s="151"/>
    </row>
    <row r="152" ht="15.75" customHeight="1">
      <c r="A152" s="60"/>
      <c r="B152" s="92"/>
      <c r="C152" s="92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189"/>
      <c r="AI152" s="150"/>
      <c r="AJ152" s="151"/>
    </row>
    <row r="153" ht="15.75" customHeight="1">
      <c r="A153" s="56" t="s">
        <v>111</v>
      </c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144"/>
      <c r="AI153" s="145"/>
      <c r="AJ153" s="146"/>
    </row>
    <row r="154" ht="15.75" customHeight="1">
      <c r="A154" s="11" t="s">
        <v>97</v>
      </c>
      <c r="B154" s="108">
        <f t="shared" ref="B154:B164" si="71">SUM(D154:AH154)</f>
        <v>679705283.9</v>
      </c>
      <c r="C154" s="108">
        <f t="shared" ref="C154:C168" si="72">AVERAGE(D154:AH154)</f>
        <v>24275188.71</v>
      </c>
      <c r="D154" s="104">
        <v>2.33608057E7</v>
      </c>
      <c r="E154" s="104">
        <v>1.41637408E7</v>
      </c>
      <c r="F154" s="104">
        <v>2.14757356E7</v>
      </c>
      <c r="G154" s="104">
        <v>2.664939598E7</v>
      </c>
      <c r="H154" s="104">
        <v>3.333954618E7</v>
      </c>
      <c r="I154" s="104">
        <v>4.930117367E7</v>
      </c>
      <c r="J154" s="193">
        <v>2.396825694E7</v>
      </c>
      <c r="K154" s="193">
        <v>1.906617765E7</v>
      </c>
      <c r="L154" s="104">
        <v>2.907552408E7</v>
      </c>
      <c r="M154" s="104">
        <v>1.624221486E7</v>
      </c>
      <c r="N154" s="104">
        <v>9499126.78</v>
      </c>
      <c r="O154" s="104">
        <v>1.353590815E7</v>
      </c>
      <c r="P154" s="104">
        <v>2.032152826E7</v>
      </c>
      <c r="Q154" s="104">
        <v>1.526067275E7</v>
      </c>
      <c r="R154" s="104">
        <v>2.326594878E7</v>
      </c>
      <c r="S154" s="104">
        <v>1.439704633E7</v>
      </c>
      <c r="T154" s="104">
        <v>1.649274533E7</v>
      </c>
      <c r="U154" s="104">
        <v>1.93805107E7</v>
      </c>
      <c r="V154" s="104">
        <v>3.870052653E7</v>
      </c>
      <c r="W154" s="104">
        <v>2.550274677E7</v>
      </c>
      <c r="X154" s="104">
        <v>2.135629095E7</v>
      </c>
      <c r="Y154" s="104">
        <v>1.897581026E7</v>
      </c>
      <c r="Z154" s="104">
        <v>2.486845522E7</v>
      </c>
      <c r="AA154" s="104">
        <v>4.893988026E7</v>
      </c>
      <c r="AB154" s="104">
        <v>3.65223659E7</v>
      </c>
      <c r="AC154" s="104">
        <v>3.798439059E7</v>
      </c>
      <c r="AD154" s="104">
        <v>1.508891824E7</v>
      </c>
      <c r="AE154" s="104">
        <v>2.296984065E7</v>
      </c>
      <c r="AF154" s="104"/>
      <c r="AG154" s="104"/>
      <c r="AH154" s="167"/>
      <c r="AI154" s="164"/>
      <c r="AJ154" s="165"/>
    </row>
    <row r="155" ht="15.75" customHeight="1">
      <c r="A155" s="11" t="s">
        <v>98</v>
      </c>
      <c r="B155" s="108">
        <f t="shared" si="71"/>
        <v>651856665.4</v>
      </c>
      <c r="C155" s="108">
        <f t="shared" si="72"/>
        <v>23280595.19</v>
      </c>
      <c r="D155" s="104">
        <v>2.346593659E7</v>
      </c>
      <c r="E155" s="104">
        <v>1.384960252E7</v>
      </c>
      <c r="F155" s="104">
        <v>2.292815062E7</v>
      </c>
      <c r="G155" s="104">
        <v>2.72776583E7</v>
      </c>
      <c r="H155" s="104">
        <v>3.322285181E7</v>
      </c>
      <c r="I155" s="194">
        <v>4.729346277E7</v>
      </c>
      <c r="J155" s="104">
        <v>2.440120968E7</v>
      </c>
      <c r="K155" s="104">
        <v>1.808745568E7</v>
      </c>
      <c r="L155" s="104">
        <v>2.801081548E7</v>
      </c>
      <c r="M155" s="104">
        <v>1.572034757E7</v>
      </c>
      <c r="N155" s="193">
        <v>9184546.98</v>
      </c>
      <c r="O155" s="104">
        <v>1.258660708E7</v>
      </c>
      <c r="P155" s="104">
        <v>1.77497187E7</v>
      </c>
      <c r="Q155" s="104">
        <v>1.400400918E7</v>
      </c>
      <c r="R155" s="104">
        <v>2.270585051E7</v>
      </c>
      <c r="S155" s="104">
        <v>1.376901569E7</v>
      </c>
      <c r="T155" s="104">
        <v>1.501444855E7</v>
      </c>
      <c r="U155" s="104">
        <v>1.897343427E7</v>
      </c>
      <c r="V155" s="104">
        <v>3.874217063E7</v>
      </c>
      <c r="W155" s="104">
        <v>2.26510568E7</v>
      </c>
      <c r="X155" s="104">
        <v>2.036131393E7</v>
      </c>
      <c r="Y155" s="104">
        <v>1.896697819E7</v>
      </c>
      <c r="Z155" s="104">
        <v>2.424779386E7</v>
      </c>
      <c r="AA155" s="104">
        <v>4.483826127E7</v>
      </c>
      <c r="AB155" s="104">
        <v>3.232838022E7</v>
      </c>
      <c r="AC155" s="104">
        <v>3.494819482E7</v>
      </c>
      <c r="AD155" s="104">
        <v>1.42462012E7</v>
      </c>
      <c r="AE155" s="104">
        <v>2.228119248E7</v>
      </c>
      <c r="AF155" s="104"/>
      <c r="AG155" s="104"/>
      <c r="AH155" s="194"/>
      <c r="AI155" s="164"/>
      <c r="AJ155" s="165"/>
    </row>
    <row r="156" ht="15.75" customHeight="1">
      <c r="A156" s="60" t="s">
        <v>99</v>
      </c>
      <c r="B156" s="92">
        <f t="shared" si="71"/>
        <v>7779</v>
      </c>
      <c r="C156" s="92">
        <f t="shared" si="72"/>
        <v>277.8214286</v>
      </c>
      <c r="D156" s="65">
        <v>332.0</v>
      </c>
      <c r="E156" s="65">
        <v>230.0</v>
      </c>
      <c r="F156" s="65">
        <v>285.0</v>
      </c>
      <c r="G156" s="65">
        <v>256.0</v>
      </c>
      <c r="H156" s="65">
        <v>278.0</v>
      </c>
      <c r="I156" s="65">
        <v>390.0</v>
      </c>
      <c r="J156" s="65">
        <v>289.0</v>
      </c>
      <c r="K156" s="65">
        <v>230.0</v>
      </c>
      <c r="L156" s="65">
        <v>222.0</v>
      </c>
      <c r="M156" s="65">
        <v>270.0</v>
      </c>
      <c r="N156" s="65">
        <v>239.0</v>
      </c>
      <c r="O156" s="65">
        <v>249.0</v>
      </c>
      <c r="P156" s="65">
        <v>266.0</v>
      </c>
      <c r="Q156" s="65">
        <v>254.0</v>
      </c>
      <c r="R156" s="65">
        <v>307.0</v>
      </c>
      <c r="S156" s="65">
        <v>220.0</v>
      </c>
      <c r="T156" s="65">
        <v>233.0</v>
      </c>
      <c r="U156" s="65">
        <v>242.0</v>
      </c>
      <c r="V156" s="65">
        <v>308.0</v>
      </c>
      <c r="W156" s="65">
        <v>305.0</v>
      </c>
      <c r="X156" s="65">
        <v>246.0</v>
      </c>
      <c r="Y156" s="65">
        <v>272.0</v>
      </c>
      <c r="Z156" s="65">
        <v>303.0</v>
      </c>
      <c r="AA156" s="65">
        <v>265.0</v>
      </c>
      <c r="AB156" s="65">
        <v>326.0</v>
      </c>
      <c r="AC156" s="65">
        <v>291.0</v>
      </c>
      <c r="AD156" s="65">
        <v>265.0</v>
      </c>
      <c r="AE156" s="65">
        <v>406.0</v>
      </c>
      <c r="AF156" s="65"/>
      <c r="AG156" s="65"/>
      <c r="AH156" s="153"/>
      <c r="AI156" s="150"/>
      <c r="AJ156" s="151"/>
    </row>
    <row r="157" ht="15.75" customHeight="1">
      <c r="A157" s="60" t="s">
        <v>100</v>
      </c>
      <c r="B157" s="92">
        <f t="shared" si="71"/>
        <v>30836</v>
      </c>
      <c r="C157" s="152">
        <f t="shared" si="72"/>
        <v>1101.285714</v>
      </c>
      <c r="D157" s="65">
        <v>1151.0</v>
      </c>
      <c r="E157" s="65">
        <v>1008.0</v>
      </c>
      <c r="F157" s="65">
        <v>1023.0</v>
      </c>
      <c r="G157" s="65">
        <v>946.0</v>
      </c>
      <c r="H157" s="65">
        <v>1126.0</v>
      </c>
      <c r="I157" s="65">
        <v>1455.0</v>
      </c>
      <c r="J157" s="65">
        <v>1247.0</v>
      </c>
      <c r="K157" s="65">
        <v>1092.0</v>
      </c>
      <c r="L157" s="65">
        <v>960.0</v>
      </c>
      <c r="M157" s="65">
        <v>1102.0</v>
      </c>
      <c r="N157" s="65">
        <v>737.0</v>
      </c>
      <c r="O157" s="65">
        <v>852.0</v>
      </c>
      <c r="P157" s="65">
        <v>966.0</v>
      </c>
      <c r="Q157" s="65">
        <v>903.0</v>
      </c>
      <c r="R157" s="65">
        <v>1334.0</v>
      </c>
      <c r="S157" s="65">
        <v>976.0</v>
      </c>
      <c r="T157" s="65">
        <v>931.0</v>
      </c>
      <c r="U157" s="65">
        <v>886.0</v>
      </c>
      <c r="V157" s="65">
        <v>1216.0</v>
      </c>
      <c r="W157" s="65">
        <v>1327.0</v>
      </c>
      <c r="X157" s="65">
        <v>1145.0</v>
      </c>
      <c r="Y157" s="65">
        <v>1100.0</v>
      </c>
      <c r="Z157" s="65">
        <v>1400.0</v>
      </c>
      <c r="AA157" s="65">
        <v>1063.0</v>
      </c>
      <c r="AB157" s="65">
        <v>1218.0</v>
      </c>
      <c r="AC157" s="65">
        <v>1058.0</v>
      </c>
      <c r="AD157" s="65">
        <v>1052.0</v>
      </c>
      <c r="AE157" s="65">
        <v>1562.0</v>
      </c>
      <c r="AF157" s="65"/>
      <c r="AG157" s="65"/>
      <c r="AH157" s="153"/>
      <c r="AI157" s="150"/>
      <c r="AJ157" s="151"/>
    </row>
    <row r="158" ht="15.75" customHeight="1">
      <c r="A158" s="11" t="s">
        <v>101</v>
      </c>
      <c r="B158" s="108">
        <f t="shared" si="71"/>
        <v>0</v>
      </c>
      <c r="C158" s="108">
        <f t="shared" si="72"/>
        <v>0</v>
      </c>
      <c r="D158" s="104">
        <v>0.0</v>
      </c>
      <c r="E158" s="104">
        <v>0.0</v>
      </c>
      <c r="F158" s="104">
        <v>0.0</v>
      </c>
      <c r="G158" s="104">
        <v>0.0</v>
      </c>
      <c r="H158" s="104">
        <v>0.0</v>
      </c>
      <c r="I158" s="104">
        <v>0.0</v>
      </c>
      <c r="J158" s="104">
        <v>0.0</v>
      </c>
      <c r="K158" s="104">
        <v>0.0</v>
      </c>
      <c r="L158" s="104">
        <v>0.0</v>
      </c>
      <c r="M158" s="104">
        <v>0.0</v>
      </c>
      <c r="N158" s="104">
        <v>0.0</v>
      </c>
      <c r="O158" s="104">
        <v>0.0</v>
      </c>
      <c r="P158" s="104">
        <v>0.0</v>
      </c>
      <c r="Q158" s="104">
        <v>0.0</v>
      </c>
      <c r="R158" s="104">
        <v>0.0</v>
      </c>
      <c r="S158" s="104">
        <v>0.0</v>
      </c>
      <c r="T158" s="104">
        <v>0.0</v>
      </c>
      <c r="U158" s="104">
        <v>0.0</v>
      </c>
      <c r="V158" s="104">
        <v>0.0</v>
      </c>
      <c r="W158" s="104">
        <v>0.0</v>
      </c>
      <c r="X158" s="104">
        <v>0.0</v>
      </c>
      <c r="Y158" s="104">
        <v>0.0</v>
      </c>
      <c r="Z158" s="104">
        <v>0.0</v>
      </c>
      <c r="AA158" s="104">
        <v>0.0</v>
      </c>
      <c r="AB158" s="104">
        <v>0.0</v>
      </c>
      <c r="AC158" s="104">
        <v>0.0</v>
      </c>
      <c r="AD158" s="104">
        <v>0.0</v>
      </c>
      <c r="AE158" s="104">
        <v>0.0</v>
      </c>
      <c r="AF158" s="104"/>
      <c r="AG158" s="104"/>
      <c r="AH158" s="104"/>
      <c r="AI158" s="164"/>
      <c r="AJ158" s="165"/>
    </row>
    <row r="159" ht="15.75" customHeight="1">
      <c r="A159" s="11" t="s">
        <v>102</v>
      </c>
      <c r="B159" s="108">
        <f t="shared" si="71"/>
        <v>0</v>
      </c>
      <c r="C159" s="108">
        <f t="shared" si="72"/>
        <v>0</v>
      </c>
      <c r="D159" s="104">
        <v>0.0</v>
      </c>
      <c r="E159" s="104">
        <v>0.0</v>
      </c>
      <c r="F159" s="104">
        <v>0.0</v>
      </c>
      <c r="G159" s="104">
        <v>0.0</v>
      </c>
      <c r="H159" s="104">
        <v>0.0</v>
      </c>
      <c r="I159" s="104">
        <v>0.0</v>
      </c>
      <c r="J159" s="104">
        <v>0.0</v>
      </c>
      <c r="K159" s="104">
        <v>0.0</v>
      </c>
      <c r="L159" s="104">
        <v>0.0</v>
      </c>
      <c r="M159" s="104">
        <v>0.0</v>
      </c>
      <c r="N159" s="104">
        <v>0.0</v>
      </c>
      <c r="O159" s="104">
        <v>0.0</v>
      </c>
      <c r="P159" s="104">
        <v>0.0</v>
      </c>
      <c r="Q159" s="104">
        <v>0.0</v>
      </c>
      <c r="R159" s="104">
        <v>0.0</v>
      </c>
      <c r="S159" s="104">
        <v>0.0</v>
      </c>
      <c r="T159" s="104">
        <v>0.0</v>
      </c>
      <c r="U159" s="104">
        <v>0.0</v>
      </c>
      <c r="V159" s="104">
        <v>0.0</v>
      </c>
      <c r="W159" s="104">
        <v>0.0</v>
      </c>
      <c r="X159" s="104">
        <v>0.0</v>
      </c>
      <c r="Y159" s="104">
        <v>0.0</v>
      </c>
      <c r="Z159" s="104">
        <v>0.0</v>
      </c>
      <c r="AA159" s="104">
        <v>0.0</v>
      </c>
      <c r="AB159" s="104">
        <v>0.0</v>
      </c>
      <c r="AC159" s="104">
        <v>0.0</v>
      </c>
      <c r="AD159" s="104">
        <v>0.0</v>
      </c>
      <c r="AE159" s="104">
        <v>0.0</v>
      </c>
      <c r="AF159" s="104"/>
      <c r="AG159" s="104"/>
      <c r="AH159" s="104"/>
      <c r="AI159" s="164"/>
      <c r="AJ159" s="165"/>
    </row>
    <row r="160" ht="15.75" customHeight="1">
      <c r="A160" s="60" t="s">
        <v>103</v>
      </c>
      <c r="B160" s="92">
        <f t="shared" si="71"/>
        <v>0</v>
      </c>
      <c r="C160" s="92">
        <f t="shared" si="72"/>
        <v>0</v>
      </c>
      <c r="D160" s="65">
        <v>0.0</v>
      </c>
      <c r="E160" s="65">
        <v>0.0</v>
      </c>
      <c r="F160" s="65">
        <v>0.0</v>
      </c>
      <c r="G160" s="65">
        <v>0.0</v>
      </c>
      <c r="H160" s="65">
        <v>0.0</v>
      </c>
      <c r="I160" s="65">
        <v>0.0</v>
      </c>
      <c r="J160" s="65">
        <v>0.0</v>
      </c>
      <c r="K160" s="65">
        <v>0.0</v>
      </c>
      <c r="L160" s="65">
        <v>0.0</v>
      </c>
      <c r="M160" s="65">
        <v>0.0</v>
      </c>
      <c r="N160" s="65">
        <v>0.0</v>
      </c>
      <c r="O160" s="65">
        <v>0.0</v>
      </c>
      <c r="P160" s="65">
        <v>0.0</v>
      </c>
      <c r="Q160" s="65">
        <v>0.0</v>
      </c>
      <c r="R160" s="65">
        <v>0.0</v>
      </c>
      <c r="S160" s="65">
        <v>0.0</v>
      </c>
      <c r="T160" s="65">
        <v>0.0</v>
      </c>
      <c r="U160" s="65">
        <v>0.0</v>
      </c>
      <c r="V160" s="65">
        <v>0.0</v>
      </c>
      <c r="W160" s="65">
        <v>0.0</v>
      </c>
      <c r="X160" s="65">
        <v>0.0</v>
      </c>
      <c r="Y160" s="65">
        <v>0.0</v>
      </c>
      <c r="Z160" s="65">
        <v>0.0</v>
      </c>
      <c r="AA160" s="65">
        <v>0.0</v>
      </c>
      <c r="AB160" s="65">
        <v>0.0</v>
      </c>
      <c r="AC160" s="65">
        <v>0.0</v>
      </c>
      <c r="AD160" s="65">
        <v>0.0</v>
      </c>
      <c r="AE160" s="65">
        <v>0.0</v>
      </c>
      <c r="AF160" s="65"/>
      <c r="AG160" s="65"/>
      <c r="AH160" s="65"/>
      <c r="AI160" s="150"/>
      <c r="AJ160" s="151"/>
    </row>
    <row r="161" ht="15.75" customHeight="1">
      <c r="A161" s="60" t="s">
        <v>104</v>
      </c>
      <c r="B161" s="92">
        <f t="shared" si="71"/>
        <v>0</v>
      </c>
      <c r="C161" s="92">
        <f t="shared" si="72"/>
        <v>0</v>
      </c>
      <c r="D161" s="65">
        <v>0.0</v>
      </c>
      <c r="E161" s="65">
        <v>0.0</v>
      </c>
      <c r="F161" s="65">
        <v>0.0</v>
      </c>
      <c r="G161" s="65">
        <v>0.0</v>
      </c>
      <c r="H161" s="65">
        <v>0.0</v>
      </c>
      <c r="I161" s="65">
        <v>0.0</v>
      </c>
      <c r="J161" s="65">
        <v>0.0</v>
      </c>
      <c r="K161" s="65">
        <v>0.0</v>
      </c>
      <c r="L161" s="65">
        <v>0.0</v>
      </c>
      <c r="M161" s="65">
        <v>0.0</v>
      </c>
      <c r="N161" s="65">
        <v>0.0</v>
      </c>
      <c r="O161" s="65">
        <v>0.0</v>
      </c>
      <c r="P161" s="65">
        <v>0.0</v>
      </c>
      <c r="Q161" s="65">
        <v>0.0</v>
      </c>
      <c r="R161" s="65">
        <v>0.0</v>
      </c>
      <c r="S161" s="65">
        <v>0.0</v>
      </c>
      <c r="T161" s="65">
        <v>0.0</v>
      </c>
      <c r="U161" s="65">
        <v>0.0</v>
      </c>
      <c r="V161" s="65">
        <v>0.0</v>
      </c>
      <c r="W161" s="65">
        <v>0.0</v>
      </c>
      <c r="X161" s="65">
        <v>0.0</v>
      </c>
      <c r="Y161" s="65">
        <v>0.0</v>
      </c>
      <c r="Z161" s="65">
        <v>0.0</v>
      </c>
      <c r="AA161" s="65">
        <v>0.0</v>
      </c>
      <c r="AB161" s="65">
        <v>0.0</v>
      </c>
      <c r="AC161" s="65">
        <v>0.0</v>
      </c>
      <c r="AD161" s="65">
        <v>0.0</v>
      </c>
      <c r="AE161" s="65">
        <v>0.0</v>
      </c>
      <c r="AF161" s="65"/>
      <c r="AG161" s="65"/>
      <c r="AH161" s="65"/>
      <c r="AI161" s="150"/>
      <c r="AJ161" s="151"/>
    </row>
    <row r="162" ht="15.75" customHeight="1">
      <c r="A162" s="60" t="s">
        <v>105</v>
      </c>
      <c r="B162" s="92">
        <f t="shared" si="71"/>
        <v>7779</v>
      </c>
      <c r="C162" s="92">
        <f t="shared" si="72"/>
        <v>250.9354839</v>
      </c>
      <c r="D162" s="65">
        <f t="shared" ref="D162:AH162" si="73">D156+D160</f>
        <v>332</v>
      </c>
      <c r="E162" s="65">
        <f t="shared" si="73"/>
        <v>230</v>
      </c>
      <c r="F162" s="65">
        <f t="shared" si="73"/>
        <v>285</v>
      </c>
      <c r="G162" s="65">
        <f t="shared" si="73"/>
        <v>256</v>
      </c>
      <c r="H162" s="65">
        <f t="shared" si="73"/>
        <v>278</v>
      </c>
      <c r="I162" s="65">
        <f t="shared" si="73"/>
        <v>390</v>
      </c>
      <c r="J162" s="65">
        <f t="shared" si="73"/>
        <v>289</v>
      </c>
      <c r="K162" s="65">
        <f t="shared" si="73"/>
        <v>230</v>
      </c>
      <c r="L162" s="65">
        <f t="shared" si="73"/>
        <v>222</v>
      </c>
      <c r="M162" s="65">
        <f t="shared" si="73"/>
        <v>270</v>
      </c>
      <c r="N162" s="65">
        <f t="shared" si="73"/>
        <v>239</v>
      </c>
      <c r="O162" s="65">
        <f t="shared" si="73"/>
        <v>249</v>
      </c>
      <c r="P162" s="65">
        <f t="shared" si="73"/>
        <v>266</v>
      </c>
      <c r="Q162" s="65">
        <f t="shared" si="73"/>
        <v>254</v>
      </c>
      <c r="R162" s="65">
        <f t="shared" si="73"/>
        <v>307</v>
      </c>
      <c r="S162" s="65">
        <f t="shared" si="73"/>
        <v>220</v>
      </c>
      <c r="T162" s="65">
        <f t="shared" si="73"/>
        <v>233</v>
      </c>
      <c r="U162" s="65">
        <f t="shared" si="73"/>
        <v>242</v>
      </c>
      <c r="V162" s="65">
        <f t="shared" si="73"/>
        <v>308</v>
      </c>
      <c r="W162" s="60">
        <f t="shared" si="73"/>
        <v>305</v>
      </c>
      <c r="X162" s="60">
        <f t="shared" si="73"/>
        <v>246</v>
      </c>
      <c r="Y162" s="60">
        <f t="shared" si="73"/>
        <v>272</v>
      </c>
      <c r="Z162" s="60">
        <f t="shared" si="73"/>
        <v>303</v>
      </c>
      <c r="AA162" s="60">
        <f t="shared" si="73"/>
        <v>265</v>
      </c>
      <c r="AB162" s="60">
        <f t="shared" si="73"/>
        <v>326</v>
      </c>
      <c r="AC162" s="60">
        <f t="shared" si="73"/>
        <v>291</v>
      </c>
      <c r="AD162" s="60">
        <f t="shared" si="73"/>
        <v>265</v>
      </c>
      <c r="AE162" s="60">
        <f t="shared" si="73"/>
        <v>406</v>
      </c>
      <c r="AF162" s="60">
        <f t="shared" si="73"/>
        <v>0</v>
      </c>
      <c r="AG162" s="60">
        <f t="shared" si="73"/>
        <v>0</v>
      </c>
      <c r="AH162" s="60">
        <f t="shared" si="73"/>
        <v>0</v>
      </c>
      <c r="AI162" s="150"/>
      <c r="AJ162" s="151"/>
    </row>
    <row r="163" ht="15.75" customHeight="1">
      <c r="A163" s="11" t="s">
        <v>106</v>
      </c>
      <c r="B163" s="108">
        <f t="shared" si="71"/>
        <v>679705283.9</v>
      </c>
      <c r="C163" s="108">
        <f t="shared" si="72"/>
        <v>21925976.9</v>
      </c>
      <c r="D163" s="11">
        <f t="shared" ref="D163:AH163" si="74">D154+D158</f>
        <v>23360805.7</v>
      </c>
      <c r="E163" s="11">
        <f t="shared" si="74"/>
        <v>14163740.8</v>
      </c>
      <c r="F163" s="11">
        <f t="shared" si="74"/>
        <v>21475735.6</v>
      </c>
      <c r="G163" s="11">
        <f t="shared" si="74"/>
        <v>26649395.98</v>
      </c>
      <c r="H163" s="11">
        <f t="shared" si="74"/>
        <v>33339546.18</v>
      </c>
      <c r="I163" s="11">
        <f t="shared" si="74"/>
        <v>49301173.67</v>
      </c>
      <c r="J163" s="11">
        <f t="shared" si="74"/>
        <v>23968256.94</v>
      </c>
      <c r="K163" s="11">
        <f t="shared" si="74"/>
        <v>19066177.65</v>
      </c>
      <c r="L163" s="11">
        <f t="shared" si="74"/>
        <v>29075524.08</v>
      </c>
      <c r="M163" s="11">
        <f t="shared" si="74"/>
        <v>16242214.86</v>
      </c>
      <c r="N163" s="11">
        <f t="shared" si="74"/>
        <v>9499126.78</v>
      </c>
      <c r="O163" s="11">
        <f t="shared" si="74"/>
        <v>13535908.15</v>
      </c>
      <c r="P163" s="11">
        <f t="shared" si="74"/>
        <v>20321528.26</v>
      </c>
      <c r="Q163" s="11">
        <f t="shared" si="74"/>
        <v>15260672.75</v>
      </c>
      <c r="R163" s="11">
        <f t="shared" si="74"/>
        <v>23265948.78</v>
      </c>
      <c r="S163" s="11">
        <f t="shared" si="74"/>
        <v>14397046.33</v>
      </c>
      <c r="T163" s="11">
        <f t="shared" si="74"/>
        <v>16492745.33</v>
      </c>
      <c r="U163" s="11">
        <f t="shared" si="74"/>
        <v>19380510.7</v>
      </c>
      <c r="V163" s="11">
        <f t="shared" si="74"/>
        <v>38700526.53</v>
      </c>
      <c r="W163" s="11">
        <f t="shared" si="74"/>
        <v>25502746.77</v>
      </c>
      <c r="X163" s="11">
        <f t="shared" si="74"/>
        <v>21356290.95</v>
      </c>
      <c r="Y163" s="11">
        <f t="shared" si="74"/>
        <v>18975810.26</v>
      </c>
      <c r="Z163" s="11">
        <f t="shared" si="74"/>
        <v>24868455.22</v>
      </c>
      <c r="AA163" s="11">
        <f t="shared" si="74"/>
        <v>48939880.26</v>
      </c>
      <c r="AB163" s="11">
        <f t="shared" si="74"/>
        <v>36522365.9</v>
      </c>
      <c r="AC163" s="11">
        <f t="shared" si="74"/>
        <v>37984390.59</v>
      </c>
      <c r="AD163" s="11">
        <f t="shared" si="74"/>
        <v>15088918.24</v>
      </c>
      <c r="AE163" s="11">
        <f t="shared" si="74"/>
        <v>22969840.65</v>
      </c>
      <c r="AF163" s="11">
        <f t="shared" si="74"/>
        <v>0</v>
      </c>
      <c r="AG163" s="11">
        <f t="shared" si="74"/>
        <v>0</v>
      </c>
      <c r="AH163" s="11">
        <f t="shared" si="74"/>
        <v>0</v>
      </c>
      <c r="AI163" s="164"/>
      <c r="AJ163" s="165"/>
    </row>
    <row r="164" ht="15.75" customHeight="1">
      <c r="A164" s="11" t="s">
        <v>107</v>
      </c>
      <c r="B164" s="108">
        <f t="shared" si="71"/>
        <v>651856665.4</v>
      </c>
      <c r="C164" s="108">
        <f t="shared" si="72"/>
        <v>21027634.37</v>
      </c>
      <c r="D164" s="11">
        <f t="shared" ref="D164:AH164" si="75">D155+D159</f>
        <v>23465936.59</v>
      </c>
      <c r="E164" s="11">
        <f t="shared" si="75"/>
        <v>13849602.52</v>
      </c>
      <c r="F164" s="11">
        <f t="shared" si="75"/>
        <v>22928150.62</v>
      </c>
      <c r="G164" s="11">
        <f t="shared" si="75"/>
        <v>27277658.3</v>
      </c>
      <c r="H164" s="11">
        <f t="shared" si="75"/>
        <v>33222851.81</v>
      </c>
      <c r="I164" s="11">
        <f t="shared" si="75"/>
        <v>47293462.77</v>
      </c>
      <c r="J164" s="11">
        <f t="shared" si="75"/>
        <v>24401209.68</v>
      </c>
      <c r="K164" s="11">
        <f t="shared" si="75"/>
        <v>18087455.68</v>
      </c>
      <c r="L164" s="11">
        <f t="shared" si="75"/>
        <v>28010815.48</v>
      </c>
      <c r="M164" s="11">
        <f t="shared" si="75"/>
        <v>15720347.57</v>
      </c>
      <c r="N164" s="11">
        <f t="shared" si="75"/>
        <v>9184546.98</v>
      </c>
      <c r="O164" s="11">
        <f t="shared" si="75"/>
        <v>12586607.08</v>
      </c>
      <c r="P164" s="11">
        <f t="shared" si="75"/>
        <v>17749718.7</v>
      </c>
      <c r="Q164" s="11">
        <f t="shared" si="75"/>
        <v>14004009.18</v>
      </c>
      <c r="R164" s="11">
        <f t="shared" si="75"/>
        <v>22705850.51</v>
      </c>
      <c r="S164" s="11">
        <f t="shared" si="75"/>
        <v>13769015.69</v>
      </c>
      <c r="T164" s="11">
        <f t="shared" si="75"/>
        <v>15014448.55</v>
      </c>
      <c r="U164" s="11">
        <f t="shared" si="75"/>
        <v>18973434.27</v>
      </c>
      <c r="V164" s="11">
        <f t="shared" si="75"/>
        <v>38742170.63</v>
      </c>
      <c r="W164" s="11">
        <f t="shared" si="75"/>
        <v>22651056.8</v>
      </c>
      <c r="X164" s="11">
        <f t="shared" si="75"/>
        <v>20361313.93</v>
      </c>
      <c r="Y164" s="11">
        <f t="shared" si="75"/>
        <v>18966978.19</v>
      </c>
      <c r="Z164" s="11">
        <f t="shared" si="75"/>
        <v>24247793.86</v>
      </c>
      <c r="AA164" s="11">
        <f t="shared" si="75"/>
        <v>44838261.27</v>
      </c>
      <c r="AB164" s="11">
        <f t="shared" si="75"/>
        <v>32328380.22</v>
      </c>
      <c r="AC164" s="11">
        <f t="shared" si="75"/>
        <v>34948194.82</v>
      </c>
      <c r="AD164" s="11">
        <f t="shared" si="75"/>
        <v>14246201.2</v>
      </c>
      <c r="AE164" s="11">
        <f t="shared" si="75"/>
        <v>22281192.48</v>
      </c>
      <c r="AF164" s="11">
        <f t="shared" si="75"/>
        <v>0</v>
      </c>
      <c r="AG164" s="11">
        <f t="shared" si="75"/>
        <v>0</v>
      </c>
      <c r="AH164" s="11">
        <f t="shared" si="75"/>
        <v>0</v>
      </c>
      <c r="AI164" s="164"/>
      <c r="AJ164" s="165"/>
    </row>
    <row r="165" ht="15.75" customHeight="1">
      <c r="A165" s="12" t="s">
        <v>40</v>
      </c>
      <c r="B165" s="68">
        <f>C165</f>
        <v>0.9603442415</v>
      </c>
      <c r="C165" s="68">
        <f t="shared" si="72"/>
        <v>0.9603442415</v>
      </c>
      <c r="D165" s="12">
        <f t="shared" ref="D165:AE165" si="76">D164/D163</f>
        <v>1.004500311</v>
      </c>
      <c r="E165" s="12">
        <f t="shared" si="76"/>
        <v>0.9778209525</v>
      </c>
      <c r="F165" s="12">
        <f t="shared" si="76"/>
        <v>1.067630513</v>
      </c>
      <c r="G165" s="12">
        <f t="shared" si="76"/>
        <v>1.023575105</v>
      </c>
      <c r="H165" s="12">
        <f t="shared" si="76"/>
        <v>0.9964998213</v>
      </c>
      <c r="I165" s="12">
        <f t="shared" si="76"/>
        <v>0.9592766105</v>
      </c>
      <c r="J165" s="12">
        <f t="shared" si="76"/>
        <v>1.018063589</v>
      </c>
      <c r="K165" s="12">
        <f t="shared" si="76"/>
        <v>0.9486671116</v>
      </c>
      <c r="L165" s="12">
        <f t="shared" si="76"/>
        <v>0.9633812757</v>
      </c>
      <c r="M165" s="12">
        <f t="shared" si="76"/>
        <v>0.9678696967</v>
      </c>
      <c r="N165" s="12">
        <f t="shared" si="76"/>
        <v>0.9668832928</v>
      </c>
      <c r="O165" s="12">
        <f t="shared" si="76"/>
        <v>0.9298679439</v>
      </c>
      <c r="P165" s="12">
        <f t="shared" si="76"/>
        <v>0.8734440871</v>
      </c>
      <c r="Q165" s="12">
        <f t="shared" si="76"/>
        <v>0.9176534619</v>
      </c>
      <c r="R165" s="12">
        <f t="shared" si="76"/>
        <v>0.9759262657</v>
      </c>
      <c r="S165" s="12">
        <f t="shared" si="76"/>
        <v>0.9563778135</v>
      </c>
      <c r="T165" s="12">
        <f t="shared" si="76"/>
        <v>0.9103668461</v>
      </c>
      <c r="U165" s="12">
        <f t="shared" si="76"/>
        <v>0.9789955778</v>
      </c>
      <c r="V165" s="12">
        <f t="shared" si="76"/>
        <v>1.00107606</v>
      </c>
      <c r="W165" s="12">
        <f t="shared" si="76"/>
        <v>0.8881810655</v>
      </c>
      <c r="X165" s="12">
        <f t="shared" si="76"/>
        <v>0.9534105888</v>
      </c>
      <c r="Y165" s="12">
        <f t="shared" si="76"/>
        <v>0.9995345616</v>
      </c>
      <c r="Z165" s="12">
        <f t="shared" si="76"/>
        <v>0.975042223</v>
      </c>
      <c r="AA165" s="12">
        <f t="shared" si="76"/>
        <v>0.9161906615</v>
      </c>
      <c r="AB165" s="12">
        <f t="shared" si="76"/>
        <v>0.8851666485</v>
      </c>
      <c r="AC165" s="12">
        <f t="shared" si="76"/>
        <v>0.920067277</v>
      </c>
      <c r="AD165" s="12">
        <f t="shared" si="76"/>
        <v>0.9441499366</v>
      </c>
      <c r="AE165" s="12">
        <f t="shared" si="76"/>
        <v>0.9700194625</v>
      </c>
      <c r="AF165" s="12"/>
      <c r="AG165" s="12"/>
      <c r="AH165" s="12"/>
      <c r="AI165" s="155"/>
      <c r="AJ165" s="156"/>
    </row>
    <row r="166" ht="15.75" customHeight="1">
      <c r="A166" s="60" t="s">
        <v>43</v>
      </c>
      <c r="B166" s="108">
        <f t="shared" ref="B166:B168" si="78">SUM(D166:AH166)</f>
        <v>27848618.53</v>
      </c>
      <c r="C166" s="108">
        <f t="shared" si="72"/>
        <v>898342.5332</v>
      </c>
      <c r="D166" s="11">
        <f t="shared" ref="D166:AH166" si="77">D163-D164</f>
        <v>-105130.89</v>
      </c>
      <c r="E166" s="11">
        <f t="shared" si="77"/>
        <v>314138.28</v>
      </c>
      <c r="F166" s="11">
        <f t="shared" si="77"/>
        <v>-1452415.02</v>
      </c>
      <c r="G166" s="11">
        <f t="shared" si="77"/>
        <v>-628262.32</v>
      </c>
      <c r="H166" s="11">
        <f t="shared" si="77"/>
        <v>116694.37</v>
      </c>
      <c r="I166" s="11">
        <f t="shared" si="77"/>
        <v>2007710.9</v>
      </c>
      <c r="J166" s="11">
        <f t="shared" si="77"/>
        <v>-432952.74</v>
      </c>
      <c r="K166" s="11">
        <f t="shared" si="77"/>
        <v>978721.97</v>
      </c>
      <c r="L166" s="11">
        <f t="shared" si="77"/>
        <v>1064708.6</v>
      </c>
      <c r="M166" s="11">
        <f t="shared" si="77"/>
        <v>521867.29</v>
      </c>
      <c r="N166" s="11">
        <f t="shared" si="77"/>
        <v>314579.8</v>
      </c>
      <c r="O166" s="11">
        <f t="shared" si="77"/>
        <v>949301.07</v>
      </c>
      <c r="P166" s="11">
        <f t="shared" si="77"/>
        <v>2571809.56</v>
      </c>
      <c r="Q166" s="11">
        <f t="shared" si="77"/>
        <v>1256663.57</v>
      </c>
      <c r="R166" s="11">
        <f t="shared" si="77"/>
        <v>560098.27</v>
      </c>
      <c r="S166" s="11">
        <f t="shared" si="77"/>
        <v>628030.64</v>
      </c>
      <c r="T166" s="11">
        <f t="shared" si="77"/>
        <v>1478296.78</v>
      </c>
      <c r="U166" s="11">
        <f t="shared" si="77"/>
        <v>407076.43</v>
      </c>
      <c r="V166" s="11">
        <f t="shared" si="77"/>
        <v>-41644.1</v>
      </c>
      <c r="W166" s="11">
        <f t="shared" si="77"/>
        <v>2851689.97</v>
      </c>
      <c r="X166" s="11">
        <f t="shared" si="77"/>
        <v>994977.02</v>
      </c>
      <c r="Y166" s="11">
        <f t="shared" si="77"/>
        <v>8832.07</v>
      </c>
      <c r="Z166" s="11">
        <f t="shared" si="77"/>
        <v>620661.36</v>
      </c>
      <c r="AA166" s="11">
        <f t="shared" si="77"/>
        <v>4101618.99</v>
      </c>
      <c r="AB166" s="11">
        <f t="shared" si="77"/>
        <v>4193985.68</v>
      </c>
      <c r="AC166" s="11">
        <f t="shared" si="77"/>
        <v>3036195.77</v>
      </c>
      <c r="AD166" s="11">
        <f t="shared" si="77"/>
        <v>842717.04</v>
      </c>
      <c r="AE166" s="11">
        <f t="shared" si="77"/>
        <v>688648.17</v>
      </c>
      <c r="AF166" s="11">
        <f t="shared" si="77"/>
        <v>0</v>
      </c>
      <c r="AG166" s="11">
        <f t="shared" si="77"/>
        <v>0</v>
      </c>
      <c r="AH166" s="11">
        <f t="shared" si="77"/>
        <v>0</v>
      </c>
      <c r="AI166" s="150"/>
      <c r="AJ166" s="151"/>
    </row>
    <row r="167" ht="15.75" customHeight="1">
      <c r="A167" s="11" t="s">
        <v>112</v>
      </c>
      <c r="B167" s="108">
        <f t="shared" si="78"/>
        <v>0</v>
      </c>
      <c r="C167" s="108">
        <f t="shared" si="72"/>
        <v>0</v>
      </c>
      <c r="D167" s="104">
        <v>0.0</v>
      </c>
      <c r="E167" s="104">
        <v>0.0</v>
      </c>
      <c r="F167" s="104">
        <v>0.0</v>
      </c>
      <c r="G167" s="104">
        <v>0.0</v>
      </c>
      <c r="H167" s="104">
        <v>0.0</v>
      </c>
      <c r="I167" s="104">
        <v>0.0</v>
      </c>
      <c r="J167" s="104">
        <v>0.0</v>
      </c>
      <c r="K167" s="104">
        <v>0.0</v>
      </c>
      <c r="L167" s="104">
        <v>0.0</v>
      </c>
      <c r="M167" s="104">
        <v>0.0</v>
      </c>
      <c r="N167" s="104">
        <v>0.0</v>
      </c>
      <c r="O167" s="104">
        <v>0.0</v>
      </c>
      <c r="P167" s="104">
        <v>0.0</v>
      </c>
      <c r="Q167" s="104">
        <v>0.0</v>
      </c>
      <c r="R167" s="104">
        <v>0.0</v>
      </c>
      <c r="S167" s="104">
        <v>0.0</v>
      </c>
      <c r="T167" s="104">
        <v>0.0</v>
      </c>
      <c r="U167" s="104">
        <v>0.0</v>
      </c>
      <c r="V167" s="104">
        <v>0.0</v>
      </c>
      <c r="W167" s="104">
        <v>0.0</v>
      </c>
      <c r="X167" s="104">
        <v>0.0</v>
      </c>
      <c r="Y167" s="104">
        <v>0.0</v>
      </c>
      <c r="Z167" s="104">
        <v>0.0</v>
      </c>
      <c r="AA167" s="104">
        <v>0.0</v>
      </c>
      <c r="AB167" s="104">
        <v>0.0</v>
      </c>
      <c r="AC167" s="104">
        <v>0.0</v>
      </c>
      <c r="AD167" s="104">
        <v>0.0</v>
      </c>
      <c r="AE167" s="104">
        <v>0.0</v>
      </c>
      <c r="AF167" s="104">
        <v>0.0</v>
      </c>
      <c r="AG167" s="104">
        <v>0.0</v>
      </c>
      <c r="AH167" s="104">
        <v>0.0</v>
      </c>
      <c r="AI167" s="164"/>
      <c r="AJ167" s="165"/>
    </row>
    <row r="168" ht="15.75" customHeight="1">
      <c r="A168" s="60" t="s">
        <v>62</v>
      </c>
      <c r="B168" s="108">
        <f t="shared" si="78"/>
        <v>27848618.53</v>
      </c>
      <c r="C168" s="108">
        <f t="shared" si="72"/>
        <v>898342.5332</v>
      </c>
      <c r="D168" s="11">
        <f t="shared" ref="D168:AH168" si="79">D166-D167</f>
        <v>-105130.89</v>
      </c>
      <c r="E168" s="11">
        <f t="shared" si="79"/>
        <v>314138.28</v>
      </c>
      <c r="F168" s="11">
        <f t="shared" si="79"/>
        <v>-1452415.02</v>
      </c>
      <c r="G168" s="11">
        <f t="shared" si="79"/>
        <v>-628262.32</v>
      </c>
      <c r="H168" s="11">
        <f t="shared" si="79"/>
        <v>116694.37</v>
      </c>
      <c r="I168" s="11">
        <f t="shared" si="79"/>
        <v>2007710.9</v>
      </c>
      <c r="J168" s="11">
        <f t="shared" si="79"/>
        <v>-432952.74</v>
      </c>
      <c r="K168" s="11">
        <f t="shared" si="79"/>
        <v>978721.97</v>
      </c>
      <c r="L168" s="11">
        <f t="shared" si="79"/>
        <v>1064708.6</v>
      </c>
      <c r="M168" s="11">
        <f t="shared" si="79"/>
        <v>521867.29</v>
      </c>
      <c r="N168" s="11">
        <f t="shared" si="79"/>
        <v>314579.8</v>
      </c>
      <c r="O168" s="11">
        <f t="shared" si="79"/>
        <v>949301.07</v>
      </c>
      <c r="P168" s="11">
        <f t="shared" si="79"/>
        <v>2571809.56</v>
      </c>
      <c r="Q168" s="11">
        <f t="shared" si="79"/>
        <v>1256663.57</v>
      </c>
      <c r="R168" s="11">
        <f t="shared" si="79"/>
        <v>560098.27</v>
      </c>
      <c r="S168" s="11">
        <f t="shared" si="79"/>
        <v>628030.64</v>
      </c>
      <c r="T168" s="11">
        <f t="shared" si="79"/>
        <v>1478296.78</v>
      </c>
      <c r="U168" s="11">
        <f t="shared" si="79"/>
        <v>407076.43</v>
      </c>
      <c r="V168" s="11">
        <f t="shared" si="79"/>
        <v>-41644.1</v>
      </c>
      <c r="W168" s="11">
        <f t="shared" si="79"/>
        <v>2851689.97</v>
      </c>
      <c r="X168" s="11">
        <f t="shared" si="79"/>
        <v>994977.02</v>
      </c>
      <c r="Y168" s="11">
        <f t="shared" si="79"/>
        <v>8832.07</v>
      </c>
      <c r="Z168" s="11">
        <f t="shared" si="79"/>
        <v>620661.36</v>
      </c>
      <c r="AA168" s="11">
        <f t="shared" si="79"/>
        <v>4101618.99</v>
      </c>
      <c r="AB168" s="11">
        <f t="shared" si="79"/>
        <v>4193985.68</v>
      </c>
      <c r="AC168" s="11">
        <f t="shared" si="79"/>
        <v>3036195.77</v>
      </c>
      <c r="AD168" s="11">
        <f t="shared" si="79"/>
        <v>842717.04</v>
      </c>
      <c r="AE168" s="11">
        <f t="shared" si="79"/>
        <v>688648.17</v>
      </c>
      <c r="AF168" s="11">
        <f t="shared" si="79"/>
        <v>0</v>
      </c>
      <c r="AG168" s="11">
        <f t="shared" si="79"/>
        <v>0</v>
      </c>
      <c r="AH168" s="11">
        <f t="shared" si="79"/>
        <v>0</v>
      </c>
      <c r="AI168" s="150"/>
      <c r="AJ168" s="151"/>
    </row>
    <row r="169" ht="15.75" customHeight="1">
      <c r="A169" s="60" t="s">
        <v>64</v>
      </c>
      <c r="B169" s="92"/>
      <c r="C169" s="92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189"/>
      <c r="AI169" s="150"/>
      <c r="AJ169" s="151"/>
    </row>
    <row r="170" ht="15.75" customHeight="1">
      <c r="A170" s="60" t="s">
        <v>75</v>
      </c>
      <c r="B170" s="92"/>
      <c r="C170" s="92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189"/>
      <c r="AI170" s="150"/>
      <c r="AJ170" s="151"/>
    </row>
    <row r="171" ht="15.75" customHeight="1">
      <c r="A171" s="60"/>
      <c r="B171" s="92"/>
      <c r="C171" s="92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189"/>
      <c r="AI171" s="150"/>
      <c r="AJ171" s="151"/>
    </row>
    <row r="172" ht="15.75" customHeight="1">
      <c r="A172" s="56" t="s">
        <v>113</v>
      </c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144"/>
      <c r="AI172" s="145"/>
      <c r="AJ172" s="146"/>
    </row>
    <row r="173" ht="15.75" customHeight="1">
      <c r="A173" s="11" t="s">
        <v>97</v>
      </c>
      <c r="B173" s="108">
        <f t="shared" ref="B173:B183" si="80">SUM(D173:AH173)</f>
        <v>782130408.9</v>
      </c>
      <c r="C173" s="108">
        <f t="shared" ref="C173:C189" si="81">AVERAGE(D173:AH173)</f>
        <v>27933228.89</v>
      </c>
      <c r="D173" s="104">
        <v>1.26935232E7</v>
      </c>
      <c r="E173" s="104">
        <v>9570777.08</v>
      </c>
      <c r="F173" s="104">
        <v>1.504492014E7</v>
      </c>
      <c r="G173" s="104">
        <v>2.57363453E7</v>
      </c>
      <c r="H173" s="104">
        <v>3.95369881E7</v>
      </c>
      <c r="I173" s="104">
        <v>3.8520431E7</v>
      </c>
      <c r="J173" s="104">
        <v>3.912744273E7</v>
      </c>
      <c r="K173" s="104">
        <v>3.588831428E7</v>
      </c>
      <c r="L173" s="104">
        <v>4.2963709E7</v>
      </c>
      <c r="M173" s="104">
        <v>1.58361893E7</v>
      </c>
      <c r="N173" s="104">
        <v>1.023686432E7</v>
      </c>
      <c r="O173" s="104">
        <v>6839573.2</v>
      </c>
      <c r="P173" s="104">
        <v>1.198703499E7</v>
      </c>
      <c r="Q173" s="104">
        <v>2.066593E7</v>
      </c>
      <c r="R173" s="104">
        <v>2.85064564E7</v>
      </c>
      <c r="S173" s="104">
        <v>1.974727767E7</v>
      </c>
      <c r="T173" s="104">
        <v>1.1807275E7</v>
      </c>
      <c r="U173" s="104">
        <v>2.2819201E7</v>
      </c>
      <c r="V173" s="104">
        <v>3.38827494E7</v>
      </c>
      <c r="W173" s="104">
        <v>4.098994794E7</v>
      </c>
      <c r="X173" s="104">
        <v>4.439850171E7</v>
      </c>
      <c r="Y173" s="104">
        <v>2.781462263E7</v>
      </c>
      <c r="Z173" s="104">
        <v>3.352674613E7</v>
      </c>
      <c r="AA173" s="104">
        <v>4.97460156E7</v>
      </c>
      <c r="AB173" s="104">
        <v>5.6100053E7</v>
      </c>
      <c r="AC173" s="104">
        <v>2.69878512E7</v>
      </c>
      <c r="AD173" s="104">
        <v>2.35306E7</v>
      </c>
      <c r="AE173" s="104">
        <v>3.76250686E7</v>
      </c>
      <c r="AF173" s="104"/>
      <c r="AG173" s="104"/>
      <c r="AH173" s="167"/>
      <c r="AI173" s="164"/>
      <c r="AJ173" s="165"/>
    </row>
    <row r="174" ht="15.75" customHeight="1">
      <c r="A174" s="11" t="s">
        <v>98</v>
      </c>
      <c r="B174" s="108">
        <f t="shared" si="80"/>
        <v>754426127.2</v>
      </c>
      <c r="C174" s="108">
        <f t="shared" si="81"/>
        <v>26943790.26</v>
      </c>
      <c r="D174" s="104">
        <v>1.302774686E7</v>
      </c>
      <c r="E174" s="104">
        <v>9464672.6</v>
      </c>
      <c r="F174" s="104">
        <v>1.516774678E7</v>
      </c>
      <c r="G174" s="104">
        <v>2.48347112E7</v>
      </c>
      <c r="H174" s="104">
        <v>3.89718522E7</v>
      </c>
      <c r="I174" s="104">
        <v>3.533271138E7</v>
      </c>
      <c r="J174" s="104">
        <v>3.92943157E7</v>
      </c>
      <c r="K174" s="104">
        <v>3.398888673E7</v>
      </c>
      <c r="L174" s="104">
        <v>3.812258267E7</v>
      </c>
      <c r="M174" s="104">
        <v>1.466052864E7</v>
      </c>
      <c r="N174" s="104">
        <v>9502515.44</v>
      </c>
      <c r="O174" s="104">
        <v>6508264.0</v>
      </c>
      <c r="P174" s="193">
        <v>1.090556641E7</v>
      </c>
      <c r="Q174" s="193">
        <v>2.042766842E7</v>
      </c>
      <c r="R174" s="104">
        <v>2.822346238E7</v>
      </c>
      <c r="S174" s="104">
        <v>1.998913688E7</v>
      </c>
      <c r="T174" s="104">
        <v>1.134844753E7</v>
      </c>
      <c r="U174" s="104">
        <v>2.264559273E7</v>
      </c>
      <c r="V174" s="104">
        <v>3.527481291E7</v>
      </c>
      <c r="W174" s="104">
        <v>4.059736216E7</v>
      </c>
      <c r="X174" s="104">
        <v>4.211005803E7</v>
      </c>
      <c r="Y174" s="104">
        <v>2.5770151E7</v>
      </c>
      <c r="Z174" s="104">
        <v>3.16189602E7</v>
      </c>
      <c r="AA174" s="104">
        <v>4.89721109E7</v>
      </c>
      <c r="AB174" s="104">
        <v>5.556449025E7</v>
      </c>
      <c r="AC174" s="104">
        <v>2.55845618E7</v>
      </c>
      <c r="AD174" s="104">
        <v>2.151052317E7</v>
      </c>
      <c r="AE174" s="104">
        <v>3.500668821E7</v>
      </c>
      <c r="AF174" s="104"/>
      <c r="AG174" s="104"/>
      <c r="AH174" s="167"/>
      <c r="AI174" s="164"/>
      <c r="AJ174" s="165"/>
    </row>
    <row r="175" ht="15.75" customHeight="1">
      <c r="A175" s="60" t="s">
        <v>99</v>
      </c>
      <c r="B175" s="92">
        <f t="shared" si="80"/>
        <v>3822</v>
      </c>
      <c r="C175" s="152">
        <f t="shared" si="81"/>
        <v>136.5</v>
      </c>
      <c r="D175" s="65">
        <v>137.0</v>
      </c>
      <c r="E175" s="65">
        <v>102.0</v>
      </c>
      <c r="F175" s="65">
        <v>107.0</v>
      </c>
      <c r="G175" s="65">
        <v>112.0</v>
      </c>
      <c r="H175" s="65">
        <v>122.0</v>
      </c>
      <c r="I175" s="65">
        <v>126.0</v>
      </c>
      <c r="J175" s="65">
        <v>120.0</v>
      </c>
      <c r="K175" s="65">
        <v>105.0</v>
      </c>
      <c r="L175" s="65">
        <v>131.0</v>
      </c>
      <c r="M175" s="65">
        <v>143.0</v>
      </c>
      <c r="N175" s="65">
        <v>101.0</v>
      </c>
      <c r="O175" s="65">
        <v>104.0</v>
      </c>
      <c r="P175" s="65">
        <v>164.0</v>
      </c>
      <c r="Q175" s="65">
        <v>111.0</v>
      </c>
      <c r="R175" s="65">
        <v>157.0</v>
      </c>
      <c r="S175" s="65">
        <v>129.0</v>
      </c>
      <c r="T175" s="65">
        <v>123.0</v>
      </c>
      <c r="U175" s="65">
        <v>119.0</v>
      </c>
      <c r="V175" s="65">
        <v>133.0</v>
      </c>
      <c r="W175" s="65">
        <v>150.0</v>
      </c>
      <c r="X175" s="65">
        <v>149.0</v>
      </c>
      <c r="Y175" s="65">
        <v>147.0</v>
      </c>
      <c r="Z175" s="65">
        <v>172.0</v>
      </c>
      <c r="AA175" s="65">
        <v>137.0</v>
      </c>
      <c r="AB175" s="65">
        <v>171.0</v>
      </c>
      <c r="AC175" s="65">
        <v>144.0</v>
      </c>
      <c r="AD175" s="65">
        <v>171.0</v>
      </c>
      <c r="AE175" s="65">
        <v>235.0</v>
      </c>
      <c r="AF175" s="65"/>
      <c r="AG175" s="65"/>
      <c r="AH175" s="153"/>
      <c r="AI175" s="150"/>
      <c r="AJ175" s="151"/>
    </row>
    <row r="176" ht="15.75" customHeight="1">
      <c r="A176" s="60" t="s">
        <v>100</v>
      </c>
      <c r="B176" s="92">
        <f t="shared" si="80"/>
        <v>17768</v>
      </c>
      <c r="C176" s="152">
        <f t="shared" si="81"/>
        <v>634.5714286</v>
      </c>
      <c r="D176" s="65">
        <v>472.0</v>
      </c>
      <c r="E176" s="65">
        <v>400.0</v>
      </c>
      <c r="F176" s="65">
        <v>523.0</v>
      </c>
      <c r="G176" s="65">
        <v>594.0</v>
      </c>
      <c r="H176" s="65">
        <v>733.0</v>
      </c>
      <c r="I176" s="65">
        <v>809.0</v>
      </c>
      <c r="J176" s="65">
        <v>807.0</v>
      </c>
      <c r="K176" s="65">
        <v>576.0</v>
      </c>
      <c r="L176" s="65">
        <v>602.0</v>
      </c>
      <c r="M176" s="65">
        <v>711.0</v>
      </c>
      <c r="N176" s="65">
        <v>412.0</v>
      </c>
      <c r="O176" s="65">
        <v>375.0</v>
      </c>
      <c r="P176" s="65">
        <v>512.0</v>
      </c>
      <c r="Q176" s="65">
        <v>453.0</v>
      </c>
      <c r="R176" s="65">
        <v>864.0</v>
      </c>
      <c r="S176" s="65">
        <v>500.0</v>
      </c>
      <c r="T176" s="65">
        <v>484.0</v>
      </c>
      <c r="U176" s="65">
        <v>537.0</v>
      </c>
      <c r="V176" s="65">
        <v>620.0</v>
      </c>
      <c r="W176" s="65">
        <v>780.0</v>
      </c>
      <c r="X176" s="65">
        <v>672.0</v>
      </c>
      <c r="Y176" s="65">
        <v>642.0</v>
      </c>
      <c r="Z176" s="65">
        <v>778.0</v>
      </c>
      <c r="AA176" s="65">
        <v>702.0</v>
      </c>
      <c r="AB176" s="65">
        <v>921.0</v>
      </c>
      <c r="AC176" s="65">
        <v>715.0</v>
      </c>
      <c r="AD176" s="65">
        <v>640.0</v>
      </c>
      <c r="AE176" s="65">
        <v>934.0</v>
      </c>
      <c r="AF176" s="65"/>
      <c r="AG176" s="65"/>
      <c r="AH176" s="153"/>
      <c r="AI176" s="150"/>
      <c r="AJ176" s="151"/>
    </row>
    <row r="177" ht="15.75" customHeight="1">
      <c r="A177" s="11" t="s">
        <v>101</v>
      </c>
      <c r="B177" s="108">
        <f t="shared" si="80"/>
        <v>0</v>
      </c>
      <c r="C177" s="108">
        <f t="shared" si="81"/>
        <v>0</v>
      </c>
      <c r="D177" s="104">
        <v>0.0</v>
      </c>
      <c r="E177" s="104">
        <v>0.0</v>
      </c>
      <c r="F177" s="104">
        <v>0.0</v>
      </c>
      <c r="G177" s="104">
        <v>0.0</v>
      </c>
      <c r="H177" s="104">
        <v>0.0</v>
      </c>
      <c r="I177" s="104">
        <v>0.0</v>
      </c>
      <c r="J177" s="104">
        <v>0.0</v>
      </c>
      <c r="K177" s="104">
        <v>0.0</v>
      </c>
      <c r="L177" s="104">
        <v>0.0</v>
      </c>
      <c r="M177" s="104">
        <v>0.0</v>
      </c>
      <c r="N177" s="104">
        <v>0.0</v>
      </c>
      <c r="O177" s="104">
        <v>0.0</v>
      </c>
      <c r="P177" s="104">
        <v>0.0</v>
      </c>
      <c r="Q177" s="104">
        <v>0.0</v>
      </c>
      <c r="R177" s="104">
        <v>0.0</v>
      </c>
      <c r="S177" s="104">
        <v>0.0</v>
      </c>
      <c r="T177" s="104">
        <v>0.0</v>
      </c>
      <c r="U177" s="104">
        <v>0.0</v>
      </c>
      <c r="V177" s="104">
        <v>0.0</v>
      </c>
      <c r="W177" s="104">
        <v>0.0</v>
      </c>
      <c r="X177" s="104">
        <v>0.0</v>
      </c>
      <c r="Y177" s="104">
        <v>0.0</v>
      </c>
      <c r="Z177" s="104">
        <v>0.0</v>
      </c>
      <c r="AA177" s="104">
        <v>0.0</v>
      </c>
      <c r="AB177" s="104">
        <v>0.0</v>
      </c>
      <c r="AC177" s="104">
        <v>0.0</v>
      </c>
      <c r="AD177" s="104">
        <v>0.0</v>
      </c>
      <c r="AE177" s="104">
        <v>0.0</v>
      </c>
      <c r="AF177" s="104"/>
      <c r="AG177" s="104"/>
      <c r="AH177" s="104"/>
      <c r="AI177" s="164"/>
      <c r="AJ177" s="165"/>
    </row>
    <row r="178" ht="15.75" customHeight="1">
      <c r="A178" s="11" t="s">
        <v>102</v>
      </c>
      <c r="B178" s="108">
        <f t="shared" si="80"/>
        <v>0</v>
      </c>
      <c r="C178" s="108">
        <f t="shared" si="81"/>
        <v>0</v>
      </c>
      <c r="D178" s="104">
        <v>0.0</v>
      </c>
      <c r="E178" s="104">
        <v>0.0</v>
      </c>
      <c r="F178" s="104">
        <v>0.0</v>
      </c>
      <c r="G178" s="104">
        <v>0.0</v>
      </c>
      <c r="H178" s="104">
        <v>0.0</v>
      </c>
      <c r="I178" s="104">
        <v>0.0</v>
      </c>
      <c r="J178" s="104">
        <v>0.0</v>
      </c>
      <c r="K178" s="104">
        <v>0.0</v>
      </c>
      <c r="L178" s="104">
        <v>0.0</v>
      </c>
      <c r="M178" s="104">
        <v>0.0</v>
      </c>
      <c r="N178" s="104">
        <v>0.0</v>
      </c>
      <c r="O178" s="104">
        <v>0.0</v>
      </c>
      <c r="P178" s="104">
        <v>0.0</v>
      </c>
      <c r="Q178" s="104">
        <v>0.0</v>
      </c>
      <c r="R178" s="104">
        <v>0.0</v>
      </c>
      <c r="S178" s="104">
        <v>0.0</v>
      </c>
      <c r="T178" s="104">
        <v>0.0</v>
      </c>
      <c r="U178" s="104">
        <v>0.0</v>
      </c>
      <c r="V178" s="104">
        <v>0.0</v>
      </c>
      <c r="W178" s="104">
        <v>0.0</v>
      </c>
      <c r="X178" s="104">
        <v>0.0</v>
      </c>
      <c r="Y178" s="104">
        <v>0.0</v>
      </c>
      <c r="Z178" s="104">
        <v>0.0</v>
      </c>
      <c r="AA178" s="104">
        <v>0.0</v>
      </c>
      <c r="AB178" s="104">
        <v>0.0</v>
      </c>
      <c r="AC178" s="104">
        <v>0.0</v>
      </c>
      <c r="AD178" s="104">
        <v>0.0</v>
      </c>
      <c r="AE178" s="104">
        <v>0.0</v>
      </c>
      <c r="AF178" s="104"/>
      <c r="AG178" s="104"/>
      <c r="AH178" s="104"/>
      <c r="AI178" s="164"/>
      <c r="AJ178" s="165"/>
    </row>
    <row r="179" ht="15.75" customHeight="1">
      <c r="A179" s="60" t="s">
        <v>103</v>
      </c>
      <c r="B179" s="92">
        <f t="shared" si="80"/>
        <v>0</v>
      </c>
      <c r="C179" s="92">
        <f t="shared" si="81"/>
        <v>0</v>
      </c>
      <c r="D179" s="65">
        <v>0.0</v>
      </c>
      <c r="E179" s="65">
        <v>0.0</v>
      </c>
      <c r="F179" s="65">
        <v>0.0</v>
      </c>
      <c r="G179" s="65">
        <v>0.0</v>
      </c>
      <c r="H179" s="65">
        <v>0.0</v>
      </c>
      <c r="I179" s="65">
        <v>0.0</v>
      </c>
      <c r="J179" s="65">
        <v>0.0</v>
      </c>
      <c r="K179" s="65">
        <v>0.0</v>
      </c>
      <c r="L179" s="65">
        <v>0.0</v>
      </c>
      <c r="M179" s="65">
        <v>0.0</v>
      </c>
      <c r="N179" s="65">
        <v>0.0</v>
      </c>
      <c r="O179" s="65">
        <v>0.0</v>
      </c>
      <c r="P179" s="65">
        <v>0.0</v>
      </c>
      <c r="Q179" s="65">
        <v>0.0</v>
      </c>
      <c r="R179" s="65">
        <v>0.0</v>
      </c>
      <c r="S179" s="65">
        <v>0.0</v>
      </c>
      <c r="T179" s="65">
        <v>0.0</v>
      </c>
      <c r="U179" s="65">
        <v>0.0</v>
      </c>
      <c r="V179" s="65">
        <v>0.0</v>
      </c>
      <c r="W179" s="65">
        <v>0.0</v>
      </c>
      <c r="X179" s="65">
        <v>0.0</v>
      </c>
      <c r="Y179" s="65">
        <v>0.0</v>
      </c>
      <c r="Z179" s="65">
        <v>0.0</v>
      </c>
      <c r="AA179" s="65">
        <v>0.0</v>
      </c>
      <c r="AB179" s="65">
        <v>0.0</v>
      </c>
      <c r="AC179" s="65">
        <v>0.0</v>
      </c>
      <c r="AD179" s="65">
        <v>0.0</v>
      </c>
      <c r="AE179" s="65">
        <v>0.0</v>
      </c>
      <c r="AF179" s="65"/>
      <c r="AG179" s="65"/>
      <c r="AH179" s="65"/>
      <c r="AI179" s="150"/>
      <c r="AJ179" s="151"/>
    </row>
    <row r="180" ht="15.75" customHeight="1">
      <c r="A180" s="60" t="s">
        <v>104</v>
      </c>
      <c r="B180" s="92">
        <f t="shared" si="80"/>
        <v>0</v>
      </c>
      <c r="C180" s="92">
        <f t="shared" si="81"/>
        <v>0</v>
      </c>
      <c r="D180" s="65">
        <v>0.0</v>
      </c>
      <c r="E180" s="65">
        <v>0.0</v>
      </c>
      <c r="F180" s="65">
        <v>0.0</v>
      </c>
      <c r="G180" s="65">
        <v>0.0</v>
      </c>
      <c r="H180" s="65">
        <v>0.0</v>
      </c>
      <c r="I180" s="65">
        <v>0.0</v>
      </c>
      <c r="J180" s="65">
        <v>0.0</v>
      </c>
      <c r="K180" s="65">
        <v>0.0</v>
      </c>
      <c r="L180" s="65">
        <v>0.0</v>
      </c>
      <c r="M180" s="65">
        <v>0.0</v>
      </c>
      <c r="N180" s="65">
        <v>0.0</v>
      </c>
      <c r="O180" s="65">
        <v>0.0</v>
      </c>
      <c r="P180" s="65">
        <v>0.0</v>
      </c>
      <c r="Q180" s="65">
        <v>0.0</v>
      </c>
      <c r="R180" s="65">
        <v>0.0</v>
      </c>
      <c r="S180" s="65">
        <v>0.0</v>
      </c>
      <c r="T180" s="65">
        <v>0.0</v>
      </c>
      <c r="U180" s="65">
        <v>0.0</v>
      </c>
      <c r="V180" s="65">
        <v>0.0</v>
      </c>
      <c r="W180" s="65">
        <v>0.0</v>
      </c>
      <c r="X180" s="65">
        <v>0.0</v>
      </c>
      <c r="Y180" s="65">
        <v>0.0</v>
      </c>
      <c r="Z180" s="65">
        <v>0.0</v>
      </c>
      <c r="AA180" s="65">
        <v>0.0</v>
      </c>
      <c r="AB180" s="65">
        <v>0.0</v>
      </c>
      <c r="AC180" s="65">
        <v>0.0</v>
      </c>
      <c r="AD180" s="65">
        <v>0.0</v>
      </c>
      <c r="AE180" s="65">
        <v>0.0</v>
      </c>
      <c r="AF180" s="65"/>
      <c r="AG180" s="65"/>
      <c r="AH180" s="65"/>
      <c r="AI180" s="150"/>
      <c r="AJ180" s="151"/>
    </row>
    <row r="181" ht="15.75" customHeight="1">
      <c r="A181" s="60" t="s">
        <v>105</v>
      </c>
      <c r="B181" s="92">
        <f t="shared" si="80"/>
        <v>3822</v>
      </c>
      <c r="C181" s="152">
        <f t="shared" si="81"/>
        <v>123.2903226</v>
      </c>
      <c r="D181" s="60">
        <f t="shared" ref="D181:AH181" si="82">D175+D179</f>
        <v>137</v>
      </c>
      <c r="E181" s="60">
        <f t="shared" si="82"/>
        <v>102</v>
      </c>
      <c r="F181" s="60">
        <f t="shared" si="82"/>
        <v>107</v>
      </c>
      <c r="G181" s="60">
        <f t="shared" si="82"/>
        <v>112</v>
      </c>
      <c r="H181" s="60">
        <f t="shared" si="82"/>
        <v>122</v>
      </c>
      <c r="I181" s="60">
        <f t="shared" si="82"/>
        <v>126</v>
      </c>
      <c r="J181" s="60">
        <f t="shared" si="82"/>
        <v>120</v>
      </c>
      <c r="K181" s="60">
        <f t="shared" si="82"/>
        <v>105</v>
      </c>
      <c r="L181" s="60">
        <f t="shared" si="82"/>
        <v>131</v>
      </c>
      <c r="M181" s="60">
        <f t="shared" si="82"/>
        <v>143</v>
      </c>
      <c r="N181" s="60">
        <f t="shared" si="82"/>
        <v>101</v>
      </c>
      <c r="O181" s="60">
        <f t="shared" si="82"/>
        <v>104</v>
      </c>
      <c r="P181" s="60">
        <f t="shared" si="82"/>
        <v>164</v>
      </c>
      <c r="Q181" s="60">
        <f t="shared" si="82"/>
        <v>111</v>
      </c>
      <c r="R181" s="60">
        <f t="shared" si="82"/>
        <v>157</v>
      </c>
      <c r="S181" s="60">
        <f t="shared" si="82"/>
        <v>129</v>
      </c>
      <c r="T181" s="60">
        <f t="shared" si="82"/>
        <v>123</v>
      </c>
      <c r="U181" s="60">
        <f t="shared" si="82"/>
        <v>119</v>
      </c>
      <c r="V181" s="60">
        <f t="shared" si="82"/>
        <v>133</v>
      </c>
      <c r="W181" s="60">
        <f t="shared" si="82"/>
        <v>150</v>
      </c>
      <c r="X181" s="60">
        <f t="shared" si="82"/>
        <v>149</v>
      </c>
      <c r="Y181" s="60">
        <f t="shared" si="82"/>
        <v>147</v>
      </c>
      <c r="Z181" s="60">
        <f t="shared" si="82"/>
        <v>172</v>
      </c>
      <c r="AA181" s="60">
        <f t="shared" si="82"/>
        <v>137</v>
      </c>
      <c r="AB181" s="60">
        <f t="shared" si="82"/>
        <v>171</v>
      </c>
      <c r="AC181" s="60">
        <f t="shared" si="82"/>
        <v>144</v>
      </c>
      <c r="AD181" s="60">
        <f t="shared" si="82"/>
        <v>171</v>
      </c>
      <c r="AE181" s="60">
        <f t="shared" si="82"/>
        <v>235</v>
      </c>
      <c r="AF181" s="60">
        <f t="shared" si="82"/>
        <v>0</v>
      </c>
      <c r="AG181" s="60">
        <f t="shared" si="82"/>
        <v>0</v>
      </c>
      <c r="AH181" s="60">
        <f t="shared" si="82"/>
        <v>0</v>
      </c>
      <c r="AI181" s="150"/>
      <c r="AJ181" s="151"/>
    </row>
    <row r="182" ht="15.75" customHeight="1">
      <c r="A182" s="11" t="s">
        <v>106</v>
      </c>
      <c r="B182" s="108">
        <f t="shared" si="80"/>
        <v>782130408.9</v>
      </c>
      <c r="C182" s="108">
        <f t="shared" si="81"/>
        <v>25230013.19</v>
      </c>
      <c r="D182" s="11">
        <f t="shared" ref="D182:AH182" si="83">D173+D177</f>
        <v>12693523.2</v>
      </c>
      <c r="E182" s="11">
        <f t="shared" si="83"/>
        <v>9570777.08</v>
      </c>
      <c r="F182" s="11">
        <f t="shared" si="83"/>
        <v>15044920.14</v>
      </c>
      <c r="G182" s="11">
        <f t="shared" si="83"/>
        <v>25736345.3</v>
      </c>
      <c r="H182" s="11">
        <f t="shared" si="83"/>
        <v>39536988.1</v>
      </c>
      <c r="I182" s="11">
        <f t="shared" si="83"/>
        <v>38520431</v>
      </c>
      <c r="J182" s="11">
        <f t="shared" si="83"/>
        <v>39127442.73</v>
      </c>
      <c r="K182" s="11">
        <f t="shared" si="83"/>
        <v>35888314.28</v>
      </c>
      <c r="L182" s="11">
        <f t="shared" si="83"/>
        <v>42963709</v>
      </c>
      <c r="M182" s="11">
        <f t="shared" si="83"/>
        <v>15836189.3</v>
      </c>
      <c r="N182" s="11">
        <f t="shared" si="83"/>
        <v>10236864.32</v>
      </c>
      <c r="O182" s="11">
        <f t="shared" si="83"/>
        <v>6839573.2</v>
      </c>
      <c r="P182" s="11">
        <f t="shared" si="83"/>
        <v>11987034.99</v>
      </c>
      <c r="Q182" s="11">
        <f t="shared" si="83"/>
        <v>20665930</v>
      </c>
      <c r="R182" s="11">
        <f t="shared" si="83"/>
        <v>28506456.4</v>
      </c>
      <c r="S182" s="11">
        <f t="shared" si="83"/>
        <v>19747277.67</v>
      </c>
      <c r="T182" s="11">
        <f t="shared" si="83"/>
        <v>11807275</v>
      </c>
      <c r="U182" s="11">
        <f t="shared" si="83"/>
        <v>22819201</v>
      </c>
      <c r="V182" s="11">
        <f t="shared" si="83"/>
        <v>33882749.4</v>
      </c>
      <c r="W182" s="11">
        <f t="shared" si="83"/>
        <v>40989947.94</v>
      </c>
      <c r="X182" s="11">
        <f t="shared" si="83"/>
        <v>44398501.71</v>
      </c>
      <c r="Y182" s="11">
        <f t="shared" si="83"/>
        <v>27814622.63</v>
      </c>
      <c r="Z182" s="11">
        <f t="shared" si="83"/>
        <v>33526746.13</v>
      </c>
      <c r="AA182" s="11">
        <f t="shared" si="83"/>
        <v>49746015.6</v>
      </c>
      <c r="AB182" s="11">
        <f t="shared" si="83"/>
        <v>56100053</v>
      </c>
      <c r="AC182" s="11">
        <f t="shared" si="83"/>
        <v>26987851.2</v>
      </c>
      <c r="AD182" s="11">
        <f t="shared" si="83"/>
        <v>23530600</v>
      </c>
      <c r="AE182" s="11">
        <f t="shared" si="83"/>
        <v>37625068.6</v>
      </c>
      <c r="AF182" s="11">
        <f t="shared" si="83"/>
        <v>0</v>
      </c>
      <c r="AG182" s="11">
        <f t="shared" si="83"/>
        <v>0</v>
      </c>
      <c r="AH182" s="11">
        <f t="shared" si="83"/>
        <v>0</v>
      </c>
      <c r="AI182" s="164"/>
      <c r="AJ182" s="165"/>
    </row>
    <row r="183" ht="15.75" customHeight="1">
      <c r="A183" s="11" t="s">
        <v>107</v>
      </c>
      <c r="B183" s="108">
        <f t="shared" si="80"/>
        <v>754426127.2</v>
      </c>
      <c r="C183" s="108">
        <f t="shared" si="81"/>
        <v>24336326.68</v>
      </c>
      <c r="D183" s="11">
        <f t="shared" ref="D183:AH183" si="84">D174+D178</f>
        <v>13027746.86</v>
      </c>
      <c r="E183" s="11">
        <f t="shared" si="84"/>
        <v>9464672.6</v>
      </c>
      <c r="F183" s="11">
        <f t="shared" si="84"/>
        <v>15167746.78</v>
      </c>
      <c r="G183" s="11">
        <f t="shared" si="84"/>
        <v>24834711.2</v>
      </c>
      <c r="H183" s="11">
        <f t="shared" si="84"/>
        <v>38971852.2</v>
      </c>
      <c r="I183" s="11">
        <f t="shared" si="84"/>
        <v>35332711.38</v>
      </c>
      <c r="J183" s="11">
        <f t="shared" si="84"/>
        <v>39294315.7</v>
      </c>
      <c r="K183" s="11">
        <f t="shared" si="84"/>
        <v>33988886.73</v>
      </c>
      <c r="L183" s="11">
        <f t="shared" si="84"/>
        <v>38122582.67</v>
      </c>
      <c r="M183" s="11">
        <f t="shared" si="84"/>
        <v>14660528.64</v>
      </c>
      <c r="N183" s="11">
        <f t="shared" si="84"/>
        <v>9502515.44</v>
      </c>
      <c r="O183" s="11">
        <f t="shared" si="84"/>
        <v>6508264</v>
      </c>
      <c r="P183" s="11">
        <f t="shared" si="84"/>
        <v>10905566.41</v>
      </c>
      <c r="Q183" s="11">
        <f t="shared" si="84"/>
        <v>20427668.42</v>
      </c>
      <c r="R183" s="11">
        <f t="shared" si="84"/>
        <v>28223462.38</v>
      </c>
      <c r="S183" s="11">
        <f t="shared" si="84"/>
        <v>19989136.88</v>
      </c>
      <c r="T183" s="11">
        <f t="shared" si="84"/>
        <v>11348447.53</v>
      </c>
      <c r="U183" s="11">
        <f t="shared" si="84"/>
        <v>22645592.73</v>
      </c>
      <c r="V183" s="11">
        <f t="shared" si="84"/>
        <v>35274812.91</v>
      </c>
      <c r="W183" s="11">
        <f t="shared" si="84"/>
        <v>40597362.16</v>
      </c>
      <c r="X183" s="11">
        <f t="shared" si="84"/>
        <v>42110058.03</v>
      </c>
      <c r="Y183" s="11">
        <f t="shared" si="84"/>
        <v>25770151</v>
      </c>
      <c r="Z183" s="11">
        <f t="shared" si="84"/>
        <v>31618960.2</v>
      </c>
      <c r="AA183" s="11">
        <f t="shared" si="84"/>
        <v>48972110.9</v>
      </c>
      <c r="AB183" s="11">
        <f t="shared" si="84"/>
        <v>55564490.25</v>
      </c>
      <c r="AC183" s="11">
        <f t="shared" si="84"/>
        <v>25584561.8</v>
      </c>
      <c r="AD183" s="11">
        <f t="shared" si="84"/>
        <v>21510523.17</v>
      </c>
      <c r="AE183" s="11">
        <f t="shared" si="84"/>
        <v>35006688.21</v>
      </c>
      <c r="AF183" s="11">
        <f t="shared" si="84"/>
        <v>0</v>
      </c>
      <c r="AG183" s="11">
        <f t="shared" si="84"/>
        <v>0</v>
      </c>
      <c r="AH183" s="11">
        <f t="shared" si="84"/>
        <v>0</v>
      </c>
      <c r="AI183" s="164"/>
      <c r="AJ183" s="165"/>
    </row>
    <row r="184" ht="15.75" customHeight="1">
      <c r="A184" s="12" t="s">
        <v>40</v>
      </c>
      <c r="B184" s="68">
        <f>C184</f>
        <v>0.964524672</v>
      </c>
      <c r="C184" s="68">
        <f t="shared" si="81"/>
        <v>0.964524672</v>
      </c>
      <c r="D184" s="12">
        <f t="shared" ref="D184:AE184" si="85">D183/D182</f>
        <v>1.026330252</v>
      </c>
      <c r="E184" s="12">
        <f t="shared" si="85"/>
        <v>0.9889137027</v>
      </c>
      <c r="F184" s="12">
        <f t="shared" si="85"/>
        <v>1.008163994</v>
      </c>
      <c r="G184" s="12">
        <f t="shared" si="85"/>
        <v>0.9649665059</v>
      </c>
      <c r="H184" s="12">
        <f t="shared" si="85"/>
        <v>0.9857061469</v>
      </c>
      <c r="I184" s="12">
        <f t="shared" si="85"/>
        <v>0.9172460033</v>
      </c>
      <c r="J184" s="12">
        <f t="shared" si="85"/>
        <v>1.004264858</v>
      </c>
      <c r="K184" s="12">
        <f t="shared" si="85"/>
        <v>0.9470739268</v>
      </c>
      <c r="L184" s="12">
        <f t="shared" si="85"/>
        <v>0.8873205679</v>
      </c>
      <c r="M184" s="12">
        <f t="shared" si="85"/>
        <v>0.9257611388</v>
      </c>
      <c r="N184" s="12">
        <f t="shared" si="85"/>
        <v>0.9282642754</v>
      </c>
      <c r="O184" s="12">
        <f t="shared" si="85"/>
        <v>0.9515599599</v>
      </c>
      <c r="P184" s="12">
        <f t="shared" si="85"/>
        <v>0.9097801432</v>
      </c>
      <c r="Q184" s="12">
        <f t="shared" si="85"/>
        <v>0.9884708029</v>
      </c>
      <c r="R184" s="12">
        <f t="shared" si="85"/>
        <v>0.9900726342</v>
      </c>
      <c r="S184" s="12">
        <f t="shared" si="85"/>
        <v>1.012247724</v>
      </c>
      <c r="T184" s="12">
        <f t="shared" si="85"/>
        <v>0.9611402741</v>
      </c>
      <c r="U184" s="12">
        <f t="shared" si="85"/>
        <v>0.9923920093</v>
      </c>
      <c r="V184" s="12">
        <f t="shared" si="85"/>
        <v>1.041084727</v>
      </c>
      <c r="W184" s="12">
        <f t="shared" si="85"/>
        <v>0.9904223889</v>
      </c>
      <c r="X184" s="12">
        <f t="shared" si="85"/>
        <v>0.9484567363</v>
      </c>
      <c r="Y184" s="12">
        <f t="shared" si="85"/>
        <v>0.9264965174</v>
      </c>
      <c r="Z184" s="12">
        <f t="shared" si="85"/>
        <v>0.9430965975</v>
      </c>
      <c r="AA184" s="12">
        <f t="shared" si="85"/>
        <v>0.9844428807</v>
      </c>
      <c r="AB184" s="12">
        <f t="shared" si="85"/>
        <v>0.9904534359</v>
      </c>
      <c r="AC184" s="12">
        <f t="shared" si="85"/>
        <v>0.9480029221</v>
      </c>
      <c r="AD184" s="12">
        <f t="shared" si="85"/>
        <v>0.9141510701</v>
      </c>
      <c r="AE184" s="12">
        <f t="shared" si="85"/>
        <v>0.9304086215</v>
      </c>
      <c r="AF184" s="12"/>
      <c r="AG184" s="12"/>
      <c r="AH184" s="12"/>
      <c r="AI184" s="155"/>
      <c r="AJ184" s="156"/>
    </row>
    <row r="185" ht="15.0" customHeight="1">
      <c r="A185" s="11" t="s">
        <v>43</v>
      </c>
      <c r="B185" s="108">
        <f t="shared" ref="B185:B189" si="87">SUM(D185:AH185)</f>
        <v>27704281.74</v>
      </c>
      <c r="C185" s="108">
        <f t="shared" si="81"/>
        <v>893686.5077</v>
      </c>
      <c r="D185" s="11">
        <f t="shared" ref="D185:AH185" si="86">D182-D183</f>
        <v>-334223.66</v>
      </c>
      <c r="E185" s="11">
        <f t="shared" si="86"/>
        <v>106104.48</v>
      </c>
      <c r="F185" s="11">
        <f t="shared" si="86"/>
        <v>-122826.64</v>
      </c>
      <c r="G185" s="11">
        <f t="shared" si="86"/>
        <v>901634.1</v>
      </c>
      <c r="H185" s="11">
        <f t="shared" si="86"/>
        <v>565135.9</v>
      </c>
      <c r="I185" s="11">
        <f t="shared" si="86"/>
        <v>3187719.62</v>
      </c>
      <c r="J185" s="11">
        <f t="shared" si="86"/>
        <v>-166872.97</v>
      </c>
      <c r="K185" s="11">
        <f t="shared" si="86"/>
        <v>1899427.55</v>
      </c>
      <c r="L185" s="11">
        <f t="shared" si="86"/>
        <v>4841126.33</v>
      </c>
      <c r="M185" s="11">
        <f t="shared" si="86"/>
        <v>1175660.66</v>
      </c>
      <c r="N185" s="11">
        <f t="shared" si="86"/>
        <v>734348.88</v>
      </c>
      <c r="O185" s="11">
        <f t="shared" si="86"/>
        <v>331309.2</v>
      </c>
      <c r="P185" s="11">
        <f t="shared" si="86"/>
        <v>1081468.58</v>
      </c>
      <c r="Q185" s="11">
        <f t="shared" si="86"/>
        <v>238261.58</v>
      </c>
      <c r="R185" s="11">
        <f t="shared" si="86"/>
        <v>282994.02</v>
      </c>
      <c r="S185" s="11">
        <f t="shared" si="86"/>
        <v>-241859.21</v>
      </c>
      <c r="T185" s="11">
        <f t="shared" si="86"/>
        <v>458827.47</v>
      </c>
      <c r="U185" s="11">
        <f t="shared" si="86"/>
        <v>173608.27</v>
      </c>
      <c r="V185" s="11">
        <f t="shared" si="86"/>
        <v>-1392063.51</v>
      </c>
      <c r="W185" s="11">
        <f t="shared" si="86"/>
        <v>392585.78</v>
      </c>
      <c r="X185" s="11">
        <f t="shared" si="86"/>
        <v>2288443.68</v>
      </c>
      <c r="Y185" s="11">
        <f t="shared" si="86"/>
        <v>2044471.63</v>
      </c>
      <c r="Z185" s="11">
        <f t="shared" si="86"/>
        <v>1907785.93</v>
      </c>
      <c r="AA185" s="11">
        <f t="shared" si="86"/>
        <v>773904.7</v>
      </c>
      <c r="AB185" s="11">
        <f t="shared" si="86"/>
        <v>535562.75</v>
      </c>
      <c r="AC185" s="11">
        <f t="shared" si="86"/>
        <v>1403289.4</v>
      </c>
      <c r="AD185" s="11">
        <f t="shared" si="86"/>
        <v>2020076.83</v>
      </c>
      <c r="AE185" s="11">
        <f t="shared" si="86"/>
        <v>2618380.39</v>
      </c>
      <c r="AF185" s="11">
        <f t="shared" si="86"/>
        <v>0</v>
      </c>
      <c r="AG185" s="11">
        <f t="shared" si="86"/>
        <v>0</v>
      </c>
      <c r="AH185" s="11">
        <f t="shared" si="86"/>
        <v>0</v>
      </c>
      <c r="AI185" s="164"/>
      <c r="AJ185" s="165"/>
    </row>
    <row r="186" ht="15.75" customHeight="1">
      <c r="A186" s="11" t="s">
        <v>114</v>
      </c>
      <c r="B186" s="108">
        <f t="shared" si="87"/>
        <v>0</v>
      </c>
      <c r="C186" s="108">
        <f t="shared" si="81"/>
        <v>0</v>
      </c>
      <c r="D186" s="104">
        <v>0.0</v>
      </c>
      <c r="E186" s="104">
        <v>0.0</v>
      </c>
      <c r="F186" s="104">
        <v>0.0</v>
      </c>
      <c r="G186" s="104">
        <v>0.0</v>
      </c>
      <c r="H186" s="104">
        <v>0.0</v>
      </c>
      <c r="I186" s="104">
        <v>0.0</v>
      </c>
      <c r="J186" s="104">
        <v>0.0</v>
      </c>
      <c r="K186" s="104">
        <v>0.0</v>
      </c>
      <c r="L186" s="104">
        <v>0.0</v>
      </c>
      <c r="M186" s="104">
        <v>0.0</v>
      </c>
      <c r="N186" s="104">
        <v>0.0</v>
      </c>
      <c r="O186" s="104">
        <v>0.0</v>
      </c>
      <c r="P186" s="104">
        <v>0.0</v>
      </c>
      <c r="Q186" s="104">
        <v>0.0</v>
      </c>
      <c r="R186" s="104">
        <v>0.0</v>
      </c>
      <c r="S186" s="104">
        <v>0.0</v>
      </c>
      <c r="T186" s="104">
        <v>0.0</v>
      </c>
      <c r="U186" s="104">
        <v>0.0</v>
      </c>
      <c r="V186" s="104">
        <v>0.0</v>
      </c>
      <c r="W186" s="104">
        <v>0.0</v>
      </c>
      <c r="X186" s="104">
        <v>0.0</v>
      </c>
      <c r="Y186" s="104">
        <v>0.0</v>
      </c>
      <c r="Z186" s="104">
        <v>0.0</v>
      </c>
      <c r="AA186" s="104">
        <v>0.0</v>
      </c>
      <c r="AB186" s="104">
        <v>0.0</v>
      </c>
      <c r="AC186" s="104">
        <v>0.0</v>
      </c>
      <c r="AD186" s="104">
        <v>0.0</v>
      </c>
      <c r="AE186" s="104">
        <v>0.0</v>
      </c>
      <c r="AF186" s="104">
        <v>0.0</v>
      </c>
      <c r="AG186" s="104">
        <v>0.0</v>
      </c>
      <c r="AH186" s="104">
        <v>0.0</v>
      </c>
      <c r="AI186" s="164"/>
      <c r="AJ186" s="165"/>
    </row>
    <row r="187" ht="15.75" customHeight="1">
      <c r="A187" s="11" t="s">
        <v>62</v>
      </c>
      <c r="B187" s="108">
        <f t="shared" si="87"/>
        <v>27704281.74</v>
      </c>
      <c r="C187" s="108">
        <f t="shared" si="81"/>
        <v>893686.5077</v>
      </c>
      <c r="D187" s="11">
        <f t="shared" ref="D187:AH187" si="88">D185-D186</f>
        <v>-334223.66</v>
      </c>
      <c r="E187" s="11">
        <f t="shared" si="88"/>
        <v>106104.48</v>
      </c>
      <c r="F187" s="11">
        <f t="shared" si="88"/>
        <v>-122826.64</v>
      </c>
      <c r="G187" s="11">
        <f t="shared" si="88"/>
        <v>901634.1</v>
      </c>
      <c r="H187" s="11">
        <f t="shared" si="88"/>
        <v>565135.9</v>
      </c>
      <c r="I187" s="11">
        <f t="shared" si="88"/>
        <v>3187719.62</v>
      </c>
      <c r="J187" s="11">
        <f t="shared" si="88"/>
        <v>-166872.97</v>
      </c>
      <c r="K187" s="11">
        <f t="shared" si="88"/>
        <v>1899427.55</v>
      </c>
      <c r="L187" s="11">
        <f t="shared" si="88"/>
        <v>4841126.33</v>
      </c>
      <c r="M187" s="11">
        <f t="shared" si="88"/>
        <v>1175660.66</v>
      </c>
      <c r="N187" s="11">
        <f t="shared" si="88"/>
        <v>734348.88</v>
      </c>
      <c r="O187" s="11">
        <f t="shared" si="88"/>
        <v>331309.2</v>
      </c>
      <c r="P187" s="11">
        <f t="shared" si="88"/>
        <v>1081468.58</v>
      </c>
      <c r="Q187" s="11">
        <f t="shared" si="88"/>
        <v>238261.58</v>
      </c>
      <c r="R187" s="11">
        <f t="shared" si="88"/>
        <v>282994.02</v>
      </c>
      <c r="S187" s="11">
        <f t="shared" si="88"/>
        <v>-241859.21</v>
      </c>
      <c r="T187" s="11">
        <f t="shared" si="88"/>
        <v>458827.47</v>
      </c>
      <c r="U187" s="11">
        <f t="shared" si="88"/>
        <v>173608.27</v>
      </c>
      <c r="V187" s="11">
        <f t="shared" si="88"/>
        <v>-1392063.51</v>
      </c>
      <c r="W187" s="11">
        <f t="shared" si="88"/>
        <v>392585.78</v>
      </c>
      <c r="X187" s="11">
        <f t="shared" si="88"/>
        <v>2288443.68</v>
      </c>
      <c r="Y187" s="11">
        <f t="shared" si="88"/>
        <v>2044471.63</v>
      </c>
      <c r="Z187" s="11">
        <f t="shared" si="88"/>
        <v>1907785.93</v>
      </c>
      <c r="AA187" s="11">
        <f t="shared" si="88"/>
        <v>773904.7</v>
      </c>
      <c r="AB187" s="11">
        <f t="shared" si="88"/>
        <v>535562.75</v>
      </c>
      <c r="AC187" s="11">
        <f t="shared" si="88"/>
        <v>1403289.4</v>
      </c>
      <c r="AD187" s="11">
        <f t="shared" si="88"/>
        <v>2020076.83</v>
      </c>
      <c r="AE187" s="11">
        <f t="shared" si="88"/>
        <v>2618380.39</v>
      </c>
      <c r="AF187" s="11">
        <f t="shared" si="88"/>
        <v>0</v>
      </c>
      <c r="AG187" s="11">
        <f t="shared" si="88"/>
        <v>0</v>
      </c>
      <c r="AH187" s="11">
        <f t="shared" si="88"/>
        <v>0</v>
      </c>
      <c r="AI187" s="164"/>
      <c r="AJ187" s="165"/>
    </row>
    <row r="188" ht="15.75" customHeight="1">
      <c r="A188" s="60" t="s">
        <v>64</v>
      </c>
      <c r="B188" s="92">
        <f t="shared" si="87"/>
        <v>0</v>
      </c>
      <c r="C188" s="92" t="str">
        <f t="shared" si="81"/>
        <v>#DIV/0!</v>
      </c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189"/>
      <c r="AI188" s="150"/>
      <c r="AJ188" s="151"/>
    </row>
    <row r="189" ht="15.75" customHeight="1">
      <c r="A189" s="60" t="s">
        <v>75</v>
      </c>
      <c r="B189" s="92">
        <f t="shared" si="87"/>
        <v>0</v>
      </c>
      <c r="C189" s="92" t="str">
        <f t="shared" si="81"/>
        <v>#DIV/0!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189"/>
      <c r="AI189" s="150"/>
      <c r="AJ189" s="151"/>
    </row>
    <row r="190" ht="15.75" customHeight="1"/>
    <row r="191" ht="15.75" customHeight="1"/>
    <row r="192" ht="15.75" customHeight="1">
      <c r="A192" s="18" t="s">
        <v>115</v>
      </c>
      <c r="B192" s="18" t="s">
        <v>233</v>
      </c>
      <c r="C192" s="18" t="s">
        <v>234</v>
      </c>
      <c r="D192" s="196" t="s">
        <v>288</v>
      </c>
      <c r="E192" s="18" t="s">
        <v>236</v>
      </c>
      <c r="F192" s="18" t="s">
        <v>237</v>
      </c>
      <c r="G192" s="18" t="s">
        <v>238</v>
      </c>
      <c r="H192" s="196" t="s">
        <v>289</v>
      </c>
      <c r="I192" s="196" t="s">
        <v>290</v>
      </c>
    </row>
    <row r="193" ht="15.75" customHeight="1">
      <c r="A193" s="18" t="s">
        <v>116</v>
      </c>
      <c r="B193" s="138">
        <f t="shared" ref="B193:C193" si="89">SUM(B194:B198)</f>
        <v>129457997</v>
      </c>
      <c r="C193" s="18">
        <f t="shared" si="89"/>
        <v>7275</v>
      </c>
      <c r="D193" s="138">
        <f t="shared" ref="D193:D194" si="91">B193/C193</f>
        <v>17794.91368</v>
      </c>
      <c r="E193" s="46">
        <f>AVERAGE(E194:E198)</f>
        <v>35399</v>
      </c>
      <c r="F193" s="47">
        <f t="shared" ref="F193:G193" si="90">SUM(F194:F198)</f>
        <v>1</v>
      </c>
      <c r="G193" s="18">
        <f t="shared" si="90"/>
        <v>1542</v>
      </c>
      <c r="H193" s="138">
        <f t="shared" ref="H193:H198" si="92">B193/G193</f>
        <v>83954.60246</v>
      </c>
      <c r="I193" s="199">
        <f>SUM(I194:I198)</f>
        <v>1</v>
      </c>
    </row>
    <row r="194" ht="15.75" customHeight="1">
      <c r="A194" s="18" t="s">
        <v>117</v>
      </c>
      <c r="B194" s="52">
        <v>2.78665E7</v>
      </c>
      <c r="C194" s="139">
        <v>205.0</v>
      </c>
      <c r="D194" s="138">
        <f t="shared" si="91"/>
        <v>135934.1463</v>
      </c>
      <c r="E194" s="229">
        <v>100000.0</v>
      </c>
      <c r="F194" s="47">
        <f t="shared" ref="F194:F198" si="93">B194/$B$193</f>
        <v>0.2152551457</v>
      </c>
      <c r="G194" s="139">
        <v>50.0</v>
      </c>
      <c r="H194" s="138">
        <f t="shared" si="92"/>
        <v>557330</v>
      </c>
      <c r="I194" s="199">
        <f t="shared" ref="I194:I198" si="94">G194/$G$193</f>
        <v>0.03242542153</v>
      </c>
    </row>
    <row r="195" ht="15.75" customHeight="1">
      <c r="A195" s="18" t="s">
        <v>118</v>
      </c>
      <c r="B195" s="52">
        <v>8929491.0</v>
      </c>
      <c r="C195" s="139">
        <v>608.0</v>
      </c>
      <c r="D195" s="52">
        <v>9162.0</v>
      </c>
      <c r="E195" s="229">
        <v>6995.0</v>
      </c>
      <c r="F195" s="47">
        <f t="shared" si="93"/>
        <v>0.06897597064</v>
      </c>
      <c r="G195" s="139">
        <v>329.0</v>
      </c>
      <c r="H195" s="138">
        <f t="shared" si="92"/>
        <v>27141.31003</v>
      </c>
      <c r="I195" s="199">
        <f t="shared" si="94"/>
        <v>0.2133592737</v>
      </c>
    </row>
    <row r="196" ht="15.75" customHeight="1">
      <c r="A196" s="18" t="s">
        <v>119</v>
      </c>
      <c r="B196" s="52">
        <v>1.643239E7</v>
      </c>
      <c r="C196" s="139">
        <v>781.0</v>
      </c>
      <c r="D196" s="52">
        <v>20000.0</v>
      </c>
      <c r="E196" s="52">
        <v>20000.0</v>
      </c>
      <c r="F196" s="47">
        <f t="shared" si="93"/>
        <v>0.1269322126</v>
      </c>
      <c r="G196" s="139">
        <v>155.0</v>
      </c>
      <c r="H196" s="138">
        <f t="shared" si="92"/>
        <v>106015.4194</v>
      </c>
      <c r="I196" s="199">
        <f t="shared" si="94"/>
        <v>0.1005188067</v>
      </c>
    </row>
    <row r="197" ht="15.75" customHeight="1">
      <c r="A197" s="18" t="s">
        <v>120</v>
      </c>
      <c r="B197" s="52">
        <v>7622000.0</v>
      </c>
      <c r="C197" s="139">
        <v>130.0</v>
      </c>
      <c r="D197" s="138">
        <f>B197/C197</f>
        <v>58630.76923</v>
      </c>
      <c r="E197" s="52">
        <v>40000.0</v>
      </c>
      <c r="F197" s="47">
        <f t="shared" si="93"/>
        <v>0.05887623922</v>
      </c>
      <c r="G197" s="139">
        <v>30.0</v>
      </c>
      <c r="H197" s="138">
        <f t="shared" si="92"/>
        <v>254066.6667</v>
      </c>
      <c r="I197" s="199">
        <f t="shared" si="94"/>
        <v>0.01945525292</v>
      </c>
    </row>
    <row r="198" ht="15.75" customHeight="1">
      <c r="A198" s="18" t="s">
        <v>121</v>
      </c>
      <c r="B198" s="52">
        <v>6.8607616E7</v>
      </c>
      <c r="C198" s="139">
        <v>5551.0</v>
      </c>
      <c r="D198" s="52">
        <v>9800.0</v>
      </c>
      <c r="E198" s="52">
        <v>10000.0</v>
      </c>
      <c r="F198" s="47">
        <f t="shared" si="93"/>
        <v>0.5299604319</v>
      </c>
      <c r="G198" s="139">
        <v>978.0</v>
      </c>
      <c r="H198" s="138">
        <f t="shared" si="92"/>
        <v>70150.93661</v>
      </c>
      <c r="I198" s="199">
        <f t="shared" si="94"/>
        <v>0.6342412451</v>
      </c>
    </row>
    <row r="199" ht="15.75" customHeight="1">
      <c r="A199" s="18"/>
      <c r="B199" s="18"/>
      <c r="C199" s="18"/>
      <c r="D199" s="18"/>
      <c r="E199" s="138"/>
      <c r="F199" s="18"/>
      <c r="G199" s="18"/>
      <c r="H199" s="18"/>
      <c r="I199" s="184"/>
    </row>
    <row r="200" ht="15.75" customHeight="1">
      <c r="A200" s="18" t="s">
        <v>122</v>
      </c>
      <c r="B200" s="18" t="s">
        <v>233</v>
      </c>
      <c r="C200" s="18" t="s">
        <v>234</v>
      </c>
      <c r="D200" s="196" t="s">
        <v>288</v>
      </c>
      <c r="E200" s="18" t="s">
        <v>236</v>
      </c>
      <c r="F200" s="18" t="s">
        <v>237</v>
      </c>
      <c r="G200" s="18" t="s">
        <v>238</v>
      </c>
      <c r="H200" s="196" t="s">
        <v>289</v>
      </c>
      <c r="I200" s="196" t="s">
        <v>290</v>
      </c>
    </row>
    <row r="201" ht="15.75" customHeight="1">
      <c r="A201" s="18" t="s">
        <v>116</v>
      </c>
      <c r="B201" s="138">
        <f t="shared" ref="B201:C201" si="95">SUM(B202:B205)</f>
        <v>94439992</v>
      </c>
      <c r="C201" s="18">
        <f t="shared" si="95"/>
        <v>1570</v>
      </c>
      <c r="D201" s="138">
        <f t="shared" ref="D201:D205" si="97">B201/C201</f>
        <v>60152.86115</v>
      </c>
      <c r="E201" s="138">
        <f>AVERAGE(E202:E214)</f>
        <v>27631.25</v>
      </c>
      <c r="F201" s="47">
        <f t="shared" ref="F201:G201" si="96">SUM(F202:F205)</f>
        <v>1</v>
      </c>
      <c r="G201" s="18">
        <f t="shared" si="96"/>
        <v>730</v>
      </c>
      <c r="H201" s="138">
        <f t="shared" ref="H201:H205" si="98">B201/G201</f>
        <v>129369.8521</v>
      </c>
      <c r="I201" s="199">
        <f t="shared" ref="I201:I205" si="99">G201/$G$201</f>
        <v>1</v>
      </c>
    </row>
    <row r="202" ht="15.75" customHeight="1">
      <c r="A202" s="18" t="s">
        <v>117</v>
      </c>
      <c r="B202" s="52">
        <v>4.0559584E7</v>
      </c>
      <c r="C202" s="139">
        <v>408.0</v>
      </c>
      <c r="D202" s="138">
        <f t="shared" si="97"/>
        <v>99410.7451</v>
      </c>
      <c r="E202" s="52">
        <v>50000.0</v>
      </c>
      <c r="F202" s="47">
        <f t="shared" ref="F202:F205" si="100">B202/$B$201</f>
        <v>0.4294746658</v>
      </c>
      <c r="G202" s="139">
        <v>174.0</v>
      </c>
      <c r="H202" s="138">
        <f t="shared" si="98"/>
        <v>233101.0575</v>
      </c>
      <c r="I202" s="199">
        <f t="shared" si="99"/>
        <v>0.2383561644</v>
      </c>
    </row>
    <row r="203" ht="15.75" customHeight="1">
      <c r="A203" s="18" t="s">
        <v>118</v>
      </c>
      <c r="B203" s="52">
        <v>2.8256801E7</v>
      </c>
      <c r="C203" s="139">
        <v>549.0</v>
      </c>
      <c r="D203" s="138">
        <f t="shared" si="97"/>
        <v>51469.58288</v>
      </c>
      <c r="E203" s="52">
        <v>15679.0</v>
      </c>
      <c r="F203" s="47">
        <f t="shared" si="100"/>
        <v>0.2992037632</v>
      </c>
      <c r="G203" s="139">
        <v>293.0</v>
      </c>
      <c r="H203" s="138">
        <f t="shared" si="98"/>
        <v>96439.59386</v>
      </c>
      <c r="I203" s="199">
        <f t="shared" si="99"/>
        <v>0.401369863</v>
      </c>
    </row>
    <row r="204" ht="15.75" customHeight="1">
      <c r="A204" s="18" t="s">
        <v>119</v>
      </c>
      <c r="B204" s="52">
        <v>2.2693638E7</v>
      </c>
      <c r="C204" s="139">
        <v>444.0</v>
      </c>
      <c r="D204" s="138">
        <f t="shared" si="97"/>
        <v>51111.7973</v>
      </c>
      <c r="E204" s="52">
        <v>30000.0</v>
      </c>
      <c r="F204" s="47">
        <f t="shared" si="100"/>
        <v>0.2402969073</v>
      </c>
      <c r="G204" s="139">
        <v>167.0</v>
      </c>
      <c r="H204" s="138">
        <f t="shared" si="98"/>
        <v>135890.0479</v>
      </c>
      <c r="I204" s="199">
        <f t="shared" si="99"/>
        <v>0.2287671233</v>
      </c>
    </row>
    <row r="205" ht="15.75" customHeight="1">
      <c r="A205" s="18" t="s">
        <v>121</v>
      </c>
      <c r="B205" s="52">
        <v>2929969.0</v>
      </c>
      <c r="C205" s="139">
        <v>169.0</v>
      </c>
      <c r="D205" s="138">
        <f t="shared" si="97"/>
        <v>17337.09467</v>
      </c>
      <c r="E205" s="52">
        <v>14846.0</v>
      </c>
      <c r="F205" s="47">
        <f t="shared" si="100"/>
        <v>0.03102466379</v>
      </c>
      <c r="G205" s="139">
        <v>96.0</v>
      </c>
      <c r="H205" s="138">
        <f t="shared" si="98"/>
        <v>30520.51042</v>
      </c>
      <c r="I205" s="199">
        <f t="shared" si="99"/>
        <v>0.1315068493</v>
      </c>
    </row>
    <row r="206" ht="15.75" customHeight="1">
      <c r="A206" s="19"/>
      <c r="B206" s="19"/>
      <c r="C206" s="19"/>
      <c r="D206" s="19"/>
      <c r="E206" s="19"/>
      <c r="F206" s="19"/>
      <c r="G206" s="19"/>
      <c r="H206" s="19"/>
    </row>
    <row r="207" ht="15.75" customHeight="1">
      <c r="A207" s="230" t="s">
        <v>123</v>
      </c>
      <c r="B207" s="10"/>
      <c r="C207" s="19"/>
      <c r="D207" s="19"/>
      <c r="E207" s="19"/>
      <c r="F207" s="19"/>
      <c r="G207" s="19"/>
      <c r="H207" s="19"/>
    </row>
    <row r="208" ht="15.75" customHeight="1">
      <c r="A208" s="196" t="s">
        <v>2</v>
      </c>
      <c r="B208" s="206"/>
      <c r="C208" s="19"/>
      <c r="D208" s="19"/>
      <c r="E208" s="19"/>
      <c r="F208" s="19"/>
      <c r="G208" s="19"/>
      <c r="H208" s="19"/>
    </row>
    <row r="209" ht="15.75" customHeight="1">
      <c r="A209" s="196" t="s">
        <v>124</v>
      </c>
      <c r="B209" s="206"/>
    </row>
    <row r="210" ht="15.75" customHeight="1">
      <c r="A210" s="196" t="s">
        <v>125</v>
      </c>
      <c r="B210" s="200"/>
    </row>
    <row r="211" ht="15.75" customHeight="1">
      <c r="A211" s="196" t="s">
        <v>126</v>
      </c>
      <c r="B211" s="200"/>
    </row>
    <row r="212" ht="15.75" customHeight="1">
      <c r="A212" s="196" t="s">
        <v>127</v>
      </c>
      <c r="B212" s="200"/>
    </row>
    <row r="213" ht="15.75" customHeight="1">
      <c r="A213" s="196" t="s">
        <v>43</v>
      </c>
      <c r="B213" s="200"/>
    </row>
    <row r="214" ht="15.75" customHeight="1">
      <c r="A214" s="196" t="s">
        <v>46</v>
      </c>
      <c r="B214" s="200"/>
    </row>
    <row r="215" ht="15.75" customHeight="1"/>
    <row r="216" ht="15.75" customHeight="1">
      <c r="A216" s="207" t="s">
        <v>128</v>
      </c>
    </row>
    <row r="217" ht="15.75" customHeight="1">
      <c r="A217" s="184"/>
      <c r="B217" s="196" t="s">
        <v>129</v>
      </c>
      <c r="C217" s="196" t="s">
        <v>125</v>
      </c>
      <c r="D217" s="196" t="s">
        <v>130</v>
      </c>
      <c r="E217" s="196" t="s">
        <v>131</v>
      </c>
      <c r="F217" s="196" t="s">
        <v>132</v>
      </c>
      <c r="G217" s="196" t="s">
        <v>126</v>
      </c>
      <c r="H217" s="196" t="s">
        <v>133</v>
      </c>
      <c r="I217" s="196" t="s">
        <v>131</v>
      </c>
    </row>
    <row r="218" ht="15.75" customHeight="1">
      <c r="A218" s="196" t="s">
        <v>134</v>
      </c>
      <c r="B218" s="196">
        <v>70.0</v>
      </c>
      <c r="C218" s="197">
        <v>1059357.0</v>
      </c>
      <c r="D218" s="198">
        <f t="shared" ref="D218:D225" si="102">C218/B218</f>
        <v>15133.67143</v>
      </c>
      <c r="E218" s="231">
        <v>0.188</v>
      </c>
      <c r="F218" s="196">
        <f t="shared" ref="F218:G218" si="101">SUM(F219:F225)</f>
        <v>360</v>
      </c>
      <c r="G218" s="197">
        <f t="shared" si="101"/>
        <v>17556395</v>
      </c>
      <c r="H218" s="197">
        <f>AVERAGE(H219:H225)</f>
        <v>17770.97601</v>
      </c>
      <c r="I218" s="208">
        <f>SUM(I219:I225)</f>
        <v>1</v>
      </c>
    </row>
    <row r="219" ht="15.75" customHeight="1">
      <c r="A219" s="196" t="s">
        <v>135</v>
      </c>
      <c r="B219" s="196">
        <v>135.0</v>
      </c>
      <c r="C219" s="197">
        <v>1775813.0</v>
      </c>
      <c r="D219" s="198">
        <f t="shared" si="102"/>
        <v>13154.17037</v>
      </c>
      <c r="E219" s="231">
        <v>0.315</v>
      </c>
      <c r="F219" s="196">
        <v>251.0</v>
      </c>
      <c r="G219" s="197">
        <v>1.3804111E7</v>
      </c>
      <c r="H219" s="198">
        <f>G219/F219</f>
        <v>54996.45817</v>
      </c>
      <c r="I219" s="208">
        <v>0.786</v>
      </c>
    </row>
    <row r="220" ht="15.75" customHeight="1">
      <c r="A220" s="196" t="s">
        <v>136</v>
      </c>
      <c r="B220" s="196">
        <v>88.0</v>
      </c>
      <c r="C220" s="197">
        <v>1722451.0</v>
      </c>
      <c r="D220" s="198">
        <f t="shared" si="102"/>
        <v>19573.30682</v>
      </c>
      <c r="E220" s="231">
        <v>0.305</v>
      </c>
      <c r="F220" s="196">
        <v>0.0</v>
      </c>
      <c r="G220" s="197">
        <v>0.0</v>
      </c>
      <c r="H220" s="197">
        <v>0.0</v>
      </c>
      <c r="I220" s="208">
        <v>0.0</v>
      </c>
    </row>
    <row r="221" ht="15.75" customHeight="1">
      <c r="A221" s="196" t="s">
        <v>137</v>
      </c>
      <c r="B221" s="196">
        <v>46.0</v>
      </c>
      <c r="C221" s="197">
        <v>339421.0</v>
      </c>
      <c r="D221" s="198">
        <f t="shared" si="102"/>
        <v>7378.717391</v>
      </c>
      <c r="E221" s="231">
        <v>0.06</v>
      </c>
      <c r="F221" s="196">
        <v>58.0</v>
      </c>
      <c r="G221" s="197">
        <v>1763738.0</v>
      </c>
      <c r="H221" s="198">
        <f>G221/F221</f>
        <v>30409.27586</v>
      </c>
      <c r="I221" s="208">
        <v>0.101</v>
      </c>
    </row>
    <row r="222" ht="15.75" customHeight="1">
      <c r="A222" s="196" t="s">
        <v>138</v>
      </c>
      <c r="B222" s="196">
        <v>12.0</v>
      </c>
      <c r="C222" s="197">
        <v>125841.0</v>
      </c>
      <c r="D222" s="198">
        <f t="shared" si="102"/>
        <v>10486.75</v>
      </c>
      <c r="E222" s="231">
        <v>0.022</v>
      </c>
      <c r="F222" s="196">
        <v>0.0</v>
      </c>
      <c r="G222" s="197">
        <v>0.0</v>
      </c>
      <c r="H222" s="197">
        <v>0.0</v>
      </c>
      <c r="I222" s="208">
        <v>0.0</v>
      </c>
    </row>
    <row r="223" ht="15.75" customHeight="1">
      <c r="A223" s="196" t="s">
        <v>139</v>
      </c>
      <c r="B223" s="196">
        <v>24.0</v>
      </c>
      <c r="C223" s="197">
        <v>415380.0</v>
      </c>
      <c r="D223" s="198">
        <f t="shared" si="102"/>
        <v>17307.5</v>
      </c>
      <c r="E223" s="231">
        <v>0.074</v>
      </c>
      <c r="F223" s="196">
        <v>51.0</v>
      </c>
      <c r="G223" s="197">
        <v>1988546.0</v>
      </c>
      <c r="H223" s="198">
        <f>G223/F223</f>
        <v>38991.09804</v>
      </c>
      <c r="I223" s="208">
        <v>0.113</v>
      </c>
    </row>
    <row r="224" ht="15.75" customHeight="1">
      <c r="A224" s="196" t="s">
        <v>140</v>
      </c>
      <c r="B224" s="196">
        <v>2.0</v>
      </c>
      <c r="C224" s="197">
        <v>15592.0</v>
      </c>
      <c r="D224" s="198">
        <f t="shared" si="102"/>
        <v>7796</v>
      </c>
      <c r="E224" s="231">
        <v>0.011</v>
      </c>
      <c r="F224" s="196">
        <v>0.0</v>
      </c>
      <c r="G224" s="197">
        <v>0.0</v>
      </c>
      <c r="H224" s="197">
        <v>0.0</v>
      </c>
      <c r="I224" s="208">
        <v>0.0</v>
      </c>
    </row>
    <row r="225" ht="15.75" customHeight="1">
      <c r="A225" s="201" t="s">
        <v>300</v>
      </c>
      <c r="B225" s="201">
        <v>24.0</v>
      </c>
      <c r="C225" s="232">
        <v>139614.0</v>
      </c>
      <c r="D225" s="233">
        <f t="shared" si="102"/>
        <v>5817.25</v>
      </c>
      <c r="E225" s="234">
        <v>0.025</v>
      </c>
      <c r="F225" s="201">
        <v>0.0</v>
      </c>
      <c r="G225" s="196">
        <v>0.0</v>
      </c>
      <c r="H225" s="197">
        <v>0.0</v>
      </c>
      <c r="I225" s="208">
        <v>0.0</v>
      </c>
    </row>
    <row r="226" ht="15.75" customHeight="1">
      <c r="A226" s="235"/>
      <c r="B226" s="235"/>
      <c r="C226" s="236"/>
      <c r="D226" s="237"/>
      <c r="E226" s="238"/>
      <c r="F226" s="239"/>
      <c r="G226" s="23"/>
      <c r="H226" s="240"/>
      <c r="I226" s="241"/>
    </row>
    <row r="227" ht="15.75" customHeight="1">
      <c r="A227" s="24" t="s">
        <v>141</v>
      </c>
      <c r="B227" s="24" t="s">
        <v>142</v>
      </c>
      <c r="C227" s="24" t="s">
        <v>143</v>
      </c>
      <c r="D227" s="24" t="s">
        <v>144</v>
      </c>
      <c r="E227" s="24" t="s">
        <v>145</v>
      </c>
      <c r="F227" s="196" t="s">
        <v>40</v>
      </c>
    </row>
    <row r="228" ht="15.75" customHeight="1">
      <c r="A228" s="242" t="s">
        <v>146</v>
      </c>
      <c r="B228" s="243">
        <v>1539.0</v>
      </c>
      <c r="C228" s="244">
        <v>9.8055211316E8</v>
      </c>
      <c r="D228" s="244">
        <v>9.5527925244E8</v>
      </c>
      <c r="E228" s="29">
        <f t="shared" ref="E228:E260" si="103">C228-D228</f>
        <v>25272860.72</v>
      </c>
      <c r="F228" s="30">
        <f t="shared" ref="F228:F260" si="104">D228/C228</f>
        <v>0.9742258873</v>
      </c>
      <c r="G228" s="245"/>
      <c r="H228" s="246"/>
      <c r="I228" s="247"/>
      <c r="J228" s="248"/>
      <c r="K228" s="248"/>
    </row>
    <row r="229" ht="15.75" customHeight="1">
      <c r="A229" s="249" t="s">
        <v>147</v>
      </c>
      <c r="B229" s="243">
        <v>2760.0</v>
      </c>
      <c r="C229" s="244">
        <v>4.0557490128E8</v>
      </c>
      <c r="D229" s="244">
        <v>3.8291249555E8</v>
      </c>
      <c r="E229" s="29">
        <f t="shared" si="103"/>
        <v>22662405.73</v>
      </c>
      <c r="F229" s="30">
        <f t="shared" si="104"/>
        <v>0.9441227609</v>
      </c>
      <c r="G229" s="250"/>
      <c r="H229" s="251"/>
      <c r="I229" s="248"/>
      <c r="J229" s="248"/>
      <c r="K229" s="248"/>
    </row>
    <row r="230" ht="15.75" customHeight="1">
      <c r="A230" s="242" t="s">
        <v>148</v>
      </c>
      <c r="B230" s="243">
        <v>1051.0</v>
      </c>
      <c r="C230" s="244">
        <v>2.6421421045E8</v>
      </c>
      <c r="D230" s="244">
        <v>2.5273641692E8</v>
      </c>
      <c r="E230" s="29">
        <f t="shared" si="103"/>
        <v>11477793.53</v>
      </c>
      <c r="F230" s="30">
        <f t="shared" si="104"/>
        <v>0.9565587577</v>
      </c>
      <c r="G230" s="250"/>
      <c r="H230" s="246"/>
      <c r="I230" s="248"/>
      <c r="J230" s="248"/>
      <c r="K230" s="248"/>
    </row>
    <row r="231" ht="15.75" customHeight="1">
      <c r="A231" s="249" t="s">
        <v>149</v>
      </c>
      <c r="B231" s="243">
        <v>1382.0</v>
      </c>
      <c r="C231" s="244">
        <v>1.21555496E8</v>
      </c>
      <c r="D231" s="244">
        <v>1.1977004448E8</v>
      </c>
      <c r="E231" s="29">
        <f t="shared" si="103"/>
        <v>1785451.52</v>
      </c>
      <c r="F231" s="30">
        <f t="shared" si="104"/>
        <v>0.9853116348</v>
      </c>
      <c r="G231" s="250"/>
      <c r="H231" s="251"/>
      <c r="I231" s="248"/>
      <c r="J231" s="248"/>
      <c r="K231" s="248"/>
    </row>
    <row r="232" ht="15.75" customHeight="1">
      <c r="A232" s="242" t="s">
        <v>150</v>
      </c>
      <c r="B232" s="243">
        <v>209.0</v>
      </c>
      <c r="C232" s="244">
        <v>3.918834E7</v>
      </c>
      <c r="D232" s="244">
        <v>3.7022245E7</v>
      </c>
      <c r="E232" s="29">
        <f t="shared" si="103"/>
        <v>2166095</v>
      </c>
      <c r="F232" s="30">
        <f t="shared" si="104"/>
        <v>0.9447260333</v>
      </c>
      <c r="G232" s="250"/>
    </row>
    <row r="233" ht="15.75" customHeight="1">
      <c r="A233" s="249" t="s">
        <v>151</v>
      </c>
      <c r="B233" s="243">
        <v>710.0</v>
      </c>
      <c r="C233" s="244">
        <v>3.676033E7</v>
      </c>
      <c r="D233" s="244">
        <v>3.44275258E7</v>
      </c>
      <c r="E233" s="29">
        <f t="shared" si="103"/>
        <v>2332804.2</v>
      </c>
      <c r="F233" s="30">
        <f t="shared" si="104"/>
        <v>0.9365401725</v>
      </c>
      <c r="G233" s="245"/>
      <c r="M233" s="252"/>
      <c r="N233" s="245"/>
      <c r="O233" s="245"/>
      <c r="P233" s="245"/>
      <c r="Q233" s="245"/>
    </row>
    <row r="234" ht="15.75" customHeight="1">
      <c r="A234" s="249" t="s">
        <v>152</v>
      </c>
      <c r="B234" s="243">
        <v>264.0</v>
      </c>
      <c r="C234" s="244">
        <v>3.77500595E7</v>
      </c>
      <c r="D234" s="244">
        <v>3.71545745E7</v>
      </c>
      <c r="E234" s="29">
        <f t="shared" si="103"/>
        <v>595485</v>
      </c>
      <c r="F234" s="30">
        <f t="shared" si="104"/>
        <v>0.9842255878</v>
      </c>
      <c r="G234" s="250"/>
      <c r="M234" s="252"/>
      <c r="N234" s="245"/>
      <c r="O234" s="245"/>
      <c r="P234" s="253"/>
      <c r="Q234" s="253"/>
    </row>
    <row r="235" ht="15.75" customHeight="1">
      <c r="A235" s="249" t="s">
        <v>153</v>
      </c>
      <c r="B235" s="243">
        <v>398.0</v>
      </c>
      <c r="C235" s="244">
        <v>1.6329055E7</v>
      </c>
      <c r="D235" s="244">
        <v>1.6595229E7</v>
      </c>
      <c r="E235" s="29">
        <f t="shared" si="103"/>
        <v>-266174</v>
      </c>
      <c r="F235" s="30">
        <f t="shared" si="104"/>
        <v>1.016300637</v>
      </c>
      <c r="G235" s="245"/>
      <c r="N235" s="245"/>
      <c r="O235" s="245"/>
      <c r="P235" s="253"/>
      <c r="Q235" s="253"/>
    </row>
    <row r="236" ht="15.75" customHeight="1">
      <c r="A236" s="249" t="s">
        <v>154</v>
      </c>
      <c r="B236" s="243">
        <v>100.0</v>
      </c>
      <c r="C236" s="244">
        <v>5525070.0</v>
      </c>
      <c r="D236" s="244">
        <v>4971747.0</v>
      </c>
      <c r="E236" s="29">
        <f t="shared" si="103"/>
        <v>553323</v>
      </c>
      <c r="F236" s="30">
        <f t="shared" si="104"/>
        <v>0.8998523096</v>
      </c>
      <c r="G236" s="250"/>
    </row>
    <row r="237" ht="15.75" customHeight="1">
      <c r="A237" s="249" t="s">
        <v>155</v>
      </c>
      <c r="B237" s="243">
        <v>160.0</v>
      </c>
      <c r="C237" s="244">
        <v>1973700.0</v>
      </c>
      <c r="D237" s="244">
        <v>1763641.0</v>
      </c>
      <c r="E237" s="29">
        <f t="shared" si="103"/>
        <v>210059</v>
      </c>
      <c r="F237" s="30">
        <f t="shared" si="104"/>
        <v>0.8935709581</v>
      </c>
      <c r="G237" s="250"/>
    </row>
    <row r="238" ht="15.75" customHeight="1">
      <c r="A238" s="249" t="s">
        <v>156</v>
      </c>
      <c r="B238" s="243">
        <v>260.0</v>
      </c>
      <c r="C238" s="244">
        <v>1.17417974E7</v>
      </c>
      <c r="D238" s="244">
        <v>1.157325743E7</v>
      </c>
      <c r="E238" s="29">
        <f t="shared" si="103"/>
        <v>168539.97</v>
      </c>
      <c r="F238" s="30">
        <f t="shared" si="104"/>
        <v>0.9856461524</v>
      </c>
      <c r="G238" s="245"/>
    </row>
    <row r="239" ht="15.75" customHeight="1">
      <c r="A239" s="249" t="s">
        <v>157</v>
      </c>
      <c r="B239" s="243">
        <v>409.0</v>
      </c>
      <c r="C239" s="244">
        <v>2.1175604E7</v>
      </c>
      <c r="D239" s="244">
        <v>1.97551022E7</v>
      </c>
      <c r="E239" s="29">
        <f t="shared" si="103"/>
        <v>1420501.8</v>
      </c>
      <c r="F239" s="30">
        <f t="shared" si="104"/>
        <v>0.9329180032</v>
      </c>
      <c r="G239" s="245"/>
    </row>
    <row r="240" ht="15.75" customHeight="1">
      <c r="A240" s="249" t="s">
        <v>301</v>
      </c>
      <c r="B240" s="243">
        <v>151.0</v>
      </c>
      <c r="C240" s="244">
        <v>2949998.0</v>
      </c>
      <c r="D240" s="244">
        <v>2903539.6</v>
      </c>
      <c r="E240" s="29">
        <f t="shared" si="103"/>
        <v>46458.4</v>
      </c>
      <c r="F240" s="30">
        <f t="shared" si="104"/>
        <v>0.9842513792</v>
      </c>
      <c r="G240" s="245"/>
    </row>
    <row r="241" ht="15.75" customHeight="1">
      <c r="A241" s="249" t="s">
        <v>159</v>
      </c>
      <c r="B241" s="243">
        <v>73.0</v>
      </c>
      <c r="C241" s="244">
        <v>3305910.0</v>
      </c>
      <c r="D241" s="244">
        <v>1874404.0</v>
      </c>
      <c r="E241" s="29">
        <f t="shared" si="103"/>
        <v>1431506</v>
      </c>
      <c r="F241" s="30">
        <f t="shared" si="104"/>
        <v>0.5669857921</v>
      </c>
      <c r="G241" s="245"/>
    </row>
    <row r="242" ht="15.75" customHeight="1">
      <c r="A242" s="249" t="s">
        <v>160</v>
      </c>
      <c r="B242" s="243">
        <v>208.0</v>
      </c>
      <c r="C242" s="244">
        <v>7520540.32</v>
      </c>
      <c r="D242" s="244">
        <v>7131816.54</v>
      </c>
      <c r="E242" s="29">
        <f t="shared" si="103"/>
        <v>388723.78</v>
      </c>
      <c r="F242" s="30">
        <f t="shared" si="104"/>
        <v>0.9483117218</v>
      </c>
      <c r="G242" s="245"/>
    </row>
    <row r="243" ht="15.75" customHeight="1">
      <c r="A243" s="249" t="s">
        <v>302</v>
      </c>
      <c r="B243" s="243">
        <v>308.0</v>
      </c>
      <c r="C243" s="244">
        <v>1.1826028E7</v>
      </c>
      <c r="D243" s="244">
        <v>1.14660495E7</v>
      </c>
      <c r="E243" s="29">
        <f t="shared" si="103"/>
        <v>359978.5</v>
      </c>
      <c r="F243" s="30">
        <f t="shared" si="104"/>
        <v>0.9695604898</v>
      </c>
      <c r="G243" s="245"/>
    </row>
    <row r="244" ht="15.75" customHeight="1">
      <c r="A244" s="249" t="s">
        <v>162</v>
      </c>
      <c r="B244" s="243">
        <v>305.0</v>
      </c>
      <c r="C244" s="244">
        <v>4123316.0</v>
      </c>
      <c r="D244" s="244">
        <v>3893510.0</v>
      </c>
      <c r="E244" s="29">
        <f t="shared" si="103"/>
        <v>229806</v>
      </c>
      <c r="F244" s="30">
        <f t="shared" si="104"/>
        <v>0.9442667018</v>
      </c>
      <c r="G244" s="245"/>
    </row>
    <row r="245" ht="15.75" customHeight="1">
      <c r="A245" s="249" t="s">
        <v>163</v>
      </c>
      <c r="B245" s="243">
        <v>155.0</v>
      </c>
      <c r="C245" s="244">
        <v>2684195.0</v>
      </c>
      <c r="D245" s="244">
        <v>2469152.0</v>
      </c>
      <c r="E245" s="29">
        <f t="shared" si="103"/>
        <v>215043</v>
      </c>
      <c r="F245" s="30">
        <f t="shared" si="104"/>
        <v>0.9198854778</v>
      </c>
      <c r="G245" s="245"/>
    </row>
    <row r="246" ht="15.75" customHeight="1">
      <c r="A246" s="249" t="s">
        <v>164</v>
      </c>
      <c r="B246" s="243">
        <v>174.0</v>
      </c>
      <c r="C246" s="244">
        <v>3435260.0</v>
      </c>
      <c r="D246" s="244">
        <v>3277084.27</v>
      </c>
      <c r="E246" s="29">
        <f t="shared" si="103"/>
        <v>158175.73</v>
      </c>
      <c r="F246" s="30">
        <f t="shared" si="104"/>
        <v>0.9539552377</v>
      </c>
      <c r="G246" s="245"/>
    </row>
    <row r="247" ht="15.75" customHeight="1">
      <c r="A247" s="249" t="s">
        <v>165</v>
      </c>
      <c r="B247" s="243">
        <v>109.0</v>
      </c>
      <c r="C247" s="244">
        <v>1051166.0</v>
      </c>
      <c r="D247" s="244">
        <v>3293933.0</v>
      </c>
      <c r="E247" s="29">
        <f t="shared" si="103"/>
        <v>-2242767</v>
      </c>
      <c r="F247" s="30">
        <f t="shared" si="104"/>
        <v>3.13359926</v>
      </c>
      <c r="G247" s="245"/>
    </row>
    <row r="248" ht="15.75" customHeight="1">
      <c r="A248" s="249" t="s">
        <v>166</v>
      </c>
      <c r="B248" s="243">
        <v>121.0</v>
      </c>
      <c r="C248" s="244">
        <v>3982784.0</v>
      </c>
      <c r="D248" s="244">
        <v>3841859.0</v>
      </c>
      <c r="E248" s="29">
        <f t="shared" si="103"/>
        <v>140925</v>
      </c>
      <c r="F248" s="30">
        <f t="shared" si="104"/>
        <v>0.9646164592</v>
      </c>
      <c r="G248" s="245"/>
    </row>
    <row r="249" ht="15.75" customHeight="1">
      <c r="A249" s="249" t="s">
        <v>303</v>
      </c>
      <c r="B249" s="243">
        <v>146.0</v>
      </c>
      <c r="C249" s="244">
        <v>3751278.3</v>
      </c>
      <c r="D249" s="244">
        <v>3501482.05</v>
      </c>
      <c r="E249" s="29">
        <f t="shared" si="103"/>
        <v>249796.25</v>
      </c>
      <c r="F249" s="30">
        <f t="shared" si="104"/>
        <v>0.9334103657</v>
      </c>
      <c r="G249" s="245"/>
    </row>
    <row r="250" ht="15.75" customHeight="1">
      <c r="A250" s="249" t="s">
        <v>168</v>
      </c>
      <c r="B250" s="243">
        <v>27.0</v>
      </c>
      <c r="C250" s="244">
        <v>489560.0</v>
      </c>
      <c r="D250" s="244">
        <v>308520.0</v>
      </c>
      <c r="E250" s="29">
        <f t="shared" si="103"/>
        <v>181040</v>
      </c>
      <c r="F250" s="30">
        <f t="shared" si="104"/>
        <v>0.6301985456</v>
      </c>
      <c r="G250" s="245"/>
    </row>
    <row r="251" ht="15.75" customHeight="1">
      <c r="A251" s="249" t="s">
        <v>169</v>
      </c>
      <c r="B251" s="243">
        <v>110.0</v>
      </c>
      <c r="C251" s="244">
        <v>3262045.0</v>
      </c>
      <c r="D251" s="244">
        <v>3115213.0</v>
      </c>
      <c r="E251" s="29">
        <f t="shared" si="103"/>
        <v>146832</v>
      </c>
      <c r="F251" s="30">
        <f t="shared" si="104"/>
        <v>0.9549877454</v>
      </c>
      <c r="G251" s="245"/>
    </row>
    <row r="252" ht="15.75" customHeight="1">
      <c r="A252" s="249" t="s">
        <v>304</v>
      </c>
      <c r="B252" s="243">
        <v>53.0</v>
      </c>
      <c r="C252" s="244">
        <v>668750.0</v>
      </c>
      <c r="D252" s="244">
        <v>638113.0</v>
      </c>
      <c r="E252" s="29">
        <f t="shared" si="103"/>
        <v>30637</v>
      </c>
      <c r="F252" s="30">
        <f t="shared" si="104"/>
        <v>0.9541876636</v>
      </c>
      <c r="G252" s="245"/>
    </row>
    <row r="253" ht="15.75" customHeight="1">
      <c r="A253" s="249" t="s">
        <v>171</v>
      </c>
      <c r="B253" s="243">
        <v>77.0</v>
      </c>
      <c r="C253" s="244">
        <v>2700665.0</v>
      </c>
      <c r="D253" s="244">
        <v>2617455.0</v>
      </c>
      <c r="E253" s="29">
        <f t="shared" si="103"/>
        <v>83210</v>
      </c>
      <c r="F253" s="30">
        <f t="shared" si="104"/>
        <v>0.9691890701</v>
      </c>
      <c r="G253" s="245"/>
    </row>
    <row r="254" ht="15.75" customHeight="1">
      <c r="A254" s="249" t="s">
        <v>172</v>
      </c>
      <c r="B254" s="243">
        <v>59.0</v>
      </c>
      <c r="C254" s="244">
        <v>713118.8</v>
      </c>
      <c r="D254" s="244">
        <v>692315.1</v>
      </c>
      <c r="E254" s="29">
        <f t="shared" si="103"/>
        <v>20803.7</v>
      </c>
      <c r="F254" s="30">
        <f t="shared" si="104"/>
        <v>0.9708271609</v>
      </c>
      <c r="G254" s="245"/>
    </row>
    <row r="255" ht="15.75" customHeight="1">
      <c r="A255" s="249" t="s">
        <v>173</v>
      </c>
      <c r="B255" s="243">
        <v>67.0</v>
      </c>
      <c r="C255" s="244">
        <v>978190.0</v>
      </c>
      <c r="D255" s="244">
        <v>713895.0</v>
      </c>
      <c r="E255" s="29">
        <f t="shared" si="103"/>
        <v>264295</v>
      </c>
      <c r="F255" s="30">
        <f t="shared" si="104"/>
        <v>0.7298122042</v>
      </c>
      <c r="G255" s="245"/>
    </row>
    <row r="256" ht="15.75" customHeight="1">
      <c r="A256" s="249" t="s">
        <v>174</v>
      </c>
      <c r="B256" s="243">
        <v>95.0</v>
      </c>
      <c r="C256" s="244">
        <v>658437.0</v>
      </c>
      <c r="D256" s="244">
        <v>636020.6</v>
      </c>
      <c r="E256" s="29">
        <f t="shared" si="103"/>
        <v>22416.4</v>
      </c>
      <c r="F256" s="30">
        <f t="shared" si="104"/>
        <v>0.9659551331</v>
      </c>
      <c r="G256" s="245"/>
    </row>
    <row r="257" ht="15.75" customHeight="1">
      <c r="A257" s="249" t="s">
        <v>175</v>
      </c>
      <c r="B257" s="243">
        <v>802.0</v>
      </c>
      <c r="C257" s="244">
        <v>2.50958824E7</v>
      </c>
      <c r="D257" s="244">
        <v>2.42389332E7</v>
      </c>
      <c r="E257" s="29">
        <f t="shared" si="103"/>
        <v>856949.2</v>
      </c>
      <c r="F257" s="30">
        <f t="shared" si="104"/>
        <v>0.9658529959</v>
      </c>
      <c r="G257" s="245"/>
    </row>
    <row r="258" ht="15.75" customHeight="1">
      <c r="A258" s="249" t="s">
        <v>176</v>
      </c>
      <c r="B258" s="243">
        <v>108.0</v>
      </c>
      <c r="C258" s="244">
        <v>313351.08</v>
      </c>
      <c r="D258" s="244">
        <v>41324.74</v>
      </c>
      <c r="E258" s="29">
        <f t="shared" si="103"/>
        <v>272026.34</v>
      </c>
      <c r="F258" s="30">
        <f t="shared" si="104"/>
        <v>0.1318799986</v>
      </c>
      <c r="G258" s="245"/>
    </row>
    <row r="259" ht="15.75" customHeight="1">
      <c r="A259" s="249" t="s">
        <v>177</v>
      </c>
      <c r="B259" s="243">
        <v>6.0</v>
      </c>
      <c r="C259" s="244">
        <v>96848.0</v>
      </c>
      <c r="D259" s="244">
        <v>84592.0</v>
      </c>
      <c r="E259" s="29">
        <f t="shared" si="103"/>
        <v>12256</v>
      </c>
      <c r="F259" s="30">
        <f t="shared" si="104"/>
        <v>0.8734511812</v>
      </c>
      <c r="G259" s="245"/>
    </row>
    <row r="260" ht="15.75" customHeight="1">
      <c r="A260" s="249" t="s">
        <v>305</v>
      </c>
      <c r="B260" s="243">
        <v>26.0</v>
      </c>
      <c r="C260" s="244">
        <v>7390210.0</v>
      </c>
      <c r="D260" s="244">
        <v>6341335.0</v>
      </c>
      <c r="E260" s="29">
        <f t="shared" si="103"/>
        <v>1048875</v>
      </c>
      <c r="F260" s="30">
        <f t="shared" si="104"/>
        <v>0.8580723687</v>
      </c>
      <c r="G260" s="245"/>
    </row>
    <row r="261" ht="15.75" customHeight="1">
      <c r="F261" s="245"/>
      <c r="G261" s="245"/>
      <c r="H261" s="245"/>
      <c r="I261" s="253"/>
      <c r="J261" s="253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1">
    <mergeCell ref="D73:AH73"/>
    <mergeCell ref="Z74:AH74"/>
    <mergeCell ref="Z75:AH75"/>
    <mergeCell ref="A207:B207"/>
    <mergeCell ref="K66:AH66"/>
    <mergeCell ref="K67:AH67"/>
    <mergeCell ref="D68:AH68"/>
    <mergeCell ref="D69:AH69"/>
    <mergeCell ref="D70:AH70"/>
    <mergeCell ref="D71:AH71"/>
    <mergeCell ref="D72:AH72"/>
  </mergeCells>
  <hyperlinks>
    <hyperlink r:id="rId1" ref="K66"/>
    <hyperlink r:id="rId2" ref="D68"/>
    <hyperlink r:id="rId3" ref="D72"/>
    <hyperlink r:id="rId4" ref="Z74"/>
    <hyperlink r:id="rId5" ref="A216"/>
  </hyperlinks>
  <printOptions/>
  <pageMargins bottom="1.0" footer="0.0" header="0.0" left="0.75" right="0.75" top="1.0"/>
  <pageSetup orientation="landscape"/>
  <drawing r:id="rId6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0.0"/>
    <col customWidth="1" min="2" max="3" width="15.0"/>
    <col customWidth="1" min="4" max="4" width="18.43"/>
    <col customWidth="1" min="5" max="5" width="12.0"/>
    <col customWidth="1" min="6" max="6" width="17.29"/>
    <col customWidth="1" min="7" max="7" width="12.0"/>
    <col customWidth="1" min="8" max="8" width="14.43"/>
    <col customWidth="1" min="9" max="9" width="16.71"/>
    <col customWidth="1" min="10" max="29" width="12.0"/>
    <col customWidth="1" min="30" max="30" width="14.86"/>
    <col customWidth="1" min="31" max="31" width="12.0"/>
    <col customWidth="1" min="32" max="32" width="16.86"/>
    <col customWidth="1" min="33" max="33" width="12.0"/>
    <col customWidth="1" min="34" max="34" width="17.86"/>
    <col customWidth="1" min="35" max="36" width="12.0"/>
  </cols>
  <sheetData>
    <row r="1" ht="24.75" customHeight="1">
      <c r="A1" s="53" t="s">
        <v>0</v>
      </c>
      <c r="B1" s="53" t="s">
        <v>214</v>
      </c>
      <c r="C1" s="53" t="s">
        <v>215</v>
      </c>
      <c r="D1" s="213">
        <v>46054.0</v>
      </c>
      <c r="E1" s="213">
        <v>46055.0</v>
      </c>
      <c r="F1" s="213">
        <v>46056.0</v>
      </c>
      <c r="G1" s="213">
        <v>46057.0</v>
      </c>
      <c r="H1" s="213">
        <v>46058.0</v>
      </c>
      <c r="I1" s="213">
        <v>46059.0</v>
      </c>
      <c r="J1" s="213">
        <v>46060.0</v>
      </c>
      <c r="K1" s="213">
        <v>46061.0</v>
      </c>
      <c r="L1" s="213">
        <v>46062.0</v>
      </c>
      <c r="M1" s="213">
        <v>46063.0</v>
      </c>
      <c r="N1" s="213">
        <v>46064.0</v>
      </c>
      <c r="O1" s="213">
        <v>46065.0</v>
      </c>
      <c r="P1" s="213">
        <v>46066.0</v>
      </c>
      <c r="Q1" s="213">
        <v>46067.0</v>
      </c>
      <c r="R1" s="213">
        <v>46068.0</v>
      </c>
      <c r="S1" s="213">
        <v>46069.0</v>
      </c>
      <c r="T1" s="213">
        <v>46070.0</v>
      </c>
      <c r="U1" s="213">
        <v>46071.0</v>
      </c>
      <c r="V1" s="213">
        <v>46072.0</v>
      </c>
      <c r="W1" s="213">
        <v>46073.0</v>
      </c>
      <c r="X1" s="213">
        <v>46074.0</v>
      </c>
      <c r="Y1" s="213">
        <v>46075.0</v>
      </c>
      <c r="Z1" s="213">
        <v>46076.0</v>
      </c>
      <c r="AA1" s="213">
        <v>46077.0</v>
      </c>
      <c r="AB1" s="213">
        <v>46078.0</v>
      </c>
      <c r="AC1" s="213">
        <v>46079.0</v>
      </c>
      <c r="AD1" s="213">
        <v>46080.0</v>
      </c>
      <c r="AE1" s="213">
        <v>46081.0</v>
      </c>
      <c r="AF1" s="213"/>
      <c r="AG1" s="213"/>
      <c r="AH1" s="213"/>
      <c r="AI1" s="142"/>
      <c r="AJ1" s="143"/>
    </row>
    <row r="2" ht="19.5" customHeight="1">
      <c r="A2" s="53"/>
      <c r="B2" s="53"/>
      <c r="C2" s="53"/>
      <c r="D2" s="53" t="s">
        <v>223</v>
      </c>
      <c r="E2" s="53" t="s">
        <v>271</v>
      </c>
      <c r="F2" s="53" t="s">
        <v>272</v>
      </c>
      <c r="G2" s="53" t="s">
        <v>273</v>
      </c>
      <c r="H2" s="53" t="s">
        <v>220</v>
      </c>
      <c r="I2" s="53" t="s">
        <v>221</v>
      </c>
      <c r="J2" s="53" t="s">
        <v>222</v>
      </c>
      <c r="K2" s="53" t="s">
        <v>223</v>
      </c>
      <c r="L2" s="53" t="s">
        <v>271</v>
      </c>
      <c r="M2" s="53" t="s">
        <v>272</v>
      </c>
      <c r="N2" s="53" t="s">
        <v>273</v>
      </c>
      <c r="O2" s="53" t="s">
        <v>220</v>
      </c>
      <c r="P2" s="53" t="s">
        <v>221</v>
      </c>
      <c r="Q2" s="53" t="s">
        <v>222</v>
      </c>
      <c r="R2" s="53" t="s">
        <v>223</v>
      </c>
      <c r="S2" s="53" t="s">
        <v>271</v>
      </c>
      <c r="T2" s="53" t="s">
        <v>272</v>
      </c>
      <c r="U2" s="53" t="s">
        <v>273</v>
      </c>
      <c r="V2" s="53" t="s">
        <v>220</v>
      </c>
      <c r="W2" s="53" t="s">
        <v>221</v>
      </c>
      <c r="X2" s="53" t="s">
        <v>222</v>
      </c>
      <c r="Y2" s="53" t="s">
        <v>223</v>
      </c>
      <c r="Z2" s="53" t="s">
        <v>271</v>
      </c>
      <c r="AA2" s="53" t="s">
        <v>272</v>
      </c>
      <c r="AB2" s="141" t="s">
        <v>273</v>
      </c>
      <c r="AC2" s="53" t="s">
        <v>220</v>
      </c>
      <c r="AD2" s="53" t="s">
        <v>221</v>
      </c>
      <c r="AE2" s="53" t="s">
        <v>222</v>
      </c>
      <c r="AF2" s="53"/>
      <c r="AG2" s="53"/>
      <c r="AH2" s="53"/>
      <c r="AI2" s="142"/>
      <c r="AJ2" s="143"/>
    </row>
    <row r="3">
      <c r="A3" s="56" t="s">
        <v>224</v>
      </c>
      <c r="B3" s="56">
        <f t="shared" ref="B3:B4" si="1">SUM(D3:AH3)</f>
        <v>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144"/>
      <c r="AI3" s="145"/>
      <c r="AJ3" s="146"/>
    </row>
    <row r="4">
      <c r="A4" s="72" t="s">
        <v>2</v>
      </c>
      <c r="B4" s="72">
        <f t="shared" si="1"/>
        <v>0</v>
      </c>
      <c r="C4" s="147" t="str">
        <f t="shared" ref="C4:C19" si="2">AVERAGE(D4:AH4)</f>
        <v>#DIV/0!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9"/>
      <c r="AI4" s="150"/>
      <c r="AJ4" s="151"/>
    </row>
    <row r="5">
      <c r="A5" s="60" t="s">
        <v>3</v>
      </c>
      <c r="B5" s="76"/>
      <c r="C5" s="152" t="str">
        <f t="shared" si="2"/>
        <v>#DIV/0!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153"/>
      <c r="AI5" s="150"/>
      <c r="AJ5" s="151"/>
    </row>
    <row r="6">
      <c r="A6" s="60" t="s">
        <v>4</v>
      </c>
      <c r="B6" s="92">
        <f>SUM(D6:AH6)</f>
        <v>0</v>
      </c>
      <c r="C6" s="154" t="str">
        <f t="shared" si="2"/>
        <v>#DIV/0!</v>
      </c>
      <c r="D6" s="79"/>
      <c r="E6" s="79"/>
      <c r="F6" s="65"/>
      <c r="G6" s="79"/>
      <c r="H6" s="65"/>
      <c r="I6" s="79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79"/>
      <c r="AD6" s="65"/>
      <c r="AE6" s="65"/>
      <c r="AF6" s="65"/>
      <c r="AG6" s="65"/>
      <c r="AH6" s="153"/>
      <c r="AI6" s="150"/>
      <c r="AJ6" s="151"/>
    </row>
    <row r="7">
      <c r="A7" s="60" t="s">
        <v>5</v>
      </c>
      <c r="B7" s="68" t="str">
        <f>C7</f>
        <v>#DIV/0!</v>
      </c>
      <c r="C7" s="68" t="str">
        <f t="shared" si="2"/>
        <v>#DIV/0!</v>
      </c>
      <c r="D7" s="12" t="str">
        <f>D6/D4</f>
        <v>#DIV/0!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50"/>
      <c r="AJ7" s="151"/>
    </row>
    <row r="8">
      <c r="A8" s="60" t="s">
        <v>6</v>
      </c>
      <c r="B8" s="214">
        <v>4643.0</v>
      </c>
      <c r="C8" s="92" t="str">
        <f t="shared" si="2"/>
        <v>#DIV/0!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150"/>
      <c r="AJ8" s="151"/>
    </row>
    <row r="9">
      <c r="A9" s="60" t="s">
        <v>7</v>
      </c>
      <c r="B9" s="92" t="str">
        <f>SUM(D9:AH9)</f>
        <v>#DIV/0!</v>
      </c>
      <c r="C9" s="92" t="str">
        <f t="shared" si="2"/>
        <v>#DIV/0!</v>
      </c>
      <c r="D9" s="12" t="str">
        <f>D8/D4</f>
        <v>#DIV/0!</v>
      </c>
      <c r="E9" s="12"/>
      <c r="F9" s="12"/>
      <c r="G9" s="12"/>
      <c r="H9" s="12"/>
      <c r="I9" s="12"/>
      <c r="J9" s="12"/>
      <c r="K9" s="12"/>
      <c r="L9" s="12"/>
      <c r="M9" s="12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150"/>
      <c r="AJ9" s="151"/>
    </row>
    <row r="10">
      <c r="A10" s="65" t="s">
        <v>8</v>
      </c>
      <c r="B10" s="76">
        <v>233.0</v>
      </c>
      <c r="C10" s="154" t="str">
        <f t="shared" si="2"/>
        <v>#DIV/0!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153"/>
      <c r="AI10" s="150"/>
      <c r="AJ10" s="151"/>
    </row>
    <row r="11">
      <c r="A11" s="60" t="s">
        <v>225</v>
      </c>
      <c r="B11" s="68" t="str">
        <f>C11</f>
        <v>#DIV/0!</v>
      </c>
      <c r="C11" s="68" t="str">
        <f t="shared" si="2"/>
        <v>#DIV/0!</v>
      </c>
      <c r="D11" s="12" t="str">
        <f>D10/D4</f>
        <v>#DIV/0!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50"/>
      <c r="AJ11" s="151"/>
    </row>
    <row r="12">
      <c r="A12" s="65" t="s">
        <v>293</v>
      </c>
      <c r="B12" s="76">
        <v>44.0</v>
      </c>
      <c r="C12" s="152" t="str">
        <f t="shared" si="2"/>
        <v>#DIV/0!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153"/>
      <c r="AI12" s="150"/>
      <c r="AJ12" s="151"/>
    </row>
    <row r="13">
      <c r="A13" s="12" t="s">
        <v>11</v>
      </c>
      <c r="B13" s="68" t="str">
        <f>C13</f>
        <v>#DIV/0!</v>
      </c>
      <c r="C13" s="68" t="str">
        <f t="shared" si="2"/>
        <v>#DIV/0!</v>
      </c>
      <c r="D13" s="12" t="str">
        <f>D12/D4</f>
        <v>#DIV/0!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55"/>
      <c r="AJ13" s="156"/>
    </row>
    <row r="14">
      <c r="A14" s="60" t="s">
        <v>227</v>
      </c>
      <c r="B14" s="76">
        <v>36.0</v>
      </c>
      <c r="C14" s="115" t="str">
        <f t="shared" si="2"/>
        <v>#DIV/0!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153"/>
      <c r="AI14" s="150"/>
      <c r="AJ14" s="151"/>
    </row>
    <row r="15">
      <c r="A15" s="60" t="s">
        <v>13</v>
      </c>
      <c r="B15" s="68" t="str">
        <f>C15</f>
        <v>#DIV/0!</v>
      </c>
      <c r="C15" s="68" t="str">
        <f t="shared" si="2"/>
        <v>#DIV/0!</v>
      </c>
      <c r="D15" s="12" t="str">
        <f>D14/D4</f>
        <v>#DIV/0!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50"/>
      <c r="AJ15" s="151"/>
    </row>
    <row r="16">
      <c r="A16" s="60" t="s">
        <v>14</v>
      </c>
      <c r="B16" s="76">
        <v>116.0</v>
      </c>
      <c r="C16" s="152" t="str">
        <f t="shared" si="2"/>
        <v>#DIV/0!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153"/>
      <c r="AI16" s="150"/>
      <c r="AJ16" s="151"/>
    </row>
    <row r="17">
      <c r="A17" s="12" t="s">
        <v>15</v>
      </c>
      <c r="B17" s="68" t="str">
        <f>C17</f>
        <v>#DIV/0!</v>
      </c>
      <c r="C17" s="68" t="str">
        <f t="shared" si="2"/>
        <v>#DIV/0!</v>
      </c>
      <c r="D17" s="12" t="str">
        <f>D16/D4</f>
        <v>#DIV/0!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55"/>
      <c r="AJ17" s="156"/>
    </row>
    <row r="18">
      <c r="A18" s="72" t="s">
        <v>16</v>
      </c>
      <c r="B18" s="148">
        <f>B10+B12+B14+B16</f>
        <v>429</v>
      </c>
      <c r="C18" s="147">
        <f t="shared" si="2"/>
        <v>0</v>
      </c>
      <c r="D18" s="72">
        <f t="shared" ref="D18:D19" si="3">D10+D12+D14+D16</f>
        <v>0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150"/>
      <c r="AJ18" s="151"/>
    </row>
    <row r="19">
      <c r="A19" s="72" t="s">
        <v>17</v>
      </c>
      <c r="B19" s="73" t="str">
        <f>B18/B4</f>
        <v>#DIV/0!</v>
      </c>
      <c r="C19" s="73" t="str">
        <f t="shared" si="2"/>
        <v>#DIV/0!</v>
      </c>
      <c r="D19" s="72" t="str">
        <f t="shared" si="3"/>
        <v>#DIV/0!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150"/>
      <c r="AJ19" s="151"/>
    </row>
    <row r="20">
      <c r="A20" s="79" t="s">
        <v>18</v>
      </c>
      <c r="B20" s="79"/>
      <c r="C20" s="157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9"/>
      <c r="AI20" s="150"/>
      <c r="AJ20" s="151"/>
    </row>
    <row r="21">
      <c r="A21" s="79" t="s">
        <v>19</v>
      </c>
      <c r="B21" s="79"/>
      <c r="C21" s="157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9"/>
      <c r="AI21" s="150"/>
      <c r="AJ21" s="151"/>
    </row>
    <row r="22">
      <c r="A22" s="79" t="s">
        <v>20</v>
      </c>
      <c r="B22" s="79"/>
      <c r="C22" s="157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9"/>
      <c r="AI22" s="150"/>
      <c r="AJ22" s="151"/>
    </row>
    <row r="23">
      <c r="A23" s="79" t="s">
        <v>21</v>
      </c>
      <c r="B23" s="78" t="s">
        <v>274</v>
      </c>
      <c r="C23" s="157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79"/>
      <c r="V23" s="79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9"/>
      <c r="AI23" s="150"/>
      <c r="AJ23" s="151"/>
    </row>
    <row r="24" ht="15.75" customHeight="1">
      <c r="A24" s="60" t="s">
        <v>22</v>
      </c>
      <c r="B24" s="92">
        <f>SUM(D24:AH24)</f>
        <v>0</v>
      </c>
      <c r="C24" s="152" t="str">
        <f t="shared" ref="C24:C65" si="4">AVERAGE(D24:AH24)</f>
        <v>#DIV/0!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79"/>
      <c r="V24" s="79"/>
      <c r="W24" s="79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153"/>
      <c r="AI24" s="150"/>
      <c r="AJ24" s="151"/>
    </row>
    <row r="25" ht="15.75" customHeight="1">
      <c r="A25" s="65" t="s">
        <v>23</v>
      </c>
      <c r="B25" s="92">
        <f>G193</f>
        <v>0</v>
      </c>
      <c r="C25" s="152" t="str">
        <f t="shared" si="4"/>
        <v>#DIV/0!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153"/>
      <c r="AI25" s="150"/>
      <c r="AJ25" s="151"/>
    </row>
    <row r="26" ht="15.75" customHeight="1">
      <c r="A26" s="148" t="s">
        <v>24</v>
      </c>
      <c r="B26" s="148">
        <f>B20+B21+B22</f>
        <v>0</v>
      </c>
      <c r="C26" s="160" t="str">
        <f t="shared" si="4"/>
        <v>#DIV/0!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216"/>
      <c r="AI26" s="150"/>
      <c r="AJ26" s="151"/>
    </row>
    <row r="27" ht="15.75" customHeight="1">
      <c r="A27" s="161" t="s">
        <v>25</v>
      </c>
      <c r="B27" s="161">
        <f>B193</f>
        <v>0</v>
      </c>
      <c r="C27" s="161" t="str">
        <f t="shared" si="4"/>
        <v>#DIV/0!</v>
      </c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3"/>
      <c r="AI27" s="164"/>
      <c r="AJ27" s="165"/>
    </row>
    <row r="28" ht="15.75" customHeight="1">
      <c r="A28" s="11" t="s">
        <v>26</v>
      </c>
      <c r="B28" s="108" t="str">
        <f t="shared" ref="B28:B29" si="5">C28</f>
        <v>#DIV/0!</v>
      </c>
      <c r="C28" s="108" t="str">
        <f t="shared" si="4"/>
        <v>#DIV/0!</v>
      </c>
      <c r="D28" s="11" t="str">
        <f>D27/D24</f>
        <v>#DIV/0!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64"/>
      <c r="AJ28" s="165"/>
    </row>
    <row r="29" ht="15.75" customHeight="1">
      <c r="A29" s="11" t="s">
        <v>27</v>
      </c>
      <c r="B29" s="108" t="str">
        <f t="shared" si="5"/>
        <v>#DIV/0!</v>
      </c>
      <c r="C29" s="108" t="str">
        <f t="shared" si="4"/>
        <v>#DIV/0!</v>
      </c>
      <c r="D29" s="11" t="str">
        <f>D27/D25</f>
        <v>#DIV/0!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64"/>
      <c r="AJ29" s="165"/>
    </row>
    <row r="30" ht="15.75" customHeight="1">
      <c r="A30" s="87" t="s">
        <v>28</v>
      </c>
      <c r="B30" s="166">
        <f t="shared" ref="B30:B31" si="6">SUM(D30:AH30)</f>
        <v>0</v>
      </c>
      <c r="C30" s="166" t="str">
        <f t="shared" si="4"/>
        <v>#DIV/0!</v>
      </c>
      <c r="D30" s="89"/>
      <c r="E30" s="89"/>
      <c r="F30" s="89"/>
      <c r="G30" s="89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65"/>
      <c r="AA30" s="65"/>
      <c r="AB30" s="65"/>
      <c r="AC30" s="65"/>
      <c r="AD30" s="65"/>
      <c r="AE30" s="65"/>
      <c r="AF30" s="65"/>
      <c r="AG30" s="65"/>
      <c r="AH30" s="153"/>
      <c r="AI30" s="150"/>
      <c r="AJ30" s="151"/>
    </row>
    <row r="31" ht="15.75" customHeight="1">
      <c r="A31" s="87" t="s">
        <v>29</v>
      </c>
      <c r="B31" s="166">
        <f t="shared" si="6"/>
        <v>0</v>
      </c>
      <c r="C31" s="166" t="str">
        <f t="shared" si="4"/>
        <v>#DIV/0!</v>
      </c>
      <c r="D31" s="89"/>
      <c r="E31" s="89"/>
      <c r="F31" s="89"/>
      <c r="G31" s="89"/>
      <c r="H31" s="124"/>
      <c r="I31" s="62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65"/>
      <c r="AA31" s="65"/>
      <c r="AB31" s="65"/>
      <c r="AC31" s="65"/>
      <c r="AD31" s="65"/>
      <c r="AE31" s="65"/>
      <c r="AF31" s="65"/>
      <c r="AG31" s="65"/>
      <c r="AH31" s="153"/>
      <c r="AI31" s="150"/>
      <c r="AJ31" s="151"/>
    </row>
    <row r="32" ht="15.75" customHeight="1">
      <c r="A32" s="161" t="s">
        <v>30</v>
      </c>
      <c r="B32" s="161">
        <f>B201</f>
        <v>0</v>
      </c>
      <c r="C32" s="161" t="str">
        <f t="shared" si="4"/>
        <v>#DIV/0!</v>
      </c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8"/>
      <c r="U32" s="218"/>
      <c r="V32" s="218"/>
      <c r="W32" s="218"/>
      <c r="X32" s="218"/>
      <c r="Y32" s="218"/>
      <c r="Z32" s="162"/>
      <c r="AA32" s="162"/>
      <c r="AB32" s="162"/>
      <c r="AC32" s="162"/>
      <c r="AD32" s="162"/>
      <c r="AE32" s="162"/>
      <c r="AF32" s="162"/>
      <c r="AG32" s="162"/>
      <c r="AH32" s="163"/>
      <c r="AI32" s="219"/>
      <c r="AJ32" s="220"/>
    </row>
    <row r="33" ht="15.75" customHeight="1">
      <c r="A33" s="84" t="s">
        <v>31</v>
      </c>
      <c r="B33" s="157" t="str">
        <f>B32/B27</f>
        <v>#DIV/0!</v>
      </c>
      <c r="C33" s="73" t="str">
        <f t="shared" si="4"/>
        <v>#DIV/0!</v>
      </c>
      <c r="D33" s="168" t="str">
        <f>D32/D27</f>
        <v>#DIV/0!</v>
      </c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84"/>
      <c r="AA33" s="84"/>
      <c r="AB33" s="84"/>
      <c r="AC33" s="84"/>
      <c r="AD33" s="84"/>
      <c r="AE33" s="84"/>
      <c r="AF33" s="84"/>
      <c r="AG33" s="84"/>
      <c r="AH33" s="169"/>
      <c r="AI33" s="164"/>
      <c r="AJ33" s="165"/>
    </row>
    <row r="34" ht="15.75" customHeight="1">
      <c r="A34" s="161" t="s">
        <v>32</v>
      </c>
      <c r="B34" s="161">
        <f>SUM(D34:AH34)</f>
        <v>0</v>
      </c>
      <c r="C34" s="161" t="str">
        <f t="shared" si="4"/>
        <v>#DIV/0!</v>
      </c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8"/>
      <c r="V34" s="218"/>
      <c r="W34" s="218"/>
      <c r="X34" s="218"/>
      <c r="Y34" s="218"/>
      <c r="Z34" s="162"/>
      <c r="AA34" s="162"/>
      <c r="AB34" s="162"/>
      <c r="AC34" s="162"/>
      <c r="AD34" s="162"/>
      <c r="AE34" s="162"/>
      <c r="AF34" s="162"/>
      <c r="AG34" s="162"/>
      <c r="AH34" s="162"/>
      <c r="AI34" s="219"/>
      <c r="AJ34" s="220"/>
    </row>
    <row r="35" ht="15.75" customHeight="1">
      <c r="A35" s="60" t="s">
        <v>33</v>
      </c>
      <c r="B35" s="68" t="str">
        <f>B34/B27</f>
        <v>#DIV/0!</v>
      </c>
      <c r="C35" s="92" t="str">
        <f t="shared" si="4"/>
        <v>#DIV/0!</v>
      </c>
      <c r="D35" s="12" t="str">
        <f>D34/D27</f>
        <v>#DIV/0!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50"/>
      <c r="AJ35" s="151"/>
    </row>
    <row r="36" ht="15.75" customHeight="1">
      <c r="A36" s="60" t="s">
        <v>34</v>
      </c>
      <c r="B36" s="108">
        <f t="shared" ref="B36:B39" si="7">SUM(D36:AH36)</f>
        <v>0</v>
      </c>
      <c r="C36" s="108">
        <f t="shared" si="4"/>
        <v>0</v>
      </c>
      <c r="D36" s="11">
        <f>D34+D43</f>
        <v>0</v>
      </c>
      <c r="E36" s="60"/>
      <c r="F36" s="60"/>
      <c r="G36" s="60"/>
      <c r="H36" s="60"/>
      <c r="I36" s="60"/>
      <c r="J36" s="6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50"/>
      <c r="AJ36" s="151"/>
    </row>
    <row r="37" ht="15.75" customHeight="1">
      <c r="A37" s="11" t="s">
        <v>35</v>
      </c>
      <c r="B37" s="108">
        <f t="shared" si="7"/>
        <v>0</v>
      </c>
      <c r="C37" s="108" t="str">
        <f t="shared" si="4"/>
        <v>#DIV/0!</v>
      </c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32"/>
      <c r="AB37" s="104"/>
      <c r="AC37" s="104"/>
      <c r="AD37" s="104"/>
      <c r="AE37" s="104"/>
      <c r="AF37" s="104"/>
      <c r="AG37" s="104"/>
      <c r="AH37" s="104"/>
      <c r="AI37" s="164"/>
      <c r="AJ37" s="165"/>
    </row>
    <row r="38" ht="15.75" customHeight="1">
      <c r="A38" s="11" t="s">
        <v>36</v>
      </c>
      <c r="B38" s="108">
        <f t="shared" si="7"/>
        <v>0</v>
      </c>
      <c r="C38" s="108">
        <f t="shared" si="4"/>
        <v>0</v>
      </c>
      <c r="D38" s="104">
        <v>0.0</v>
      </c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64"/>
      <c r="AJ38" s="165"/>
    </row>
    <row r="39" ht="15.75" customHeight="1">
      <c r="A39" s="60" t="s">
        <v>37</v>
      </c>
      <c r="B39" s="108">
        <f t="shared" si="7"/>
        <v>0</v>
      </c>
      <c r="C39" s="108">
        <f t="shared" si="4"/>
        <v>0</v>
      </c>
      <c r="D39" s="11">
        <f>D38+D37</f>
        <v>0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150"/>
      <c r="AJ39" s="151"/>
    </row>
    <row r="40" ht="15.75" customHeight="1">
      <c r="A40" s="11" t="s">
        <v>38</v>
      </c>
      <c r="B40" s="108" t="str">
        <f t="shared" ref="B40:B41" si="8">LOOKUP(9^9, C40:AH40)</f>
        <v>#N/A</v>
      </c>
      <c r="C40" s="108" t="str">
        <f t="shared" si="4"/>
        <v>#DIV/0!</v>
      </c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67"/>
      <c r="AI40" s="164"/>
      <c r="AJ40" s="165"/>
    </row>
    <row r="41" ht="15.75" customHeight="1">
      <c r="A41" s="11" t="s">
        <v>39</v>
      </c>
      <c r="B41" s="108" t="str">
        <f t="shared" si="8"/>
        <v>#N/A</v>
      </c>
      <c r="C41" s="108" t="str">
        <f t="shared" si="4"/>
        <v>#DIV/0!</v>
      </c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67"/>
      <c r="AI41" s="164"/>
      <c r="AJ41" s="165"/>
    </row>
    <row r="42" ht="15.75" customHeight="1">
      <c r="A42" s="12" t="s">
        <v>40</v>
      </c>
      <c r="B42" s="68" t="str">
        <f>C42</f>
        <v>#DIV/0!</v>
      </c>
      <c r="C42" s="68" t="str">
        <f t="shared" si="4"/>
        <v>#DIV/0!</v>
      </c>
      <c r="D42" s="12" t="str">
        <f>D39/D36</f>
        <v>#DIV/0!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55"/>
      <c r="AJ42" s="156"/>
    </row>
    <row r="43" ht="15.75" customHeight="1">
      <c r="A43" s="11" t="s">
        <v>41</v>
      </c>
      <c r="B43" s="108">
        <f t="shared" ref="B43:B45" si="9">SUM(D43:AH43)</f>
        <v>0</v>
      </c>
      <c r="C43" s="108">
        <f t="shared" si="4"/>
        <v>0</v>
      </c>
      <c r="D43" s="104">
        <v>0.0</v>
      </c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64"/>
      <c r="AJ43" s="165"/>
    </row>
    <row r="44" ht="15.75" customHeight="1">
      <c r="A44" s="12" t="s">
        <v>42</v>
      </c>
      <c r="B44" s="68" t="str">
        <f t="shared" si="9"/>
        <v>#DIV/0!</v>
      </c>
      <c r="C44" s="68" t="str">
        <f t="shared" si="4"/>
        <v>#DIV/0!</v>
      </c>
      <c r="D44" s="12" t="str">
        <f>D43/D27</f>
        <v>#DIV/0!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55"/>
      <c r="AJ44" s="156"/>
    </row>
    <row r="45" ht="15.75" customHeight="1">
      <c r="A45" s="72" t="s">
        <v>43</v>
      </c>
      <c r="B45" s="161">
        <f t="shared" si="9"/>
        <v>0</v>
      </c>
      <c r="C45" s="161">
        <f t="shared" si="4"/>
        <v>0</v>
      </c>
      <c r="D45" s="161">
        <f>D36-D39</f>
        <v>0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150"/>
      <c r="AJ45" s="151"/>
    </row>
    <row r="46" ht="15.75" customHeight="1">
      <c r="A46" s="79" t="s">
        <v>294</v>
      </c>
      <c r="B46" s="157" t="str">
        <f>B45/B27</f>
        <v>#DIV/0!</v>
      </c>
      <c r="C46" s="158" t="str">
        <f t="shared" si="4"/>
        <v>#DIV/0!</v>
      </c>
      <c r="D46" s="157" t="str">
        <f>D45/D27</f>
        <v>#DIV/0!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0"/>
      <c r="AJ46" s="151"/>
    </row>
    <row r="47" ht="15.75" customHeight="1">
      <c r="A47" s="79" t="s">
        <v>45</v>
      </c>
      <c r="B47" s="171" t="str">
        <f>B45/B26</f>
        <v>#DIV/0!</v>
      </c>
      <c r="C47" s="158" t="str">
        <f t="shared" si="4"/>
        <v>#DIV/0!</v>
      </c>
      <c r="D47" s="171" t="str">
        <f>D45/D26</f>
        <v>#DIV/0!</v>
      </c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50"/>
      <c r="AJ47" s="151"/>
    </row>
    <row r="48" ht="15.75" customHeight="1">
      <c r="A48" s="148" t="s">
        <v>46</v>
      </c>
      <c r="B48" s="161">
        <f>B27-B32</f>
        <v>0</v>
      </c>
      <c r="C48" s="161">
        <f t="shared" si="4"/>
        <v>0</v>
      </c>
      <c r="D48" s="161">
        <f>D27-D32</f>
        <v>0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150"/>
      <c r="AJ48" s="151"/>
    </row>
    <row r="49" ht="15.75" customHeight="1">
      <c r="A49" s="79" t="s">
        <v>295</v>
      </c>
      <c r="B49" s="157" t="str">
        <f>B48/B27</f>
        <v>#DIV/0!</v>
      </c>
      <c r="C49" s="158" t="str">
        <f t="shared" si="4"/>
        <v>#DIV/0!</v>
      </c>
      <c r="D49" s="157" t="str">
        <f>D48/D27</f>
        <v>#DIV/0!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0"/>
      <c r="AJ49" s="151"/>
    </row>
    <row r="50" ht="15.75" customHeight="1">
      <c r="A50" s="79" t="s">
        <v>48</v>
      </c>
      <c r="B50" s="171" t="str">
        <f>B48/B26</f>
        <v>#DIV/0!</v>
      </c>
      <c r="C50" s="158" t="str">
        <f t="shared" si="4"/>
        <v>#DIV/0!</v>
      </c>
      <c r="D50" s="171" t="str">
        <f>D48/D26</f>
        <v>#DIV/0!</v>
      </c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50"/>
      <c r="AJ50" s="151"/>
    </row>
    <row r="51" ht="15.75" customHeight="1">
      <c r="A51" s="104" t="s">
        <v>49</v>
      </c>
      <c r="B51" s="108">
        <f t="shared" ref="B51:B62" si="10">SUM(D51:AH51)</f>
        <v>0</v>
      </c>
      <c r="C51" s="108" t="str">
        <f t="shared" si="4"/>
        <v>#DIV/0!</v>
      </c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64"/>
      <c r="AJ51" s="165"/>
    </row>
    <row r="52" ht="15.75" customHeight="1">
      <c r="A52" s="11" t="s">
        <v>50</v>
      </c>
      <c r="B52" s="108">
        <f t="shared" si="10"/>
        <v>0</v>
      </c>
      <c r="C52" s="108" t="str">
        <f t="shared" si="4"/>
        <v>#DIV/0!</v>
      </c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64"/>
      <c r="AJ52" s="165"/>
    </row>
    <row r="53" ht="15.75" customHeight="1">
      <c r="A53" s="104" t="s">
        <v>51</v>
      </c>
      <c r="B53" s="108">
        <f t="shared" si="10"/>
        <v>0</v>
      </c>
      <c r="C53" s="108" t="str">
        <f t="shared" si="4"/>
        <v>#DIV/0!</v>
      </c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64"/>
      <c r="AJ53" s="165"/>
    </row>
    <row r="54" ht="15.75" customHeight="1">
      <c r="A54" s="104" t="s">
        <v>52</v>
      </c>
      <c r="B54" s="108">
        <f t="shared" si="10"/>
        <v>0</v>
      </c>
      <c r="C54" s="108" t="str">
        <f t="shared" si="4"/>
        <v>#DIV/0!</v>
      </c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64"/>
      <c r="AJ54" s="165"/>
    </row>
    <row r="55" ht="15.75" customHeight="1">
      <c r="A55" s="104" t="s">
        <v>53</v>
      </c>
      <c r="B55" s="108">
        <f t="shared" si="10"/>
        <v>0</v>
      </c>
      <c r="C55" s="108" t="str">
        <f t="shared" si="4"/>
        <v>#DIV/0!</v>
      </c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64"/>
      <c r="AJ55" s="165"/>
    </row>
    <row r="56" ht="15.75" customHeight="1">
      <c r="A56" s="104" t="s">
        <v>54</v>
      </c>
      <c r="B56" s="108">
        <f t="shared" si="10"/>
        <v>0</v>
      </c>
      <c r="C56" s="108" t="str">
        <f t="shared" si="4"/>
        <v>#DIV/0!</v>
      </c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64"/>
      <c r="AJ56" s="165"/>
    </row>
    <row r="57" ht="15.75" customHeight="1">
      <c r="A57" s="104" t="s">
        <v>55</v>
      </c>
      <c r="B57" s="108">
        <f t="shared" si="10"/>
        <v>0</v>
      </c>
      <c r="C57" s="108" t="str">
        <f t="shared" si="4"/>
        <v>#DIV/0!</v>
      </c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64"/>
      <c r="AJ57" s="165"/>
    </row>
    <row r="58" ht="15.75" customHeight="1">
      <c r="A58" s="65" t="s">
        <v>56</v>
      </c>
      <c r="B58" s="108">
        <f t="shared" si="10"/>
        <v>0</v>
      </c>
      <c r="C58" s="108" t="str">
        <f t="shared" si="4"/>
        <v>#DIV/0!</v>
      </c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64"/>
      <c r="AJ58" s="165"/>
    </row>
    <row r="59" ht="15.75" customHeight="1">
      <c r="A59" s="11" t="s">
        <v>57</v>
      </c>
      <c r="B59" s="108">
        <f t="shared" si="10"/>
        <v>0</v>
      </c>
      <c r="C59" s="108" t="str">
        <f t="shared" si="4"/>
        <v>#DIV/0!</v>
      </c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64"/>
      <c r="AJ59" s="165"/>
    </row>
    <row r="60" ht="15.75" customHeight="1">
      <c r="A60" s="11" t="s">
        <v>58</v>
      </c>
      <c r="B60" s="108">
        <f t="shared" si="10"/>
        <v>0</v>
      </c>
      <c r="C60" s="108" t="str">
        <f t="shared" si="4"/>
        <v>#DIV/0!</v>
      </c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64"/>
      <c r="AJ60" s="165"/>
    </row>
    <row r="61" ht="15.75" customHeight="1">
      <c r="A61" s="11" t="s">
        <v>59</v>
      </c>
      <c r="B61" s="108">
        <f t="shared" si="10"/>
        <v>0</v>
      </c>
      <c r="C61" s="108">
        <f t="shared" si="4"/>
        <v>0</v>
      </c>
      <c r="D61" s="104">
        <f>D109</f>
        <v>0</v>
      </c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64"/>
      <c r="AJ61" s="165"/>
    </row>
    <row r="62" ht="15.75" customHeight="1">
      <c r="A62" s="11" t="s">
        <v>60</v>
      </c>
      <c r="B62" s="108">
        <f t="shared" si="10"/>
        <v>0</v>
      </c>
      <c r="C62" s="108">
        <f t="shared" si="4"/>
        <v>0</v>
      </c>
      <c r="D62" s="104">
        <v>0.0</v>
      </c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64"/>
      <c r="AJ62" s="165"/>
    </row>
    <row r="63" ht="15.75" customHeight="1">
      <c r="A63" s="60" t="s">
        <v>61</v>
      </c>
      <c r="B63" s="108">
        <f>B62+B61+B60+B58+B59</f>
        <v>0</v>
      </c>
      <c r="C63" s="108">
        <f t="shared" si="4"/>
        <v>0</v>
      </c>
      <c r="D63" s="11">
        <f>D62+D61+D60+D59</f>
        <v>0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150"/>
      <c r="AJ63" s="151"/>
    </row>
    <row r="64" ht="15.75" customHeight="1">
      <c r="A64" s="60" t="s">
        <v>62</v>
      </c>
      <c r="B64" s="108">
        <f t="shared" ref="B64:B65" si="11">SUM(D64:AH64)</f>
        <v>0</v>
      </c>
      <c r="C64" s="108">
        <f t="shared" si="4"/>
        <v>0</v>
      </c>
      <c r="D64" s="11">
        <f>D45-(D51+D52+D53+D54+D55+D56+D57+D58+D60+D61+D62)</f>
        <v>0</v>
      </c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150"/>
      <c r="AJ64" s="151"/>
    </row>
    <row r="65" ht="15.75" customHeight="1">
      <c r="A65" s="65" t="s">
        <v>46</v>
      </c>
      <c r="B65" s="108">
        <f t="shared" si="11"/>
        <v>0</v>
      </c>
      <c r="C65" s="108">
        <f t="shared" si="4"/>
        <v>0</v>
      </c>
      <c r="D65" s="11">
        <f>D48-D63</f>
        <v>0</v>
      </c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150"/>
      <c r="AJ65" s="151"/>
    </row>
    <row r="66" ht="15.75" customHeight="1">
      <c r="A66" s="172" t="s">
        <v>64</v>
      </c>
      <c r="B66" s="173"/>
      <c r="C66" s="174"/>
      <c r="D66" s="175" t="s">
        <v>275</v>
      </c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0"/>
      <c r="AI66" s="177"/>
      <c r="AJ66" s="178"/>
    </row>
    <row r="67" ht="15.75" customHeight="1">
      <c r="A67" s="65" t="s">
        <v>65</v>
      </c>
      <c r="B67" s="92"/>
      <c r="C67" s="92"/>
      <c r="D67" s="179" t="s">
        <v>276</v>
      </c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0"/>
      <c r="AI67" s="180"/>
      <c r="AJ67" s="181"/>
    </row>
    <row r="68" ht="15.75" customHeight="1">
      <c r="A68" s="172" t="s">
        <v>64</v>
      </c>
      <c r="B68" s="92"/>
      <c r="C68" s="92"/>
      <c r="D68" s="175" t="s">
        <v>281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10"/>
      <c r="AI68" s="180"/>
      <c r="AJ68" s="181"/>
    </row>
    <row r="69" ht="15.75" customHeight="1">
      <c r="A69" s="65" t="s">
        <v>65</v>
      </c>
      <c r="B69" s="92"/>
      <c r="C69" s="92"/>
      <c r="D69" s="179" t="s">
        <v>282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0"/>
      <c r="AI69" s="180"/>
      <c r="AJ69" s="181"/>
    </row>
    <row r="70" ht="15.75" customHeight="1">
      <c r="A70" s="172" t="s">
        <v>64</v>
      </c>
      <c r="B70" s="92"/>
      <c r="C70" s="92"/>
      <c r="D70" s="175" t="s">
        <v>298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0"/>
      <c r="AI70" s="177"/>
      <c r="AJ70" s="178"/>
    </row>
    <row r="71" ht="15.75" customHeight="1">
      <c r="A71" s="65" t="s">
        <v>65</v>
      </c>
      <c r="B71" s="92"/>
      <c r="C71" s="92"/>
      <c r="D71" s="179" t="s">
        <v>276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0"/>
      <c r="AI71" s="180"/>
      <c r="AJ71" s="181"/>
    </row>
    <row r="72" ht="15.75" customHeight="1">
      <c r="A72" s="172" t="s">
        <v>64</v>
      </c>
      <c r="B72" s="92"/>
      <c r="C72" s="92"/>
      <c r="D72" s="60"/>
      <c r="E72" s="60"/>
      <c r="F72" s="254" t="s">
        <v>306</v>
      </c>
      <c r="G72" s="60"/>
      <c r="H72" s="60"/>
      <c r="I72" s="60"/>
      <c r="J72" s="60"/>
      <c r="K72" s="60"/>
      <c r="L72" s="182"/>
      <c r="M72" s="182"/>
      <c r="N72" s="182"/>
      <c r="O72" s="175" t="s">
        <v>307</v>
      </c>
      <c r="P72" s="176"/>
      <c r="Q72" s="10"/>
      <c r="R72" s="182"/>
      <c r="S72" s="182"/>
      <c r="T72" s="182"/>
      <c r="U72" s="182"/>
      <c r="V72" s="182"/>
      <c r="W72" s="182"/>
      <c r="X72" s="182"/>
      <c r="Y72" s="182"/>
      <c r="Z72" s="60"/>
      <c r="AA72" s="60"/>
      <c r="AB72" s="60"/>
      <c r="AC72" s="60"/>
      <c r="AD72" s="60"/>
      <c r="AE72" s="60"/>
      <c r="AF72" s="60"/>
      <c r="AG72" s="60"/>
      <c r="AH72" s="182"/>
      <c r="AI72" s="180"/>
      <c r="AJ72" s="181"/>
    </row>
    <row r="73" ht="15.75" customHeight="1">
      <c r="A73" s="65" t="s">
        <v>65</v>
      </c>
      <c r="B73" s="92"/>
      <c r="C73" s="92"/>
      <c r="D73" s="60"/>
      <c r="E73" s="60"/>
      <c r="F73" s="255" t="s">
        <v>276</v>
      </c>
      <c r="G73" s="60"/>
      <c r="H73" s="60"/>
      <c r="I73" s="60"/>
      <c r="J73" s="60"/>
      <c r="K73" s="60"/>
      <c r="L73" s="182"/>
      <c r="M73" s="182"/>
      <c r="N73" s="182"/>
      <c r="O73" s="179" t="s">
        <v>308</v>
      </c>
      <c r="P73" s="176"/>
      <c r="Q73" s="10"/>
      <c r="R73" s="182"/>
      <c r="S73" s="182"/>
      <c r="T73" s="182"/>
      <c r="U73" s="182"/>
      <c r="V73" s="182"/>
      <c r="W73" s="182"/>
      <c r="X73" s="182"/>
      <c r="Y73" s="182"/>
      <c r="Z73" s="60"/>
      <c r="AA73" s="60"/>
      <c r="AB73" s="60"/>
      <c r="AC73" s="60"/>
      <c r="AD73" s="60"/>
      <c r="AE73" s="60"/>
      <c r="AF73" s="60"/>
      <c r="AG73" s="60"/>
      <c r="AH73" s="182"/>
      <c r="AI73" s="180"/>
      <c r="AJ73" s="181"/>
    </row>
    <row r="74" ht="15.75" customHeight="1">
      <c r="A74" s="172" t="s">
        <v>64</v>
      </c>
      <c r="B74" s="92"/>
      <c r="C74" s="92"/>
      <c r="D74" s="60"/>
      <c r="E74" s="60"/>
      <c r="F74" s="60"/>
      <c r="G74" s="60"/>
      <c r="H74" s="60"/>
      <c r="I74" s="60"/>
      <c r="J74" s="60"/>
      <c r="K74" s="60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60"/>
      <c r="AA74" s="60"/>
      <c r="AB74" s="60"/>
      <c r="AC74" s="60"/>
      <c r="AD74" s="60"/>
      <c r="AE74" s="60"/>
      <c r="AF74" s="60"/>
      <c r="AG74" s="60"/>
      <c r="AH74" s="182"/>
      <c r="AI74" s="180"/>
      <c r="AJ74" s="181"/>
    </row>
    <row r="75" ht="15.75" customHeight="1">
      <c r="A75" s="65" t="s">
        <v>65</v>
      </c>
      <c r="B75" s="92"/>
      <c r="C75" s="92"/>
      <c r="D75" s="60"/>
      <c r="E75" s="60"/>
      <c r="F75" s="60"/>
      <c r="G75" s="60"/>
      <c r="H75" s="60"/>
      <c r="I75" s="60"/>
      <c r="J75" s="60"/>
      <c r="K75" s="60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60"/>
      <c r="AA75" s="60"/>
      <c r="AB75" s="60"/>
      <c r="AC75" s="60"/>
      <c r="AD75" s="60"/>
      <c r="AE75" s="60"/>
      <c r="AF75" s="60"/>
      <c r="AG75" s="60"/>
      <c r="AH75" s="182"/>
      <c r="AI75" s="180"/>
      <c r="AJ75" s="181"/>
    </row>
    <row r="76" ht="15.75" customHeight="1">
      <c r="A76" s="65"/>
      <c r="B76" s="92"/>
      <c r="C76" s="92"/>
      <c r="D76" s="60"/>
      <c r="E76" s="60"/>
      <c r="F76" s="60"/>
      <c r="G76" s="60"/>
      <c r="H76" s="60"/>
      <c r="I76" s="60"/>
      <c r="J76" s="60"/>
      <c r="K76" s="60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4"/>
      <c r="AD76" s="182"/>
      <c r="AE76" s="182"/>
      <c r="AF76" s="182"/>
      <c r="AG76" s="182"/>
      <c r="AH76" s="179"/>
      <c r="AI76" s="180"/>
      <c r="AJ76" s="181"/>
    </row>
    <row r="77" ht="15.75" customHeight="1">
      <c r="A77" s="65"/>
      <c r="B77" s="92"/>
      <c r="C77" s="92"/>
      <c r="D77" s="60"/>
      <c r="E77" s="60"/>
      <c r="F77" s="60"/>
      <c r="G77" s="60"/>
      <c r="H77" s="60"/>
      <c r="I77" s="60"/>
      <c r="J77" s="60"/>
      <c r="K77" s="60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4"/>
      <c r="AD77" s="182"/>
      <c r="AE77" s="182"/>
      <c r="AF77" s="182"/>
      <c r="AG77" s="182"/>
      <c r="AH77" s="179"/>
      <c r="AI77" s="180"/>
      <c r="AJ77" s="181"/>
    </row>
    <row r="78" ht="15.75" customHeight="1">
      <c r="A78" s="65"/>
      <c r="B78" s="92"/>
      <c r="C78" s="92"/>
      <c r="D78" s="60"/>
      <c r="E78" s="60"/>
      <c r="F78" s="60"/>
      <c r="G78" s="60"/>
      <c r="H78" s="60"/>
      <c r="I78" s="60"/>
      <c r="J78" s="60"/>
      <c r="K78" s="60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4"/>
      <c r="AD78" s="182"/>
      <c r="AE78" s="182"/>
      <c r="AF78" s="182"/>
      <c r="AG78" s="182"/>
      <c r="AH78" s="179"/>
      <c r="AI78" s="180"/>
      <c r="AJ78" s="181"/>
    </row>
    <row r="79" ht="15.75" customHeight="1">
      <c r="A79" s="104" t="s">
        <v>283</v>
      </c>
      <c r="B79" s="108"/>
      <c r="C79" s="108"/>
      <c r="D79" s="11"/>
      <c r="E79" s="11"/>
      <c r="F79" s="11"/>
      <c r="G79" s="11"/>
      <c r="H79" s="11"/>
      <c r="I79" s="11"/>
      <c r="J79" s="11"/>
      <c r="K79" s="11"/>
      <c r="L79" s="222"/>
      <c r="M79" s="222"/>
      <c r="N79" s="222"/>
      <c r="O79" s="222"/>
      <c r="P79" s="222"/>
      <c r="Q79" s="222">
        <v>100000.0</v>
      </c>
      <c r="R79" s="222">
        <v>200000.0</v>
      </c>
      <c r="S79" s="222">
        <v>100000.0</v>
      </c>
      <c r="T79" s="222"/>
      <c r="U79" s="222"/>
      <c r="V79" s="222"/>
      <c r="W79" s="222"/>
      <c r="X79" s="222"/>
      <c r="Y79" s="222"/>
      <c r="Z79" s="222">
        <v>100000.0</v>
      </c>
      <c r="AA79" s="222"/>
      <c r="AB79" s="222"/>
      <c r="AC79" s="198"/>
      <c r="AD79" s="222"/>
      <c r="AE79" s="222"/>
      <c r="AF79" s="222"/>
      <c r="AG79" s="222"/>
      <c r="AH79" s="223"/>
      <c r="AI79" s="224"/>
      <c r="AJ79" s="225"/>
    </row>
    <row r="80" ht="15.75" customHeight="1">
      <c r="A80" s="56" t="s">
        <v>66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144"/>
      <c r="AI80" s="145"/>
      <c r="AJ80" s="146"/>
    </row>
    <row r="81" ht="15.75" customHeight="1">
      <c r="A81" s="60" t="s">
        <v>67</v>
      </c>
      <c r="B81" s="92" t="str">
        <f t="shared" ref="B81:B82" si="13">SUM(D81:AH81)</f>
        <v>#DIV/0!</v>
      </c>
      <c r="C81" s="92" t="str">
        <f t="shared" ref="C81:C88" si="14">AVERAGE(D81:AH81)</f>
        <v>#DIV/0!</v>
      </c>
      <c r="D81" s="60" t="str">
        <f t="shared" ref="D81:Y81" si="12">D64/D4</f>
        <v>#DIV/0!</v>
      </c>
      <c r="E81" s="60" t="str">
        <f t="shared" si="12"/>
        <v>#DIV/0!</v>
      </c>
      <c r="F81" s="60" t="str">
        <f t="shared" si="12"/>
        <v>#DIV/0!</v>
      </c>
      <c r="G81" s="60" t="str">
        <f t="shared" si="12"/>
        <v>#DIV/0!</v>
      </c>
      <c r="H81" s="60" t="str">
        <f t="shared" si="12"/>
        <v>#DIV/0!</v>
      </c>
      <c r="I81" s="60" t="str">
        <f t="shared" si="12"/>
        <v>#DIV/0!</v>
      </c>
      <c r="J81" s="60" t="str">
        <f t="shared" si="12"/>
        <v>#DIV/0!</v>
      </c>
      <c r="K81" s="60" t="str">
        <f t="shared" si="12"/>
        <v>#DIV/0!</v>
      </c>
      <c r="L81" s="60" t="str">
        <f t="shared" si="12"/>
        <v>#DIV/0!</v>
      </c>
      <c r="M81" s="60" t="str">
        <f t="shared" si="12"/>
        <v>#DIV/0!</v>
      </c>
      <c r="N81" s="60" t="str">
        <f t="shared" si="12"/>
        <v>#DIV/0!</v>
      </c>
      <c r="O81" s="60" t="str">
        <f t="shared" si="12"/>
        <v>#DIV/0!</v>
      </c>
      <c r="P81" s="60" t="str">
        <f t="shared" si="12"/>
        <v>#DIV/0!</v>
      </c>
      <c r="Q81" s="60" t="str">
        <f t="shared" si="12"/>
        <v>#DIV/0!</v>
      </c>
      <c r="R81" s="60" t="str">
        <f t="shared" si="12"/>
        <v>#DIV/0!</v>
      </c>
      <c r="S81" s="60" t="str">
        <f t="shared" si="12"/>
        <v>#DIV/0!</v>
      </c>
      <c r="T81" s="60" t="str">
        <f t="shared" si="12"/>
        <v>#DIV/0!</v>
      </c>
      <c r="U81" s="60" t="str">
        <f t="shared" si="12"/>
        <v>#DIV/0!</v>
      </c>
      <c r="V81" s="60" t="str">
        <f t="shared" si="12"/>
        <v>#DIV/0!</v>
      </c>
      <c r="W81" s="60" t="str">
        <f t="shared" si="12"/>
        <v>#DIV/0!</v>
      </c>
      <c r="X81" s="60" t="str">
        <f t="shared" si="12"/>
        <v>#DIV/0!</v>
      </c>
      <c r="Y81" s="60" t="str">
        <f t="shared" si="12"/>
        <v>#DIV/0!</v>
      </c>
      <c r="Z81" s="60"/>
      <c r="AA81" s="60"/>
      <c r="AB81" s="60"/>
      <c r="AC81" s="60"/>
      <c r="AD81" s="60"/>
      <c r="AE81" s="60"/>
      <c r="AF81" s="60"/>
      <c r="AG81" s="60"/>
      <c r="AH81" s="60"/>
      <c r="AI81" s="150"/>
      <c r="AJ81" s="151"/>
    </row>
    <row r="82" ht="15.75" customHeight="1">
      <c r="A82" s="60" t="s">
        <v>68</v>
      </c>
      <c r="B82" s="92" t="str">
        <f t="shared" si="13"/>
        <v>#DIV/0!</v>
      </c>
      <c r="C82" s="92" t="str">
        <f t="shared" si="14"/>
        <v>#DIV/0!</v>
      </c>
      <c r="D82" s="60" t="str">
        <f t="shared" ref="D82:Y82" si="15">D64/D25</f>
        <v>#DIV/0!</v>
      </c>
      <c r="E82" s="60" t="str">
        <f t="shared" si="15"/>
        <v>#DIV/0!</v>
      </c>
      <c r="F82" s="60" t="str">
        <f t="shared" si="15"/>
        <v>#DIV/0!</v>
      </c>
      <c r="G82" s="60" t="str">
        <f t="shared" si="15"/>
        <v>#DIV/0!</v>
      </c>
      <c r="H82" s="60" t="str">
        <f t="shared" si="15"/>
        <v>#DIV/0!</v>
      </c>
      <c r="I82" s="60" t="str">
        <f t="shared" si="15"/>
        <v>#DIV/0!</v>
      </c>
      <c r="J82" s="60" t="str">
        <f t="shared" si="15"/>
        <v>#DIV/0!</v>
      </c>
      <c r="K82" s="60" t="str">
        <f t="shared" si="15"/>
        <v>#DIV/0!</v>
      </c>
      <c r="L82" s="60" t="str">
        <f t="shared" si="15"/>
        <v>#DIV/0!</v>
      </c>
      <c r="M82" s="60" t="str">
        <f t="shared" si="15"/>
        <v>#DIV/0!</v>
      </c>
      <c r="N82" s="60" t="str">
        <f t="shared" si="15"/>
        <v>#DIV/0!</v>
      </c>
      <c r="O82" s="60" t="str">
        <f t="shared" si="15"/>
        <v>#DIV/0!</v>
      </c>
      <c r="P82" s="60" t="str">
        <f t="shared" si="15"/>
        <v>#DIV/0!</v>
      </c>
      <c r="Q82" s="60" t="str">
        <f t="shared" si="15"/>
        <v>#DIV/0!</v>
      </c>
      <c r="R82" s="60" t="str">
        <f t="shared" si="15"/>
        <v>#DIV/0!</v>
      </c>
      <c r="S82" s="60" t="str">
        <f t="shared" si="15"/>
        <v>#DIV/0!</v>
      </c>
      <c r="T82" s="60" t="str">
        <f t="shared" si="15"/>
        <v>#DIV/0!</v>
      </c>
      <c r="U82" s="60" t="str">
        <f t="shared" si="15"/>
        <v>#DIV/0!</v>
      </c>
      <c r="V82" s="60" t="str">
        <f t="shared" si="15"/>
        <v>#DIV/0!</v>
      </c>
      <c r="W82" s="60" t="str">
        <f t="shared" si="15"/>
        <v>#DIV/0!</v>
      </c>
      <c r="X82" s="60" t="str">
        <f t="shared" si="15"/>
        <v>#DIV/0!</v>
      </c>
      <c r="Y82" s="60" t="str">
        <f t="shared" si="15"/>
        <v>#DIV/0!</v>
      </c>
      <c r="Z82" s="60"/>
      <c r="AA82" s="60"/>
      <c r="AB82" s="60"/>
      <c r="AC82" s="60"/>
      <c r="AD82" s="60"/>
      <c r="AE82" s="60"/>
      <c r="AF82" s="60"/>
      <c r="AG82" s="60"/>
      <c r="AH82" s="60"/>
      <c r="AI82" s="150"/>
      <c r="AJ82" s="151"/>
    </row>
    <row r="83" ht="15.75" customHeight="1">
      <c r="A83" s="12" t="s">
        <v>69</v>
      </c>
      <c r="B83" s="68" t="str">
        <f t="shared" ref="B83:B88" si="17">C83</f>
        <v>#DIV/0!</v>
      </c>
      <c r="C83" s="68" t="str">
        <f t="shared" si="14"/>
        <v>#DIV/0!</v>
      </c>
      <c r="D83" s="12" t="str">
        <f t="shared" ref="D83:Y83" si="16">D18/D4</f>
        <v>#DIV/0!</v>
      </c>
      <c r="E83" s="12" t="str">
        <f t="shared" si="16"/>
        <v>#DIV/0!</v>
      </c>
      <c r="F83" s="12" t="str">
        <f t="shared" si="16"/>
        <v>#DIV/0!</v>
      </c>
      <c r="G83" s="12" t="str">
        <f t="shared" si="16"/>
        <v>#DIV/0!</v>
      </c>
      <c r="H83" s="12" t="str">
        <f t="shared" si="16"/>
        <v>#DIV/0!</v>
      </c>
      <c r="I83" s="12" t="str">
        <f t="shared" si="16"/>
        <v>#DIV/0!</v>
      </c>
      <c r="J83" s="12" t="str">
        <f t="shared" si="16"/>
        <v>#DIV/0!</v>
      </c>
      <c r="K83" s="12" t="str">
        <f t="shared" si="16"/>
        <v>#DIV/0!</v>
      </c>
      <c r="L83" s="12" t="str">
        <f t="shared" si="16"/>
        <v>#DIV/0!</v>
      </c>
      <c r="M83" s="12" t="str">
        <f t="shared" si="16"/>
        <v>#DIV/0!</v>
      </c>
      <c r="N83" s="12" t="str">
        <f t="shared" si="16"/>
        <v>#DIV/0!</v>
      </c>
      <c r="O83" s="12" t="str">
        <f t="shared" si="16"/>
        <v>#DIV/0!</v>
      </c>
      <c r="P83" s="12" t="str">
        <f t="shared" si="16"/>
        <v>#DIV/0!</v>
      </c>
      <c r="Q83" s="12" t="str">
        <f t="shared" si="16"/>
        <v>#DIV/0!</v>
      </c>
      <c r="R83" s="12" t="str">
        <f t="shared" si="16"/>
        <v>#DIV/0!</v>
      </c>
      <c r="S83" s="12" t="str">
        <f t="shared" si="16"/>
        <v>#DIV/0!</v>
      </c>
      <c r="T83" s="12" t="str">
        <f t="shared" si="16"/>
        <v>#DIV/0!</v>
      </c>
      <c r="U83" s="12" t="str">
        <f t="shared" si="16"/>
        <v>#DIV/0!</v>
      </c>
      <c r="V83" s="12" t="str">
        <f t="shared" si="16"/>
        <v>#DIV/0!</v>
      </c>
      <c r="W83" s="12" t="str">
        <f t="shared" si="16"/>
        <v>#DIV/0!</v>
      </c>
      <c r="X83" s="12" t="str">
        <f t="shared" si="16"/>
        <v>#DIV/0!</v>
      </c>
      <c r="Y83" s="12" t="str">
        <f t="shared" si="16"/>
        <v>#DIV/0!</v>
      </c>
      <c r="Z83" s="12"/>
      <c r="AA83" s="12"/>
      <c r="AB83" s="12"/>
      <c r="AC83" s="12"/>
      <c r="AD83" s="12"/>
      <c r="AE83" s="12"/>
      <c r="AF83" s="12"/>
      <c r="AG83" s="12"/>
      <c r="AH83" s="12"/>
      <c r="AI83" s="155"/>
      <c r="AJ83" s="156"/>
    </row>
    <row r="84" ht="15.75" customHeight="1">
      <c r="A84" s="12" t="s">
        <v>70</v>
      </c>
      <c r="B84" s="68" t="str">
        <f t="shared" si="17"/>
        <v>#DIV/0!</v>
      </c>
      <c r="C84" s="68" t="str">
        <f t="shared" si="14"/>
        <v>#DIV/0!</v>
      </c>
      <c r="D84" s="12" t="str">
        <f t="shared" ref="D84:Y84" si="18">D12/D10</f>
        <v>#DIV/0!</v>
      </c>
      <c r="E84" s="12" t="str">
        <f t="shared" si="18"/>
        <v>#DIV/0!</v>
      </c>
      <c r="F84" s="12" t="str">
        <f t="shared" si="18"/>
        <v>#DIV/0!</v>
      </c>
      <c r="G84" s="12" t="str">
        <f t="shared" si="18"/>
        <v>#DIV/0!</v>
      </c>
      <c r="H84" s="12" t="str">
        <f t="shared" si="18"/>
        <v>#DIV/0!</v>
      </c>
      <c r="I84" s="12" t="str">
        <f t="shared" si="18"/>
        <v>#DIV/0!</v>
      </c>
      <c r="J84" s="12" t="str">
        <f t="shared" si="18"/>
        <v>#DIV/0!</v>
      </c>
      <c r="K84" s="12" t="str">
        <f t="shared" si="18"/>
        <v>#DIV/0!</v>
      </c>
      <c r="L84" s="12" t="str">
        <f t="shared" si="18"/>
        <v>#DIV/0!</v>
      </c>
      <c r="M84" s="12" t="str">
        <f t="shared" si="18"/>
        <v>#DIV/0!</v>
      </c>
      <c r="N84" s="12" t="str">
        <f t="shared" si="18"/>
        <v>#DIV/0!</v>
      </c>
      <c r="O84" s="12" t="str">
        <f t="shared" si="18"/>
        <v>#DIV/0!</v>
      </c>
      <c r="P84" s="12" t="str">
        <f t="shared" si="18"/>
        <v>#DIV/0!</v>
      </c>
      <c r="Q84" s="12" t="str">
        <f t="shared" si="18"/>
        <v>#DIV/0!</v>
      </c>
      <c r="R84" s="12" t="str">
        <f t="shared" si="18"/>
        <v>#DIV/0!</v>
      </c>
      <c r="S84" s="12" t="str">
        <f t="shared" si="18"/>
        <v>#DIV/0!</v>
      </c>
      <c r="T84" s="12" t="str">
        <f t="shared" si="18"/>
        <v>#DIV/0!</v>
      </c>
      <c r="U84" s="12" t="str">
        <f t="shared" si="18"/>
        <v>#DIV/0!</v>
      </c>
      <c r="V84" s="12" t="str">
        <f t="shared" si="18"/>
        <v>#DIV/0!</v>
      </c>
      <c r="W84" s="12" t="str">
        <f t="shared" si="18"/>
        <v>#DIV/0!</v>
      </c>
      <c r="X84" s="12" t="str">
        <f t="shared" si="18"/>
        <v>#DIV/0!</v>
      </c>
      <c r="Y84" s="12" t="str">
        <f t="shared" si="18"/>
        <v>#DIV/0!</v>
      </c>
      <c r="Z84" s="12"/>
      <c r="AA84" s="12"/>
      <c r="AB84" s="12"/>
      <c r="AC84" s="12"/>
      <c r="AD84" s="12"/>
      <c r="AE84" s="12"/>
      <c r="AF84" s="12"/>
      <c r="AG84" s="12"/>
      <c r="AH84" s="12"/>
      <c r="AI84" s="155"/>
      <c r="AJ84" s="156"/>
    </row>
    <row r="85" ht="15.75" customHeight="1">
      <c r="A85" s="12" t="s">
        <v>71</v>
      </c>
      <c r="B85" s="68" t="str">
        <f t="shared" si="17"/>
        <v>#DIV/0!</v>
      </c>
      <c r="C85" s="68" t="str">
        <f t="shared" si="14"/>
        <v>#DIV/0!</v>
      </c>
      <c r="D85" s="12" t="str">
        <f t="shared" ref="D85:Y85" si="19">D26/D4</f>
        <v>#DIV/0!</v>
      </c>
      <c r="E85" s="12" t="str">
        <f t="shared" si="19"/>
        <v>#DIV/0!</v>
      </c>
      <c r="F85" s="12" t="str">
        <f t="shared" si="19"/>
        <v>#DIV/0!</v>
      </c>
      <c r="G85" s="12" t="str">
        <f t="shared" si="19"/>
        <v>#DIV/0!</v>
      </c>
      <c r="H85" s="12" t="str">
        <f t="shared" si="19"/>
        <v>#DIV/0!</v>
      </c>
      <c r="I85" s="12" t="str">
        <f t="shared" si="19"/>
        <v>#DIV/0!</v>
      </c>
      <c r="J85" s="12" t="str">
        <f t="shared" si="19"/>
        <v>#DIV/0!</v>
      </c>
      <c r="K85" s="12" t="str">
        <f t="shared" si="19"/>
        <v>#DIV/0!</v>
      </c>
      <c r="L85" s="12" t="str">
        <f t="shared" si="19"/>
        <v>#DIV/0!</v>
      </c>
      <c r="M85" s="12" t="str">
        <f t="shared" si="19"/>
        <v>#DIV/0!</v>
      </c>
      <c r="N85" s="12" t="str">
        <f t="shared" si="19"/>
        <v>#DIV/0!</v>
      </c>
      <c r="O85" s="12" t="str">
        <f t="shared" si="19"/>
        <v>#DIV/0!</v>
      </c>
      <c r="P85" s="12" t="str">
        <f t="shared" si="19"/>
        <v>#DIV/0!</v>
      </c>
      <c r="Q85" s="12" t="str">
        <f t="shared" si="19"/>
        <v>#DIV/0!</v>
      </c>
      <c r="R85" s="12" t="str">
        <f t="shared" si="19"/>
        <v>#DIV/0!</v>
      </c>
      <c r="S85" s="12" t="str">
        <f t="shared" si="19"/>
        <v>#DIV/0!</v>
      </c>
      <c r="T85" s="12" t="str">
        <f t="shared" si="19"/>
        <v>#DIV/0!</v>
      </c>
      <c r="U85" s="12" t="str">
        <f t="shared" si="19"/>
        <v>#DIV/0!</v>
      </c>
      <c r="V85" s="12" t="str">
        <f t="shared" si="19"/>
        <v>#DIV/0!</v>
      </c>
      <c r="W85" s="12" t="str">
        <f t="shared" si="19"/>
        <v>#DIV/0!</v>
      </c>
      <c r="X85" s="12" t="str">
        <f t="shared" si="19"/>
        <v>#DIV/0!</v>
      </c>
      <c r="Y85" s="12" t="str">
        <f t="shared" si="19"/>
        <v>#DIV/0!</v>
      </c>
      <c r="Z85" s="12"/>
      <c r="AA85" s="12"/>
      <c r="AB85" s="12"/>
      <c r="AC85" s="12"/>
      <c r="AD85" s="12"/>
      <c r="AE85" s="12"/>
      <c r="AF85" s="12"/>
      <c r="AG85" s="12"/>
      <c r="AH85" s="12"/>
      <c r="AI85" s="155"/>
      <c r="AJ85" s="156"/>
    </row>
    <row r="86" ht="15.75" customHeight="1">
      <c r="A86" s="12" t="s">
        <v>72</v>
      </c>
      <c r="B86" s="68" t="str">
        <f t="shared" si="17"/>
        <v>#DIV/0!</v>
      </c>
      <c r="C86" s="68" t="str">
        <f t="shared" si="14"/>
        <v>#DIV/0!</v>
      </c>
      <c r="D86" s="12" t="str">
        <f t="shared" ref="D86:Y86" si="20">D45/D27</f>
        <v>#DIV/0!</v>
      </c>
      <c r="E86" s="12" t="str">
        <f t="shared" si="20"/>
        <v>#DIV/0!</v>
      </c>
      <c r="F86" s="12" t="str">
        <f t="shared" si="20"/>
        <v>#DIV/0!</v>
      </c>
      <c r="G86" s="12" t="str">
        <f t="shared" si="20"/>
        <v>#DIV/0!</v>
      </c>
      <c r="H86" s="12" t="str">
        <f t="shared" si="20"/>
        <v>#DIV/0!</v>
      </c>
      <c r="I86" s="12" t="str">
        <f t="shared" si="20"/>
        <v>#DIV/0!</v>
      </c>
      <c r="J86" s="12" t="str">
        <f t="shared" si="20"/>
        <v>#DIV/0!</v>
      </c>
      <c r="K86" s="12" t="str">
        <f t="shared" si="20"/>
        <v>#DIV/0!</v>
      </c>
      <c r="L86" s="12" t="str">
        <f t="shared" si="20"/>
        <v>#DIV/0!</v>
      </c>
      <c r="M86" s="12" t="str">
        <f t="shared" si="20"/>
        <v>#DIV/0!</v>
      </c>
      <c r="N86" s="12" t="str">
        <f t="shared" si="20"/>
        <v>#DIV/0!</v>
      </c>
      <c r="O86" s="12" t="str">
        <f t="shared" si="20"/>
        <v>#DIV/0!</v>
      </c>
      <c r="P86" s="12" t="str">
        <f t="shared" si="20"/>
        <v>#DIV/0!</v>
      </c>
      <c r="Q86" s="12" t="str">
        <f t="shared" si="20"/>
        <v>#DIV/0!</v>
      </c>
      <c r="R86" s="12" t="str">
        <f t="shared" si="20"/>
        <v>#DIV/0!</v>
      </c>
      <c r="S86" s="12" t="str">
        <f t="shared" si="20"/>
        <v>#DIV/0!</v>
      </c>
      <c r="T86" s="12" t="str">
        <f t="shared" si="20"/>
        <v>#DIV/0!</v>
      </c>
      <c r="U86" s="12" t="str">
        <f t="shared" si="20"/>
        <v>#DIV/0!</v>
      </c>
      <c r="V86" s="12" t="str">
        <f t="shared" si="20"/>
        <v>#DIV/0!</v>
      </c>
      <c r="W86" s="12" t="str">
        <f t="shared" si="20"/>
        <v>#DIV/0!</v>
      </c>
      <c r="X86" s="12" t="str">
        <f t="shared" si="20"/>
        <v>#DIV/0!</v>
      </c>
      <c r="Y86" s="12" t="str">
        <f t="shared" si="20"/>
        <v>#DIV/0!</v>
      </c>
      <c r="Z86" s="12"/>
      <c r="AA86" s="12"/>
      <c r="AB86" s="12"/>
      <c r="AC86" s="12"/>
      <c r="AD86" s="12"/>
      <c r="AE86" s="12"/>
      <c r="AF86" s="12"/>
      <c r="AG86" s="12"/>
      <c r="AH86" s="12"/>
      <c r="AI86" s="155"/>
      <c r="AJ86" s="156"/>
    </row>
    <row r="87" ht="15.75" customHeight="1">
      <c r="A87" s="12" t="s">
        <v>73</v>
      </c>
      <c r="B87" s="68" t="str">
        <f t="shared" si="17"/>
        <v>#DIV/0!</v>
      </c>
      <c r="C87" s="68" t="str">
        <f t="shared" si="14"/>
        <v>#DIV/0!</v>
      </c>
      <c r="D87" s="12" t="str">
        <f t="shared" ref="D87:Y87" si="21">D64/D27</f>
        <v>#DIV/0!</v>
      </c>
      <c r="E87" s="12" t="str">
        <f t="shared" si="21"/>
        <v>#DIV/0!</v>
      </c>
      <c r="F87" s="12" t="str">
        <f t="shared" si="21"/>
        <v>#DIV/0!</v>
      </c>
      <c r="G87" s="12" t="str">
        <f t="shared" si="21"/>
        <v>#DIV/0!</v>
      </c>
      <c r="H87" s="12" t="str">
        <f t="shared" si="21"/>
        <v>#DIV/0!</v>
      </c>
      <c r="I87" s="12" t="str">
        <f t="shared" si="21"/>
        <v>#DIV/0!</v>
      </c>
      <c r="J87" s="12" t="str">
        <f t="shared" si="21"/>
        <v>#DIV/0!</v>
      </c>
      <c r="K87" s="12" t="str">
        <f t="shared" si="21"/>
        <v>#DIV/0!</v>
      </c>
      <c r="L87" s="12" t="str">
        <f t="shared" si="21"/>
        <v>#DIV/0!</v>
      </c>
      <c r="M87" s="12" t="str">
        <f t="shared" si="21"/>
        <v>#DIV/0!</v>
      </c>
      <c r="N87" s="12" t="str">
        <f t="shared" si="21"/>
        <v>#DIV/0!</v>
      </c>
      <c r="O87" s="12" t="str">
        <f t="shared" si="21"/>
        <v>#DIV/0!</v>
      </c>
      <c r="P87" s="12" t="str">
        <f t="shared" si="21"/>
        <v>#DIV/0!</v>
      </c>
      <c r="Q87" s="12" t="str">
        <f t="shared" si="21"/>
        <v>#DIV/0!</v>
      </c>
      <c r="R87" s="12" t="str">
        <f t="shared" si="21"/>
        <v>#DIV/0!</v>
      </c>
      <c r="S87" s="12" t="str">
        <f t="shared" si="21"/>
        <v>#DIV/0!</v>
      </c>
      <c r="T87" s="12" t="str">
        <f t="shared" si="21"/>
        <v>#DIV/0!</v>
      </c>
      <c r="U87" s="12" t="str">
        <f t="shared" si="21"/>
        <v>#DIV/0!</v>
      </c>
      <c r="V87" s="12" t="str">
        <f t="shared" si="21"/>
        <v>#DIV/0!</v>
      </c>
      <c r="W87" s="12" t="str">
        <f t="shared" si="21"/>
        <v>#DIV/0!</v>
      </c>
      <c r="X87" s="12" t="str">
        <f t="shared" si="21"/>
        <v>#DIV/0!</v>
      </c>
      <c r="Y87" s="12" t="str">
        <f t="shared" si="21"/>
        <v>#DIV/0!</v>
      </c>
      <c r="Z87" s="12"/>
      <c r="AA87" s="12"/>
      <c r="AB87" s="12"/>
      <c r="AC87" s="12"/>
      <c r="AD87" s="12"/>
      <c r="AE87" s="12"/>
      <c r="AF87" s="12"/>
      <c r="AG87" s="12"/>
      <c r="AH87" s="12"/>
      <c r="AI87" s="155"/>
      <c r="AJ87" s="156"/>
    </row>
    <row r="88" ht="15.75" customHeight="1">
      <c r="A88" s="185" t="s">
        <v>74</v>
      </c>
      <c r="B88" s="186" t="str">
        <f t="shared" si="17"/>
        <v>#DIV/0!</v>
      </c>
      <c r="C88" s="186" t="str">
        <f t="shared" si="14"/>
        <v>#DIV/0!</v>
      </c>
      <c r="D88" s="13" t="str">
        <f t="shared" ref="D88:Y88" si="22">D24/D25</f>
        <v>#DIV/0!</v>
      </c>
      <c r="E88" s="13" t="str">
        <f t="shared" si="22"/>
        <v>#DIV/0!</v>
      </c>
      <c r="F88" s="13" t="str">
        <f t="shared" si="22"/>
        <v>#DIV/0!</v>
      </c>
      <c r="G88" s="13" t="str">
        <f t="shared" si="22"/>
        <v>#DIV/0!</v>
      </c>
      <c r="H88" s="13" t="str">
        <f t="shared" si="22"/>
        <v>#DIV/0!</v>
      </c>
      <c r="I88" s="13" t="str">
        <f t="shared" si="22"/>
        <v>#DIV/0!</v>
      </c>
      <c r="J88" s="13" t="str">
        <f t="shared" si="22"/>
        <v>#DIV/0!</v>
      </c>
      <c r="K88" s="13" t="str">
        <f t="shared" si="22"/>
        <v>#DIV/0!</v>
      </c>
      <c r="L88" s="13" t="str">
        <f t="shared" si="22"/>
        <v>#DIV/0!</v>
      </c>
      <c r="M88" s="13" t="str">
        <f t="shared" si="22"/>
        <v>#DIV/0!</v>
      </c>
      <c r="N88" s="13" t="str">
        <f t="shared" si="22"/>
        <v>#DIV/0!</v>
      </c>
      <c r="O88" s="13" t="str">
        <f t="shared" si="22"/>
        <v>#DIV/0!</v>
      </c>
      <c r="P88" s="13" t="str">
        <f t="shared" si="22"/>
        <v>#DIV/0!</v>
      </c>
      <c r="Q88" s="13" t="str">
        <f t="shared" si="22"/>
        <v>#DIV/0!</v>
      </c>
      <c r="R88" s="13" t="str">
        <f t="shared" si="22"/>
        <v>#DIV/0!</v>
      </c>
      <c r="S88" s="13" t="str">
        <f t="shared" si="22"/>
        <v>#DIV/0!</v>
      </c>
      <c r="T88" s="13" t="str">
        <f t="shared" si="22"/>
        <v>#DIV/0!</v>
      </c>
      <c r="U88" s="13" t="str">
        <f t="shared" si="22"/>
        <v>#DIV/0!</v>
      </c>
      <c r="V88" s="13" t="str">
        <f t="shared" si="22"/>
        <v>#DIV/0!</v>
      </c>
      <c r="W88" s="13" t="str">
        <f t="shared" si="22"/>
        <v>#DIV/0!</v>
      </c>
      <c r="X88" s="13" t="str">
        <f t="shared" si="22"/>
        <v>#DIV/0!</v>
      </c>
      <c r="Y88" s="13" t="str">
        <f t="shared" si="22"/>
        <v>#DIV/0!</v>
      </c>
      <c r="Z88" s="13"/>
      <c r="AA88" s="13"/>
      <c r="AB88" s="13"/>
      <c r="AC88" s="13"/>
      <c r="AD88" s="13"/>
      <c r="AE88" s="13"/>
      <c r="AF88" s="13"/>
      <c r="AG88" s="13"/>
      <c r="AH88" s="13"/>
      <c r="AI88" s="187"/>
      <c r="AJ88" s="188"/>
    </row>
    <row r="89" ht="15.75" customHeight="1">
      <c r="A89" s="60"/>
      <c r="B89" s="92"/>
      <c r="C89" s="92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189"/>
      <c r="AI89" s="150"/>
      <c r="AJ89" s="151"/>
    </row>
    <row r="90" ht="15.75" customHeight="1">
      <c r="A90" s="60" t="s">
        <v>64</v>
      </c>
      <c r="B90" s="92"/>
      <c r="C90" s="92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189"/>
      <c r="AI90" s="150"/>
      <c r="AJ90" s="151"/>
    </row>
    <row r="91" ht="15.75" customHeight="1">
      <c r="A91" s="60" t="s">
        <v>75</v>
      </c>
      <c r="B91" s="92"/>
      <c r="C91" s="92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189"/>
      <c r="AI91" s="150"/>
      <c r="AJ91" s="151"/>
    </row>
    <row r="92" ht="15.75" customHeight="1">
      <c r="A92" s="60"/>
      <c r="B92" s="92"/>
      <c r="C92" s="92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189"/>
      <c r="AI92" s="150"/>
      <c r="AJ92" s="151"/>
    </row>
    <row r="93" ht="15.75" customHeight="1">
      <c r="A93" s="56" t="s">
        <v>76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144"/>
      <c r="AI93" s="145"/>
      <c r="AJ93" s="146"/>
    </row>
    <row r="94" ht="15.75" customHeight="1">
      <c r="A94" s="60" t="s">
        <v>77</v>
      </c>
      <c r="B94" s="92">
        <f t="shared" ref="B94:B96" si="23">SUM(D94:AH94)</f>
        <v>0</v>
      </c>
      <c r="C94" s="152" t="str">
        <f t="shared" ref="C94:C98" si="24">AVERAGE(D94:AH94)</f>
        <v>#DIV/0!</v>
      </c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153"/>
      <c r="AI94" s="150"/>
      <c r="AJ94" s="151"/>
    </row>
    <row r="95" ht="15.75" customHeight="1">
      <c r="A95" s="60" t="s">
        <v>78</v>
      </c>
      <c r="B95" s="92">
        <f t="shared" si="23"/>
        <v>0</v>
      </c>
      <c r="C95" s="152" t="str">
        <f t="shared" si="24"/>
        <v>#DIV/0!</v>
      </c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153"/>
      <c r="AI95" s="150"/>
      <c r="AJ95" s="151"/>
    </row>
    <row r="96" ht="15.75" customHeight="1">
      <c r="A96" s="65" t="s">
        <v>79</v>
      </c>
      <c r="B96" s="92">
        <f t="shared" si="23"/>
        <v>0</v>
      </c>
      <c r="C96" s="152" t="str">
        <f t="shared" si="24"/>
        <v>#DIV/0!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153"/>
      <c r="AI96" s="150"/>
      <c r="AJ96" s="151"/>
    </row>
    <row r="97" ht="15.75" customHeight="1">
      <c r="A97" s="60" t="s">
        <v>80</v>
      </c>
      <c r="B97" s="109">
        <v>8022259.0</v>
      </c>
      <c r="C97" s="92" t="str">
        <f t="shared" si="24"/>
        <v>#DIV/0!</v>
      </c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189"/>
      <c r="AI97" s="150"/>
      <c r="AJ97" s="151"/>
    </row>
    <row r="98" ht="15.75" customHeight="1">
      <c r="A98" s="60" t="s">
        <v>81</v>
      </c>
      <c r="B98" s="109">
        <v>5490590.0</v>
      </c>
      <c r="C98" s="92" t="str">
        <f t="shared" si="24"/>
        <v>#DIV/0!</v>
      </c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189"/>
      <c r="AI98" s="150"/>
      <c r="AJ98" s="151"/>
    </row>
    <row r="99" ht="15.75" customHeight="1">
      <c r="A99" s="65" t="s">
        <v>82</v>
      </c>
      <c r="B99" s="191"/>
      <c r="C99" s="92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189"/>
      <c r="AI99" s="150"/>
      <c r="AJ99" s="151"/>
    </row>
    <row r="100" ht="15.75" customHeight="1">
      <c r="A100" s="65" t="s">
        <v>83</v>
      </c>
      <c r="B100" s="191"/>
      <c r="C100" s="92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189"/>
      <c r="AI100" s="150"/>
      <c r="AJ100" s="151"/>
    </row>
    <row r="101" ht="15.75" customHeight="1">
      <c r="A101" s="60" t="s">
        <v>84</v>
      </c>
      <c r="B101" s="92">
        <f>SUM(D101:AH101)</f>
        <v>0</v>
      </c>
      <c r="C101" s="92" t="str">
        <f t="shared" ref="C101:C112" si="25">AVERAGE(D101:AH101)</f>
        <v>#DIV/0!</v>
      </c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189"/>
      <c r="AI101" s="150"/>
      <c r="AJ101" s="151"/>
    </row>
    <row r="102" ht="15.75" customHeight="1">
      <c r="A102" s="60" t="s">
        <v>85</v>
      </c>
      <c r="B102" s="109">
        <v>2531669.0</v>
      </c>
      <c r="C102" s="92" t="str">
        <f t="shared" si="25"/>
        <v>#DIV/0!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189"/>
      <c r="AI102" s="150"/>
      <c r="AJ102" s="151"/>
    </row>
    <row r="103" ht="15.75" customHeight="1">
      <c r="A103" s="60" t="s">
        <v>86</v>
      </c>
      <c r="B103" s="92">
        <f t="shared" ref="B103:B109" si="26">SUM(D103:AH103)</f>
        <v>0</v>
      </c>
      <c r="C103" s="92" t="str">
        <f t="shared" si="25"/>
        <v>#DIV/0!</v>
      </c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189"/>
      <c r="AI103" s="150"/>
      <c r="AJ103" s="151"/>
    </row>
    <row r="104" ht="15.75" customHeight="1">
      <c r="A104" s="60" t="s">
        <v>87</v>
      </c>
      <c r="B104" s="92">
        <f t="shared" si="26"/>
        <v>0</v>
      </c>
      <c r="C104" s="92" t="str">
        <f t="shared" si="25"/>
        <v>#DIV/0!</v>
      </c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189"/>
      <c r="AI104" s="150"/>
      <c r="AJ104" s="151"/>
    </row>
    <row r="105" ht="15.75" customHeight="1">
      <c r="A105" s="104" t="s">
        <v>299</v>
      </c>
      <c r="B105" s="108">
        <f t="shared" si="26"/>
        <v>100000</v>
      </c>
      <c r="C105" s="108">
        <f t="shared" si="25"/>
        <v>100000</v>
      </c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>
        <v>100000.0</v>
      </c>
      <c r="AA105" s="104"/>
      <c r="AB105" s="104"/>
      <c r="AC105" s="104"/>
      <c r="AD105" s="104"/>
      <c r="AE105" s="104"/>
      <c r="AF105" s="104"/>
      <c r="AG105" s="104"/>
      <c r="AH105" s="167"/>
      <c r="AI105" s="164"/>
      <c r="AJ105" s="165"/>
    </row>
    <row r="106" ht="15.75" customHeight="1">
      <c r="A106" s="60" t="s">
        <v>89</v>
      </c>
      <c r="B106" s="108">
        <f t="shared" si="26"/>
        <v>0</v>
      </c>
      <c r="C106" s="92" t="str">
        <f t="shared" si="25"/>
        <v>#DIV/0!</v>
      </c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226"/>
      <c r="Q106" s="104"/>
      <c r="R106" s="104"/>
      <c r="S106" s="104"/>
      <c r="T106" s="104"/>
      <c r="U106" s="104"/>
      <c r="V106" s="104"/>
      <c r="W106" s="104"/>
      <c r="X106" s="104"/>
      <c r="Y106" s="65"/>
      <c r="Z106" s="60"/>
      <c r="AA106" s="60"/>
      <c r="AB106" s="60"/>
      <c r="AC106" s="60"/>
      <c r="AD106" s="60"/>
      <c r="AE106" s="60"/>
      <c r="AF106" s="60"/>
      <c r="AG106" s="60"/>
      <c r="AH106" s="189"/>
      <c r="AI106" s="150"/>
      <c r="AJ106" s="151"/>
    </row>
    <row r="107" ht="15.75" customHeight="1">
      <c r="A107" s="60" t="s">
        <v>90</v>
      </c>
      <c r="B107" s="108">
        <f t="shared" si="26"/>
        <v>0</v>
      </c>
      <c r="C107" s="108" t="str">
        <f t="shared" si="25"/>
        <v>#DIV/0!</v>
      </c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65"/>
      <c r="U107" s="65"/>
      <c r="V107" s="65"/>
      <c r="W107" s="65"/>
      <c r="X107" s="65"/>
      <c r="Y107" s="65"/>
      <c r="Z107" s="60"/>
      <c r="AA107" s="60"/>
      <c r="AB107" s="60"/>
      <c r="AC107" s="60"/>
      <c r="AD107" s="60"/>
      <c r="AE107" s="60"/>
      <c r="AF107" s="60"/>
      <c r="AG107" s="60"/>
      <c r="AH107" s="189"/>
      <c r="AI107" s="150"/>
      <c r="AJ107" s="151"/>
    </row>
    <row r="108" ht="15.75" customHeight="1">
      <c r="A108" s="60" t="s">
        <v>91</v>
      </c>
      <c r="B108" s="108">
        <f t="shared" si="26"/>
        <v>0</v>
      </c>
      <c r="C108" s="108" t="str">
        <f t="shared" si="25"/>
        <v>#DIV/0!</v>
      </c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60"/>
      <c r="AA108" s="60"/>
      <c r="AB108" s="60"/>
      <c r="AC108" s="60"/>
      <c r="AD108" s="60"/>
      <c r="AE108" s="60"/>
      <c r="AF108" s="60"/>
      <c r="AG108" s="60"/>
      <c r="AH108" s="189"/>
      <c r="AI108" s="150"/>
      <c r="AJ108" s="151"/>
    </row>
    <row r="109" ht="15.75" customHeight="1">
      <c r="A109" s="11" t="s">
        <v>92</v>
      </c>
      <c r="B109" s="108">
        <f t="shared" si="26"/>
        <v>0</v>
      </c>
      <c r="C109" s="108">
        <f t="shared" si="25"/>
        <v>0</v>
      </c>
      <c r="D109" s="104">
        <f t="shared" ref="D109:Y109" si="27">SUM(D106:D108)</f>
        <v>0</v>
      </c>
      <c r="E109" s="104">
        <f t="shared" si="27"/>
        <v>0</v>
      </c>
      <c r="F109" s="104">
        <f t="shared" si="27"/>
        <v>0</v>
      </c>
      <c r="G109" s="104">
        <f t="shared" si="27"/>
        <v>0</v>
      </c>
      <c r="H109" s="104">
        <f t="shared" si="27"/>
        <v>0</v>
      </c>
      <c r="I109" s="104">
        <f t="shared" si="27"/>
        <v>0</v>
      </c>
      <c r="J109" s="104">
        <f t="shared" si="27"/>
        <v>0</v>
      </c>
      <c r="K109" s="104">
        <f t="shared" si="27"/>
        <v>0</v>
      </c>
      <c r="L109" s="104">
        <f t="shared" si="27"/>
        <v>0</v>
      </c>
      <c r="M109" s="104">
        <f t="shared" si="27"/>
        <v>0</v>
      </c>
      <c r="N109" s="104">
        <f t="shared" si="27"/>
        <v>0</v>
      </c>
      <c r="O109" s="104">
        <f t="shared" si="27"/>
        <v>0</v>
      </c>
      <c r="P109" s="104">
        <f t="shared" si="27"/>
        <v>0</v>
      </c>
      <c r="Q109" s="104">
        <f t="shared" si="27"/>
        <v>0</v>
      </c>
      <c r="R109" s="104">
        <f t="shared" si="27"/>
        <v>0</v>
      </c>
      <c r="S109" s="104">
        <f t="shared" si="27"/>
        <v>0</v>
      </c>
      <c r="T109" s="104">
        <f t="shared" si="27"/>
        <v>0</v>
      </c>
      <c r="U109" s="104">
        <f t="shared" si="27"/>
        <v>0</v>
      </c>
      <c r="V109" s="104">
        <f t="shared" si="27"/>
        <v>0</v>
      </c>
      <c r="W109" s="104">
        <f t="shared" si="27"/>
        <v>0</v>
      </c>
      <c r="X109" s="104">
        <f t="shared" si="27"/>
        <v>0</v>
      </c>
      <c r="Y109" s="104">
        <f t="shared" si="27"/>
        <v>0</v>
      </c>
      <c r="Z109" s="104"/>
      <c r="AA109" s="104"/>
      <c r="AB109" s="104"/>
      <c r="AC109" s="104"/>
      <c r="AD109" s="104"/>
      <c r="AE109" s="104"/>
      <c r="AF109" s="104"/>
      <c r="AG109" s="167"/>
      <c r="AH109" s="167"/>
      <c r="AI109" s="164"/>
      <c r="AJ109" s="165"/>
    </row>
    <row r="110" ht="15.75" customHeight="1">
      <c r="A110" s="60" t="s">
        <v>93</v>
      </c>
      <c r="B110" s="108">
        <f>B102-B108</f>
        <v>2531669</v>
      </c>
      <c r="C110" s="92" t="str">
        <f t="shared" si="25"/>
        <v>#DIV/0!</v>
      </c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189"/>
      <c r="AI110" s="150"/>
      <c r="AJ110" s="151"/>
    </row>
    <row r="111" ht="15.75" customHeight="1">
      <c r="A111" s="60" t="s">
        <v>94</v>
      </c>
      <c r="B111" s="68" t="str">
        <f>B95/B94</f>
        <v>#DIV/0!</v>
      </c>
      <c r="C111" s="92" t="str">
        <f t="shared" si="25"/>
        <v>#DIV/0!</v>
      </c>
      <c r="D111" s="12" t="str">
        <f t="shared" ref="D111:Y111" si="28">D95/D94</f>
        <v>#DIV/0!</v>
      </c>
      <c r="E111" s="12" t="str">
        <f t="shared" si="28"/>
        <v>#DIV/0!</v>
      </c>
      <c r="F111" s="12" t="str">
        <f t="shared" si="28"/>
        <v>#DIV/0!</v>
      </c>
      <c r="G111" s="12" t="str">
        <f t="shared" si="28"/>
        <v>#DIV/0!</v>
      </c>
      <c r="H111" s="12" t="str">
        <f t="shared" si="28"/>
        <v>#DIV/0!</v>
      </c>
      <c r="I111" s="12" t="str">
        <f t="shared" si="28"/>
        <v>#DIV/0!</v>
      </c>
      <c r="J111" s="12" t="str">
        <f t="shared" si="28"/>
        <v>#DIV/0!</v>
      </c>
      <c r="K111" s="12" t="str">
        <f t="shared" si="28"/>
        <v>#DIV/0!</v>
      </c>
      <c r="L111" s="12" t="str">
        <f t="shared" si="28"/>
        <v>#DIV/0!</v>
      </c>
      <c r="M111" s="12" t="str">
        <f t="shared" si="28"/>
        <v>#DIV/0!</v>
      </c>
      <c r="N111" s="12" t="str">
        <f t="shared" si="28"/>
        <v>#DIV/0!</v>
      </c>
      <c r="O111" s="12" t="str">
        <f t="shared" si="28"/>
        <v>#DIV/0!</v>
      </c>
      <c r="P111" s="12" t="str">
        <f t="shared" si="28"/>
        <v>#DIV/0!</v>
      </c>
      <c r="Q111" s="12" t="str">
        <f t="shared" si="28"/>
        <v>#DIV/0!</v>
      </c>
      <c r="R111" s="12" t="str">
        <f t="shared" si="28"/>
        <v>#DIV/0!</v>
      </c>
      <c r="S111" s="12" t="str">
        <f t="shared" si="28"/>
        <v>#DIV/0!</v>
      </c>
      <c r="T111" s="12" t="str">
        <f t="shared" si="28"/>
        <v>#DIV/0!</v>
      </c>
      <c r="U111" s="12" t="str">
        <f t="shared" si="28"/>
        <v>#DIV/0!</v>
      </c>
      <c r="V111" s="12" t="str">
        <f t="shared" si="28"/>
        <v>#DIV/0!</v>
      </c>
      <c r="W111" s="12" t="str">
        <f t="shared" si="28"/>
        <v>#DIV/0!</v>
      </c>
      <c r="X111" s="12" t="str">
        <f t="shared" si="28"/>
        <v>#DIV/0!</v>
      </c>
      <c r="Y111" s="12" t="str">
        <f t="shared" si="28"/>
        <v>#DIV/0!</v>
      </c>
      <c r="Z111" s="12"/>
      <c r="AA111" s="12"/>
      <c r="AB111" s="12"/>
      <c r="AC111" s="12"/>
      <c r="AD111" s="12"/>
      <c r="AE111" s="12"/>
      <c r="AF111" s="12"/>
      <c r="AG111" s="12"/>
      <c r="AH111" s="12"/>
      <c r="AI111" s="155"/>
      <c r="AJ111" s="156"/>
    </row>
    <row r="112" ht="15.75" customHeight="1">
      <c r="A112" s="60" t="s">
        <v>95</v>
      </c>
      <c r="B112" s="92">
        <f>SUM(D112:AH112)</f>
        <v>0</v>
      </c>
      <c r="C112" s="92" t="str">
        <f t="shared" si="25"/>
        <v>#DIV/0!</v>
      </c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189"/>
      <c r="AI112" s="150"/>
      <c r="AJ112" s="151"/>
    </row>
    <row r="113" ht="15.75" customHeight="1">
      <c r="A113" s="60" t="s">
        <v>75</v>
      </c>
      <c r="B113" s="92"/>
      <c r="C113" s="92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189"/>
      <c r="AI113" s="150"/>
      <c r="AJ113" s="151"/>
    </row>
    <row r="114" ht="15.75" customHeight="1">
      <c r="A114" s="60"/>
      <c r="B114" s="92"/>
      <c r="C114" s="92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189"/>
      <c r="AI114" s="150"/>
      <c r="AJ114" s="151"/>
    </row>
    <row r="115" ht="15.75" customHeight="1">
      <c r="A115" s="56" t="s">
        <v>96</v>
      </c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144"/>
      <c r="AI115" s="145"/>
      <c r="AJ115" s="146"/>
    </row>
    <row r="116" ht="15.75" customHeight="1">
      <c r="A116" s="11" t="s">
        <v>97</v>
      </c>
      <c r="B116" s="108">
        <f t="shared" ref="B116:B126" si="29">SUM(D116:AH116)</f>
        <v>0</v>
      </c>
      <c r="C116" s="108" t="str">
        <f t="shared" ref="C116:C130" si="30">AVERAGE(D116:AH116)</f>
        <v>#DIV/0!</v>
      </c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67"/>
      <c r="AI116" s="164"/>
      <c r="AJ116" s="165"/>
    </row>
    <row r="117" ht="15.75" customHeight="1">
      <c r="A117" s="11" t="s">
        <v>98</v>
      </c>
      <c r="B117" s="108">
        <f t="shared" si="29"/>
        <v>0</v>
      </c>
      <c r="C117" s="108" t="str">
        <f t="shared" si="30"/>
        <v>#DIV/0!</v>
      </c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67"/>
      <c r="AI117" s="164"/>
      <c r="AJ117" s="165"/>
    </row>
    <row r="118" ht="15.75" customHeight="1">
      <c r="A118" s="60" t="s">
        <v>99</v>
      </c>
      <c r="B118" s="92">
        <f t="shared" si="29"/>
        <v>0</v>
      </c>
      <c r="C118" s="152" t="str">
        <f t="shared" si="30"/>
        <v>#DIV/0!</v>
      </c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153"/>
      <c r="AI118" s="150"/>
      <c r="AJ118" s="151"/>
    </row>
    <row r="119" ht="15.75" customHeight="1">
      <c r="A119" s="60" t="s">
        <v>100</v>
      </c>
      <c r="B119" s="92">
        <f t="shared" si="29"/>
        <v>0</v>
      </c>
      <c r="C119" s="152" t="str">
        <f t="shared" si="30"/>
        <v>#DIV/0!</v>
      </c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153"/>
      <c r="AI119" s="150"/>
      <c r="AJ119" s="151"/>
    </row>
    <row r="120" ht="15.75" customHeight="1">
      <c r="A120" s="11" t="s">
        <v>101</v>
      </c>
      <c r="B120" s="108">
        <f t="shared" si="29"/>
        <v>0</v>
      </c>
      <c r="C120" s="108" t="str">
        <f t="shared" si="30"/>
        <v>#DIV/0!</v>
      </c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64"/>
      <c r="AJ120" s="165"/>
    </row>
    <row r="121" ht="15.75" customHeight="1">
      <c r="A121" s="11" t="s">
        <v>102</v>
      </c>
      <c r="B121" s="108">
        <f t="shared" si="29"/>
        <v>0</v>
      </c>
      <c r="C121" s="108" t="str">
        <f t="shared" si="30"/>
        <v>#DIV/0!</v>
      </c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64"/>
      <c r="AJ121" s="165"/>
    </row>
    <row r="122" ht="15.75" customHeight="1">
      <c r="A122" s="60" t="s">
        <v>103</v>
      </c>
      <c r="B122" s="92">
        <f t="shared" si="29"/>
        <v>0</v>
      </c>
      <c r="C122" s="92" t="str">
        <f t="shared" si="30"/>
        <v>#DIV/0!</v>
      </c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150"/>
      <c r="AJ122" s="151"/>
    </row>
    <row r="123" ht="15.75" customHeight="1">
      <c r="A123" s="60" t="s">
        <v>104</v>
      </c>
      <c r="B123" s="92">
        <f t="shared" si="29"/>
        <v>0</v>
      </c>
      <c r="C123" s="92" t="str">
        <f t="shared" si="30"/>
        <v>#DIV/0!</v>
      </c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150"/>
      <c r="AJ123" s="151"/>
    </row>
    <row r="124" ht="15.75" customHeight="1">
      <c r="A124" s="60" t="s">
        <v>105</v>
      </c>
      <c r="B124" s="92">
        <f t="shared" si="29"/>
        <v>0</v>
      </c>
      <c r="C124" s="152">
        <f t="shared" si="30"/>
        <v>0</v>
      </c>
      <c r="D124" s="60">
        <f t="shared" ref="D124:AH124" si="31">D118+D122</f>
        <v>0</v>
      </c>
      <c r="E124" s="60">
        <f t="shared" si="31"/>
        <v>0</v>
      </c>
      <c r="F124" s="60">
        <f t="shared" si="31"/>
        <v>0</v>
      </c>
      <c r="G124" s="60">
        <f t="shared" si="31"/>
        <v>0</v>
      </c>
      <c r="H124" s="60">
        <f t="shared" si="31"/>
        <v>0</v>
      </c>
      <c r="I124" s="60">
        <f t="shared" si="31"/>
        <v>0</v>
      </c>
      <c r="J124" s="60">
        <f t="shared" si="31"/>
        <v>0</v>
      </c>
      <c r="K124" s="60">
        <f t="shared" si="31"/>
        <v>0</v>
      </c>
      <c r="L124" s="60">
        <f t="shared" si="31"/>
        <v>0</v>
      </c>
      <c r="M124" s="60">
        <f t="shared" si="31"/>
        <v>0</v>
      </c>
      <c r="N124" s="60">
        <f t="shared" si="31"/>
        <v>0</v>
      </c>
      <c r="O124" s="60">
        <f t="shared" si="31"/>
        <v>0</v>
      </c>
      <c r="P124" s="60">
        <f t="shared" si="31"/>
        <v>0</v>
      </c>
      <c r="Q124" s="60">
        <f t="shared" si="31"/>
        <v>0</v>
      </c>
      <c r="R124" s="60">
        <f t="shared" si="31"/>
        <v>0</v>
      </c>
      <c r="S124" s="60">
        <f t="shared" si="31"/>
        <v>0</v>
      </c>
      <c r="T124" s="60">
        <f t="shared" si="31"/>
        <v>0</v>
      </c>
      <c r="U124" s="60">
        <f t="shared" si="31"/>
        <v>0</v>
      </c>
      <c r="V124" s="60">
        <f t="shared" si="31"/>
        <v>0</v>
      </c>
      <c r="W124" s="60">
        <f t="shared" si="31"/>
        <v>0</v>
      </c>
      <c r="X124" s="60">
        <f t="shared" si="31"/>
        <v>0</v>
      </c>
      <c r="Y124" s="60">
        <f t="shared" si="31"/>
        <v>0</v>
      </c>
      <c r="Z124" s="60">
        <f t="shared" si="31"/>
        <v>0</v>
      </c>
      <c r="AA124" s="60">
        <f t="shared" si="31"/>
        <v>0</v>
      </c>
      <c r="AB124" s="60">
        <f t="shared" si="31"/>
        <v>0</v>
      </c>
      <c r="AC124" s="60">
        <f t="shared" si="31"/>
        <v>0</v>
      </c>
      <c r="AD124" s="60">
        <f t="shared" si="31"/>
        <v>0</v>
      </c>
      <c r="AE124" s="60">
        <f t="shared" si="31"/>
        <v>0</v>
      </c>
      <c r="AF124" s="60">
        <f t="shared" si="31"/>
        <v>0</v>
      </c>
      <c r="AG124" s="60">
        <f t="shared" si="31"/>
        <v>0</v>
      </c>
      <c r="AH124" s="60">
        <f t="shared" si="31"/>
        <v>0</v>
      </c>
      <c r="AI124" s="150"/>
      <c r="AJ124" s="151"/>
    </row>
    <row r="125" ht="15.75" customHeight="1">
      <c r="A125" s="11" t="s">
        <v>106</v>
      </c>
      <c r="B125" s="108">
        <f t="shared" si="29"/>
        <v>0</v>
      </c>
      <c r="C125" s="108">
        <f t="shared" si="30"/>
        <v>0</v>
      </c>
      <c r="D125" s="11">
        <f t="shared" ref="D125:AH125" si="32">D116+D120</f>
        <v>0</v>
      </c>
      <c r="E125" s="11">
        <f t="shared" si="32"/>
        <v>0</v>
      </c>
      <c r="F125" s="11">
        <f t="shared" si="32"/>
        <v>0</v>
      </c>
      <c r="G125" s="11">
        <f t="shared" si="32"/>
        <v>0</v>
      </c>
      <c r="H125" s="11">
        <f t="shared" si="32"/>
        <v>0</v>
      </c>
      <c r="I125" s="11">
        <f t="shared" si="32"/>
        <v>0</v>
      </c>
      <c r="J125" s="11">
        <f t="shared" si="32"/>
        <v>0</v>
      </c>
      <c r="K125" s="11">
        <f t="shared" si="32"/>
        <v>0</v>
      </c>
      <c r="L125" s="11">
        <f t="shared" si="32"/>
        <v>0</v>
      </c>
      <c r="M125" s="11">
        <f t="shared" si="32"/>
        <v>0</v>
      </c>
      <c r="N125" s="11">
        <f t="shared" si="32"/>
        <v>0</v>
      </c>
      <c r="O125" s="11">
        <f t="shared" si="32"/>
        <v>0</v>
      </c>
      <c r="P125" s="11">
        <f t="shared" si="32"/>
        <v>0</v>
      </c>
      <c r="Q125" s="11">
        <f t="shared" si="32"/>
        <v>0</v>
      </c>
      <c r="R125" s="11">
        <f t="shared" si="32"/>
        <v>0</v>
      </c>
      <c r="S125" s="11">
        <f t="shared" si="32"/>
        <v>0</v>
      </c>
      <c r="T125" s="11">
        <f t="shared" si="32"/>
        <v>0</v>
      </c>
      <c r="U125" s="11">
        <f t="shared" si="32"/>
        <v>0</v>
      </c>
      <c r="V125" s="11">
        <f t="shared" si="32"/>
        <v>0</v>
      </c>
      <c r="W125" s="11">
        <f t="shared" si="32"/>
        <v>0</v>
      </c>
      <c r="X125" s="11">
        <f t="shared" si="32"/>
        <v>0</v>
      </c>
      <c r="Y125" s="11">
        <f t="shared" si="32"/>
        <v>0</v>
      </c>
      <c r="Z125" s="11">
        <f t="shared" si="32"/>
        <v>0</v>
      </c>
      <c r="AA125" s="11">
        <f t="shared" si="32"/>
        <v>0</v>
      </c>
      <c r="AB125" s="11">
        <f t="shared" si="32"/>
        <v>0</v>
      </c>
      <c r="AC125" s="11">
        <f t="shared" si="32"/>
        <v>0</v>
      </c>
      <c r="AD125" s="11">
        <f t="shared" si="32"/>
        <v>0</v>
      </c>
      <c r="AE125" s="11">
        <f t="shared" si="32"/>
        <v>0</v>
      </c>
      <c r="AF125" s="11">
        <f t="shared" si="32"/>
        <v>0</v>
      </c>
      <c r="AG125" s="11">
        <f t="shared" si="32"/>
        <v>0</v>
      </c>
      <c r="AH125" s="11">
        <f t="shared" si="32"/>
        <v>0</v>
      </c>
      <c r="AI125" s="164"/>
      <c r="AJ125" s="165"/>
    </row>
    <row r="126" ht="15.75" customHeight="1">
      <c r="A126" s="11" t="s">
        <v>107</v>
      </c>
      <c r="B126" s="108">
        <f t="shared" si="29"/>
        <v>0</v>
      </c>
      <c r="C126" s="108">
        <f t="shared" si="30"/>
        <v>0</v>
      </c>
      <c r="D126" s="11">
        <f t="shared" ref="D126:AH126" si="33">D117+D121</f>
        <v>0</v>
      </c>
      <c r="E126" s="11">
        <f t="shared" si="33"/>
        <v>0</v>
      </c>
      <c r="F126" s="11">
        <f t="shared" si="33"/>
        <v>0</v>
      </c>
      <c r="G126" s="11">
        <f t="shared" si="33"/>
        <v>0</v>
      </c>
      <c r="H126" s="11">
        <f t="shared" si="33"/>
        <v>0</v>
      </c>
      <c r="I126" s="11">
        <f t="shared" si="33"/>
        <v>0</v>
      </c>
      <c r="J126" s="11">
        <f t="shared" si="33"/>
        <v>0</v>
      </c>
      <c r="K126" s="11">
        <f t="shared" si="33"/>
        <v>0</v>
      </c>
      <c r="L126" s="11">
        <f t="shared" si="33"/>
        <v>0</v>
      </c>
      <c r="M126" s="11">
        <f t="shared" si="33"/>
        <v>0</v>
      </c>
      <c r="N126" s="11">
        <f t="shared" si="33"/>
        <v>0</v>
      </c>
      <c r="O126" s="11">
        <f t="shared" si="33"/>
        <v>0</v>
      </c>
      <c r="P126" s="11">
        <f t="shared" si="33"/>
        <v>0</v>
      </c>
      <c r="Q126" s="11">
        <f t="shared" si="33"/>
        <v>0</v>
      </c>
      <c r="R126" s="11">
        <f t="shared" si="33"/>
        <v>0</v>
      </c>
      <c r="S126" s="11">
        <f t="shared" si="33"/>
        <v>0</v>
      </c>
      <c r="T126" s="11">
        <f t="shared" si="33"/>
        <v>0</v>
      </c>
      <c r="U126" s="11">
        <f t="shared" si="33"/>
        <v>0</v>
      </c>
      <c r="V126" s="11">
        <f t="shared" si="33"/>
        <v>0</v>
      </c>
      <c r="W126" s="11">
        <f t="shared" si="33"/>
        <v>0</v>
      </c>
      <c r="X126" s="11">
        <f t="shared" si="33"/>
        <v>0</v>
      </c>
      <c r="Y126" s="11">
        <f t="shared" si="33"/>
        <v>0</v>
      </c>
      <c r="Z126" s="11">
        <f t="shared" si="33"/>
        <v>0</v>
      </c>
      <c r="AA126" s="11">
        <f t="shared" si="33"/>
        <v>0</v>
      </c>
      <c r="AB126" s="11">
        <f t="shared" si="33"/>
        <v>0</v>
      </c>
      <c r="AC126" s="11">
        <f t="shared" si="33"/>
        <v>0</v>
      </c>
      <c r="AD126" s="11">
        <f t="shared" si="33"/>
        <v>0</v>
      </c>
      <c r="AE126" s="11">
        <f t="shared" si="33"/>
        <v>0</v>
      </c>
      <c r="AF126" s="11">
        <f t="shared" si="33"/>
        <v>0</v>
      </c>
      <c r="AG126" s="11">
        <f t="shared" si="33"/>
        <v>0</v>
      </c>
      <c r="AH126" s="11">
        <f t="shared" si="33"/>
        <v>0</v>
      </c>
      <c r="AI126" s="164"/>
      <c r="AJ126" s="165"/>
    </row>
    <row r="127" ht="15.75" customHeight="1">
      <c r="A127" s="12" t="s">
        <v>40</v>
      </c>
      <c r="B127" s="68" t="str">
        <f>C127</f>
        <v>#DIV/0!</v>
      </c>
      <c r="C127" s="68" t="str">
        <f t="shared" si="30"/>
        <v>#DIV/0!</v>
      </c>
      <c r="D127" s="12" t="str">
        <f t="shared" ref="D127:S127" si="34">D126/D125</f>
        <v>#DIV/0!</v>
      </c>
      <c r="E127" s="12" t="str">
        <f t="shared" si="34"/>
        <v>#DIV/0!</v>
      </c>
      <c r="F127" s="12" t="str">
        <f t="shared" si="34"/>
        <v>#DIV/0!</v>
      </c>
      <c r="G127" s="12" t="str">
        <f t="shared" si="34"/>
        <v>#DIV/0!</v>
      </c>
      <c r="H127" s="12" t="str">
        <f t="shared" si="34"/>
        <v>#DIV/0!</v>
      </c>
      <c r="I127" s="12" t="str">
        <f t="shared" si="34"/>
        <v>#DIV/0!</v>
      </c>
      <c r="J127" s="12" t="str">
        <f t="shared" si="34"/>
        <v>#DIV/0!</v>
      </c>
      <c r="K127" s="12" t="str">
        <f t="shared" si="34"/>
        <v>#DIV/0!</v>
      </c>
      <c r="L127" s="12" t="str">
        <f t="shared" si="34"/>
        <v>#DIV/0!</v>
      </c>
      <c r="M127" s="12" t="str">
        <f t="shared" si="34"/>
        <v>#DIV/0!</v>
      </c>
      <c r="N127" s="12" t="str">
        <f t="shared" si="34"/>
        <v>#DIV/0!</v>
      </c>
      <c r="O127" s="12" t="str">
        <f t="shared" si="34"/>
        <v>#DIV/0!</v>
      </c>
      <c r="P127" s="12" t="str">
        <f t="shared" si="34"/>
        <v>#DIV/0!</v>
      </c>
      <c r="Q127" s="12" t="str">
        <f t="shared" si="34"/>
        <v>#DIV/0!</v>
      </c>
      <c r="R127" s="12" t="str">
        <f t="shared" si="34"/>
        <v>#DIV/0!</v>
      </c>
      <c r="S127" s="12" t="str">
        <f t="shared" si="34"/>
        <v>#DIV/0!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55"/>
      <c r="AJ127" s="156"/>
    </row>
    <row r="128" ht="15.75" customHeight="1">
      <c r="A128" s="11" t="s">
        <v>43</v>
      </c>
      <c r="B128" s="108">
        <f t="shared" ref="B128:B130" si="36">SUM(D128:AH128)</f>
        <v>0</v>
      </c>
      <c r="C128" s="108">
        <f t="shared" si="30"/>
        <v>0</v>
      </c>
      <c r="D128" s="11">
        <f t="shared" ref="D128:AH128" si="35">D125-D126</f>
        <v>0</v>
      </c>
      <c r="E128" s="11">
        <f t="shared" si="35"/>
        <v>0</v>
      </c>
      <c r="F128" s="11">
        <f t="shared" si="35"/>
        <v>0</v>
      </c>
      <c r="G128" s="11">
        <f t="shared" si="35"/>
        <v>0</v>
      </c>
      <c r="H128" s="11">
        <f t="shared" si="35"/>
        <v>0</v>
      </c>
      <c r="I128" s="11">
        <f t="shared" si="35"/>
        <v>0</v>
      </c>
      <c r="J128" s="11">
        <f t="shared" si="35"/>
        <v>0</v>
      </c>
      <c r="K128" s="11">
        <f t="shared" si="35"/>
        <v>0</v>
      </c>
      <c r="L128" s="11">
        <f t="shared" si="35"/>
        <v>0</v>
      </c>
      <c r="M128" s="11">
        <f t="shared" si="35"/>
        <v>0</v>
      </c>
      <c r="N128" s="11">
        <f t="shared" si="35"/>
        <v>0</v>
      </c>
      <c r="O128" s="11">
        <f t="shared" si="35"/>
        <v>0</v>
      </c>
      <c r="P128" s="11">
        <f t="shared" si="35"/>
        <v>0</v>
      </c>
      <c r="Q128" s="11">
        <f t="shared" si="35"/>
        <v>0</v>
      </c>
      <c r="R128" s="11">
        <f t="shared" si="35"/>
        <v>0</v>
      </c>
      <c r="S128" s="11">
        <f t="shared" si="35"/>
        <v>0</v>
      </c>
      <c r="T128" s="11">
        <f t="shared" si="35"/>
        <v>0</v>
      </c>
      <c r="U128" s="11">
        <f t="shared" si="35"/>
        <v>0</v>
      </c>
      <c r="V128" s="11">
        <f t="shared" si="35"/>
        <v>0</v>
      </c>
      <c r="W128" s="11">
        <f t="shared" si="35"/>
        <v>0</v>
      </c>
      <c r="X128" s="11">
        <f t="shared" si="35"/>
        <v>0</v>
      </c>
      <c r="Y128" s="11">
        <f t="shared" si="35"/>
        <v>0</v>
      </c>
      <c r="Z128" s="11">
        <f t="shared" si="35"/>
        <v>0</v>
      </c>
      <c r="AA128" s="11">
        <f t="shared" si="35"/>
        <v>0</v>
      </c>
      <c r="AB128" s="11">
        <f t="shared" si="35"/>
        <v>0</v>
      </c>
      <c r="AC128" s="11">
        <f t="shared" si="35"/>
        <v>0</v>
      </c>
      <c r="AD128" s="11">
        <f t="shared" si="35"/>
        <v>0</v>
      </c>
      <c r="AE128" s="11">
        <f t="shared" si="35"/>
        <v>0</v>
      </c>
      <c r="AF128" s="11">
        <f t="shared" si="35"/>
        <v>0</v>
      </c>
      <c r="AG128" s="11">
        <f t="shared" si="35"/>
        <v>0</v>
      </c>
      <c r="AH128" s="11">
        <f t="shared" si="35"/>
        <v>0</v>
      </c>
      <c r="AI128" s="164"/>
      <c r="AJ128" s="165"/>
    </row>
    <row r="129" ht="15.75" customHeight="1">
      <c r="A129" s="11" t="s">
        <v>108</v>
      </c>
      <c r="B129" s="108">
        <f t="shared" si="36"/>
        <v>0</v>
      </c>
      <c r="C129" s="108">
        <f t="shared" si="30"/>
        <v>0</v>
      </c>
      <c r="D129" s="104">
        <v>0.0</v>
      </c>
      <c r="E129" s="104">
        <v>0.0</v>
      </c>
      <c r="F129" s="104">
        <v>0.0</v>
      </c>
      <c r="G129" s="104">
        <v>0.0</v>
      </c>
      <c r="H129" s="104">
        <v>0.0</v>
      </c>
      <c r="I129" s="104">
        <v>0.0</v>
      </c>
      <c r="J129" s="104">
        <v>0.0</v>
      </c>
      <c r="K129" s="104">
        <v>0.0</v>
      </c>
      <c r="L129" s="104">
        <v>0.0</v>
      </c>
      <c r="M129" s="104">
        <v>0.0</v>
      </c>
      <c r="N129" s="104">
        <v>0.0</v>
      </c>
      <c r="O129" s="104">
        <v>0.0</v>
      </c>
      <c r="P129" s="104">
        <v>0.0</v>
      </c>
      <c r="Q129" s="104">
        <v>0.0</v>
      </c>
      <c r="R129" s="104">
        <v>0.0</v>
      </c>
      <c r="S129" s="104">
        <v>0.0</v>
      </c>
      <c r="T129" s="104">
        <v>0.0</v>
      </c>
      <c r="U129" s="104">
        <v>0.0</v>
      </c>
      <c r="V129" s="104">
        <v>0.0</v>
      </c>
      <c r="W129" s="104">
        <v>0.0</v>
      </c>
      <c r="X129" s="104">
        <v>0.0</v>
      </c>
      <c r="Y129" s="104">
        <v>0.0</v>
      </c>
      <c r="Z129" s="104">
        <v>0.0</v>
      </c>
      <c r="AA129" s="104">
        <v>0.0</v>
      </c>
      <c r="AB129" s="104">
        <v>0.0</v>
      </c>
      <c r="AC129" s="104">
        <v>0.0</v>
      </c>
      <c r="AD129" s="104">
        <v>0.0</v>
      </c>
      <c r="AE129" s="104">
        <v>0.0</v>
      </c>
      <c r="AF129" s="104">
        <v>0.0</v>
      </c>
      <c r="AG129" s="104">
        <v>0.0</v>
      </c>
      <c r="AH129" s="104">
        <v>0.0</v>
      </c>
      <c r="AI129" s="164"/>
      <c r="AJ129" s="165"/>
    </row>
    <row r="130" ht="15.75" customHeight="1">
      <c r="A130" s="11" t="s">
        <v>62</v>
      </c>
      <c r="B130" s="108">
        <f t="shared" si="36"/>
        <v>0</v>
      </c>
      <c r="C130" s="108">
        <f t="shared" si="30"/>
        <v>0</v>
      </c>
      <c r="D130" s="11">
        <f t="shared" ref="D130:AH130" si="37">D128-D129</f>
        <v>0</v>
      </c>
      <c r="E130" s="11">
        <f t="shared" si="37"/>
        <v>0</v>
      </c>
      <c r="F130" s="11">
        <f t="shared" si="37"/>
        <v>0</v>
      </c>
      <c r="G130" s="11">
        <f t="shared" si="37"/>
        <v>0</v>
      </c>
      <c r="H130" s="11">
        <f t="shared" si="37"/>
        <v>0</v>
      </c>
      <c r="I130" s="11">
        <f t="shared" si="37"/>
        <v>0</v>
      </c>
      <c r="J130" s="11">
        <f t="shared" si="37"/>
        <v>0</v>
      </c>
      <c r="K130" s="11">
        <f t="shared" si="37"/>
        <v>0</v>
      </c>
      <c r="L130" s="11">
        <f t="shared" si="37"/>
        <v>0</v>
      </c>
      <c r="M130" s="11">
        <f t="shared" si="37"/>
        <v>0</v>
      </c>
      <c r="N130" s="11">
        <f t="shared" si="37"/>
        <v>0</v>
      </c>
      <c r="O130" s="11">
        <f t="shared" si="37"/>
        <v>0</v>
      </c>
      <c r="P130" s="11">
        <f t="shared" si="37"/>
        <v>0</v>
      </c>
      <c r="Q130" s="11">
        <f t="shared" si="37"/>
        <v>0</v>
      </c>
      <c r="R130" s="11">
        <f t="shared" si="37"/>
        <v>0</v>
      </c>
      <c r="S130" s="11">
        <f t="shared" si="37"/>
        <v>0</v>
      </c>
      <c r="T130" s="11">
        <f t="shared" si="37"/>
        <v>0</v>
      </c>
      <c r="U130" s="11">
        <f t="shared" si="37"/>
        <v>0</v>
      </c>
      <c r="V130" s="11">
        <f t="shared" si="37"/>
        <v>0</v>
      </c>
      <c r="W130" s="11">
        <f t="shared" si="37"/>
        <v>0</v>
      </c>
      <c r="X130" s="11">
        <f t="shared" si="37"/>
        <v>0</v>
      </c>
      <c r="Y130" s="11">
        <f t="shared" si="37"/>
        <v>0</v>
      </c>
      <c r="Z130" s="11">
        <f t="shared" si="37"/>
        <v>0</v>
      </c>
      <c r="AA130" s="11">
        <f t="shared" si="37"/>
        <v>0</v>
      </c>
      <c r="AB130" s="11">
        <f t="shared" si="37"/>
        <v>0</v>
      </c>
      <c r="AC130" s="11">
        <f t="shared" si="37"/>
        <v>0</v>
      </c>
      <c r="AD130" s="11">
        <f t="shared" si="37"/>
        <v>0</v>
      </c>
      <c r="AE130" s="11">
        <f t="shared" si="37"/>
        <v>0</v>
      </c>
      <c r="AF130" s="11">
        <f t="shared" si="37"/>
        <v>0</v>
      </c>
      <c r="AG130" s="11">
        <f t="shared" si="37"/>
        <v>0</v>
      </c>
      <c r="AH130" s="11">
        <f t="shared" si="37"/>
        <v>0</v>
      </c>
      <c r="AI130" s="164"/>
      <c r="AJ130" s="165"/>
    </row>
    <row r="131" ht="15.75" customHeight="1">
      <c r="A131" s="60" t="s">
        <v>64</v>
      </c>
      <c r="B131" s="92"/>
      <c r="C131" s="92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189"/>
      <c r="AI131" s="150"/>
      <c r="AJ131" s="151"/>
    </row>
    <row r="132" ht="15.75" customHeight="1">
      <c r="A132" s="60" t="s">
        <v>75</v>
      </c>
      <c r="B132" s="92"/>
      <c r="C132" s="92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189"/>
      <c r="AI132" s="150"/>
      <c r="AJ132" s="151"/>
    </row>
    <row r="133" ht="15.75" customHeight="1">
      <c r="A133" s="60"/>
      <c r="B133" s="92"/>
      <c r="C133" s="92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189"/>
      <c r="AI133" s="150"/>
      <c r="AJ133" s="151"/>
    </row>
    <row r="134" ht="15.75" customHeight="1">
      <c r="A134" s="56" t="s">
        <v>109</v>
      </c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144"/>
      <c r="AI134" s="145"/>
      <c r="AJ134" s="146"/>
    </row>
    <row r="135" ht="15.75" customHeight="1">
      <c r="A135" s="11" t="s">
        <v>97</v>
      </c>
      <c r="B135" s="108">
        <f t="shared" ref="B135:B145" si="38">SUM(D135:AH135)</f>
        <v>0</v>
      </c>
      <c r="C135" s="108" t="str">
        <f t="shared" ref="C135:C149" si="39">AVERAGE(D135:AH135)</f>
        <v>#DIV/0!</v>
      </c>
      <c r="D135" s="104"/>
      <c r="E135" s="104"/>
      <c r="F135" s="104"/>
      <c r="G135" s="104"/>
      <c r="H135" s="227"/>
      <c r="I135" s="227"/>
      <c r="J135" s="227"/>
      <c r="K135" s="104"/>
      <c r="L135" s="193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67"/>
      <c r="AI135" s="164"/>
      <c r="AJ135" s="165"/>
    </row>
    <row r="136" ht="15.75" customHeight="1">
      <c r="A136" s="11" t="s">
        <v>98</v>
      </c>
      <c r="B136" s="108">
        <f t="shared" si="38"/>
        <v>0</v>
      </c>
      <c r="C136" s="108" t="str">
        <f t="shared" si="39"/>
        <v>#DIV/0!</v>
      </c>
      <c r="D136" s="104"/>
      <c r="E136" s="104"/>
      <c r="F136" s="104"/>
      <c r="G136" s="104"/>
      <c r="H136" s="227"/>
      <c r="I136" s="227"/>
      <c r="J136" s="227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67"/>
      <c r="AI136" s="164"/>
      <c r="AJ136" s="165"/>
    </row>
    <row r="137" ht="15.75" customHeight="1">
      <c r="A137" s="60" t="s">
        <v>99</v>
      </c>
      <c r="B137" s="92">
        <f t="shared" si="38"/>
        <v>0</v>
      </c>
      <c r="C137" s="92" t="str">
        <f t="shared" si="39"/>
        <v>#DIV/0!</v>
      </c>
      <c r="D137" s="65"/>
      <c r="E137" s="65"/>
      <c r="F137" s="65"/>
      <c r="G137" s="65"/>
      <c r="H137" s="228"/>
      <c r="I137" s="228"/>
      <c r="J137" s="228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153"/>
      <c r="AI137" s="150"/>
      <c r="AJ137" s="151"/>
    </row>
    <row r="138" ht="15.75" customHeight="1">
      <c r="A138" s="60" t="s">
        <v>100</v>
      </c>
      <c r="B138" s="92">
        <f t="shared" si="38"/>
        <v>0</v>
      </c>
      <c r="C138" s="92" t="str">
        <f t="shared" si="39"/>
        <v>#DIV/0!</v>
      </c>
      <c r="D138" s="65"/>
      <c r="E138" s="65"/>
      <c r="F138" s="65"/>
      <c r="G138" s="65"/>
      <c r="H138" s="228"/>
      <c r="I138" s="228"/>
      <c r="J138" s="228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153"/>
      <c r="AI138" s="150"/>
      <c r="AJ138" s="151"/>
    </row>
    <row r="139" ht="15.75" customHeight="1">
      <c r="A139" s="11" t="s">
        <v>101</v>
      </c>
      <c r="B139" s="108">
        <f t="shared" si="38"/>
        <v>0</v>
      </c>
      <c r="C139" s="108" t="str">
        <f t="shared" si="39"/>
        <v>#DIV/0!</v>
      </c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64"/>
      <c r="AJ139" s="165"/>
    </row>
    <row r="140" ht="15.75" customHeight="1">
      <c r="A140" s="11" t="s">
        <v>102</v>
      </c>
      <c r="B140" s="108">
        <f t="shared" si="38"/>
        <v>0</v>
      </c>
      <c r="C140" s="108" t="str">
        <f t="shared" si="39"/>
        <v>#DIV/0!</v>
      </c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64"/>
      <c r="AJ140" s="165"/>
    </row>
    <row r="141" ht="15.75" customHeight="1">
      <c r="A141" s="60" t="s">
        <v>103</v>
      </c>
      <c r="B141" s="92">
        <f t="shared" si="38"/>
        <v>0</v>
      </c>
      <c r="C141" s="92" t="str">
        <f t="shared" si="39"/>
        <v>#DIV/0!</v>
      </c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150"/>
      <c r="AJ141" s="151"/>
    </row>
    <row r="142" ht="15.75" customHeight="1">
      <c r="A142" s="60" t="s">
        <v>104</v>
      </c>
      <c r="B142" s="92">
        <f t="shared" si="38"/>
        <v>0</v>
      </c>
      <c r="C142" s="92" t="str">
        <f t="shared" si="39"/>
        <v>#DIV/0!</v>
      </c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150"/>
      <c r="AJ142" s="151"/>
    </row>
    <row r="143" ht="15.75" customHeight="1">
      <c r="A143" s="60" t="s">
        <v>105</v>
      </c>
      <c r="B143" s="92">
        <f t="shared" si="38"/>
        <v>0</v>
      </c>
      <c r="C143" s="92" t="str">
        <f t="shared" si="39"/>
        <v>#DIV/0!</v>
      </c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150"/>
      <c r="AJ143" s="151"/>
    </row>
    <row r="144" ht="15.75" customHeight="1">
      <c r="A144" s="11" t="s">
        <v>106</v>
      </c>
      <c r="B144" s="108">
        <f t="shared" si="38"/>
        <v>0</v>
      </c>
      <c r="C144" s="108">
        <f t="shared" si="39"/>
        <v>0</v>
      </c>
      <c r="D144" s="11">
        <f t="shared" ref="D144:AH144" si="40">D135+D139</f>
        <v>0</v>
      </c>
      <c r="E144" s="11">
        <f t="shared" si="40"/>
        <v>0</v>
      </c>
      <c r="F144" s="11">
        <f t="shared" si="40"/>
        <v>0</v>
      </c>
      <c r="G144" s="11">
        <f t="shared" si="40"/>
        <v>0</v>
      </c>
      <c r="H144" s="11">
        <f t="shared" si="40"/>
        <v>0</v>
      </c>
      <c r="I144" s="11">
        <f t="shared" si="40"/>
        <v>0</v>
      </c>
      <c r="J144" s="11">
        <f t="shared" si="40"/>
        <v>0</v>
      </c>
      <c r="K144" s="11">
        <f t="shared" si="40"/>
        <v>0</v>
      </c>
      <c r="L144" s="11">
        <f t="shared" si="40"/>
        <v>0</v>
      </c>
      <c r="M144" s="11">
        <f t="shared" si="40"/>
        <v>0</v>
      </c>
      <c r="N144" s="11">
        <f t="shared" si="40"/>
        <v>0</v>
      </c>
      <c r="O144" s="11">
        <f t="shared" si="40"/>
        <v>0</v>
      </c>
      <c r="P144" s="11">
        <f t="shared" si="40"/>
        <v>0</v>
      </c>
      <c r="Q144" s="11">
        <f t="shared" si="40"/>
        <v>0</v>
      </c>
      <c r="R144" s="11">
        <f t="shared" si="40"/>
        <v>0</v>
      </c>
      <c r="S144" s="11">
        <f t="shared" si="40"/>
        <v>0</v>
      </c>
      <c r="T144" s="11">
        <f t="shared" si="40"/>
        <v>0</v>
      </c>
      <c r="U144" s="11">
        <f t="shared" si="40"/>
        <v>0</v>
      </c>
      <c r="V144" s="11">
        <f t="shared" si="40"/>
        <v>0</v>
      </c>
      <c r="W144" s="11">
        <f t="shared" si="40"/>
        <v>0</v>
      </c>
      <c r="X144" s="11">
        <f t="shared" si="40"/>
        <v>0</v>
      </c>
      <c r="Y144" s="11">
        <f t="shared" si="40"/>
        <v>0</v>
      </c>
      <c r="Z144" s="11">
        <f t="shared" si="40"/>
        <v>0</v>
      </c>
      <c r="AA144" s="11">
        <f t="shared" si="40"/>
        <v>0</v>
      </c>
      <c r="AB144" s="11">
        <f t="shared" si="40"/>
        <v>0</v>
      </c>
      <c r="AC144" s="11">
        <f t="shared" si="40"/>
        <v>0</v>
      </c>
      <c r="AD144" s="11">
        <f t="shared" si="40"/>
        <v>0</v>
      </c>
      <c r="AE144" s="11">
        <f t="shared" si="40"/>
        <v>0</v>
      </c>
      <c r="AF144" s="11">
        <f t="shared" si="40"/>
        <v>0</v>
      </c>
      <c r="AG144" s="11">
        <f t="shared" si="40"/>
        <v>0</v>
      </c>
      <c r="AH144" s="11">
        <f t="shared" si="40"/>
        <v>0</v>
      </c>
      <c r="AI144" s="164"/>
      <c r="AJ144" s="165"/>
    </row>
    <row r="145" ht="15.75" customHeight="1">
      <c r="A145" s="11" t="s">
        <v>107</v>
      </c>
      <c r="B145" s="108">
        <f t="shared" si="38"/>
        <v>0</v>
      </c>
      <c r="C145" s="108">
        <f t="shared" si="39"/>
        <v>0</v>
      </c>
      <c r="D145" s="11">
        <f t="shared" ref="D145:AH145" si="41">D136+D140</f>
        <v>0</v>
      </c>
      <c r="E145" s="11">
        <f t="shared" si="41"/>
        <v>0</v>
      </c>
      <c r="F145" s="11">
        <f t="shared" si="41"/>
        <v>0</v>
      </c>
      <c r="G145" s="11">
        <f t="shared" si="41"/>
        <v>0</v>
      </c>
      <c r="H145" s="11">
        <f t="shared" si="41"/>
        <v>0</v>
      </c>
      <c r="I145" s="11">
        <f t="shared" si="41"/>
        <v>0</v>
      </c>
      <c r="J145" s="11">
        <f t="shared" si="41"/>
        <v>0</v>
      </c>
      <c r="K145" s="11">
        <f t="shared" si="41"/>
        <v>0</v>
      </c>
      <c r="L145" s="11">
        <f t="shared" si="41"/>
        <v>0</v>
      </c>
      <c r="M145" s="11">
        <f t="shared" si="41"/>
        <v>0</v>
      </c>
      <c r="N145" s="11">
        <f t="shared" si="41"/>
        <v>0</v>
      </c>
      <c r="O145" s="11">
        <f t="shared" si="41"/>
        <v>0</v>
      </c>
      <c r="P145" s="11">
        <f t="shared" si="41"/>
        <v>0</v>
      </c>
      <c r="Q145" s="11">
        <f t="shared" si="41"/>
        <v>0</v>
      </c>
      <c r="R145" s="11">
        <f t="shared" si="41"/>
        <v>0</v>
      </c>
      <c r="S145" s="11">
        <f t="shared" si="41"/>
        <v>0</v>
      </c>
      <c r="T145" s="11">
        <f t="shared" si="41"/>
        <v>0</v>
      </c>
      <c r="U145" s="11">
        <f t="shared" si="41"/>
        <v>0</v>
      </c>
      <c r="V145" s="11">
        <f t="shared" si="41"/>
        <v>0</v>
      </c>
      <c r="W145" s="11">
        <f t="shared" si="41"/>
        <v>0</v>
      </c>
      <c r="X145" s="11">
        <f t="shared" si="41"/>
        <v>0</v>
      </c>
      <c r="Y145" s="11">
        <f t="shared" si="41"/>
        <v>0</v>
      </c>
      <c r="Z145" s="11">
        <f t="shared" si="41"/>
        <v>0</v>
      </c>
      <c r="AA145" s="11">
        <f t="shared" si="41"/>
        <v>0</v>
      </c>
      <c r="AB145" s="11">
        <f t="shared" si="41"/>
        <v>0</v>
      </c>
      <c r="AC145" s="11">
        <f t="shared" si="41"/>
        <v>0</v>
      </c>
      <c r="AD145" s="11">
        <f t="shared" si="41"/>
        <v>0</v>
      </c>
      <c r="AE145" s="11">
        <f t="shared" si="41"/>
        <v>0</v>
      </c>
      <c r="AF145" s="11">
        <f t="shared" si="41"/>
        <v>0</v>
      </c>
      <c r="AG145" s="11">
        <f t="shared" si="41"/>
        <v>0</v>
      </c>
      <c r="AH145" s="11">
        <f t="shared" si="41"/>
        <v>0</v>
      </c>
      <c r="AI145" s="164"/>
      <c r="AJ145" s="165"/>
    </row>
    <row r="146" ht="15.75" customHeight="1">
      <c r="A146" s="12" t="s">
        <v>40</v>
      </c>
      <c r="B146" s="68" t="str">
        <f>C146</f>
        <v>#DIV/0!</v>
      </c>
      <c r="C146" s="68" t="str">
        <f t="shared" si="39"/>
        <v>#DIV/0!</v>
      </c>
      <c r="D146" s="12" t="str">
        <f t="shared" ref="D146:T146" si="42">D145/D144</f>
        <v>#DIV/0!</v>
      </c>
      <c r="E146" s="12" t="str">
        <f t="shared" si="42"/>
        <v>#DIV/0!</v>
      </c>
      <c r="F146" s="12" t="str">
        <f t="shared" si="42"/>
        <v>#DIV/0!</v>
      </c>
      <c r="G146" s="12" t="str">
        <f t="shared" si="42"/>
        <v>#DIV/0!</v>
      </c>
      <c r="H146" s="12" t="str">
        <f t="shared" si="42"/>
        <v>#DIV/0!</v>
      </c>
      <c r="I146" s="12" t="str">
        <f t="shared" si="42"/>
        <v>#DIV/0!</v>
      </c>
      <c r="J146" s="12" t="str">
        <f t="shared" si="42"/>
        <v>#DIV/0!</v>
      </c>
      <c r="K146" s="12" t="str">
        <f t="shared" si="42"/>
        <v>#DIV/0!</v>
      </c>
      <c r="L146" s="12" t="str">
        <f t="shared" si="42"/>
        <v>#DIV/0!</v>
      </c>
      <c r="M146" s="12" t="str">
        <f t="shared" si="42"/>
        <v>#DIV/0!</v>
      </c>
      <c r="N146" s="12" t="str">
        <f t="shared" si="42"/>
        <v>#DIV/0!</v>
      </c>
      <c r="O146" s="12" t="str">
        <f t="shared" si="42"/>
        <v>#DIV/0!</v>
      </c>
      <c r="P146" s="12" t="str">
        <f t="shared" si="42"/>
        <v>#DIV/0!</v>
      </c>
      <c r="Q146" s="12" t="str">
        <f t="shared" si="42"/>
        <v>#DIV/0!</v>
      </c>
      <c r="R146" s="12" t="str">
        <f t="shared" si="42"/>
        <v>#DIV/0!</v>
      </c>
      <c r="S146" s="12" t="str">
        <f t="shared" si="42"/>
        <v>#DIV/0!</v>
      </c>
      <c r="T146" s="12" t="str">
        <f t="shared" si="42"/>
        <v>#DIV/0!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55"/>
      <c r="AJ146" s="156"/>
    </row>
    <row r="147" ht="15.75" customHeight="1">
      <c r="A147" s="11" t="s">
        <v>43</v>
      </c>
      <c r="B147" s="108">
        <f t="shared" ref="B147:B149" si="44">SUM(D147:AH147)</f>
        <v>0</v>
      </c>
      <c r="C147" s="108">
        <f t="shared" si="39"/>
        <v>0</v>
      </c>
      <c r="D147" s="11">
        <f t="shared" ref="D147:AH147" si="43">D144-D145</f>
        <v>0</v>
      </c>
      <c r="E147" s="11">
        <f t="shared" si="43"/>
        <v>0</v>
      </c>
      <c r="F147" s="11">
        <f t="shared" si="43"/>
        <v>0</v>
      </c>
      <c r="G147" s="11">
        <f t="shared" si="43"/>
        <v>0</v>
      </c>
      <c r="H147" s="11">
        <f t="shared" si="43"/>
        <v>0</v>
      </c>
      <c r="I147" s="11">
        <f t="shared" si="43"/>
        <v>0</v>
      </c>
      <c r="J147" s="11">
        <f t="shared" si="43"/>
        <v>0</v>
      </c>
      <c r="K147" s="11">
        <f t="shared" si="43"/>
        <v>0</v>
      </c>
      <c r="L147" s="11">
        <f t="shared" si="43"/>
        <v>0</v>
      </c>
      <c r="M147" s="11">
        <f t="shared" si="43"/>
        <v>0</v>
      </c>
      <c r="N147" s="11">
        <f t="shared" si="43"/>
        <v>0</v>
      </c>
      <c r="O147" s="11">
        <f t="shared" si="43"/>
        <v>0</v>
      </c>
      <c r="P147" s="11">
        <f t="shared" si="43"/>
        <v>0</v>
      </c>
      <c r="Q147" s="11">
        <f t="shared" si="43"/>
        <v>0</v>
      </c>
      <c r="R147" s="11">
        <f t="shared" si="43"/>
        <v>0</v>
      </c>
      <c r="S147" s="11">
        <f t="shared" si="43"/>
        <v>0</v>
      </c>
      <c r="T147" s="11">
        <f t="shared" si="43"/>
        <v>0</v>
      </c>
      <c r="U147" s="11">
        <f t="shared" si="43"/>
        <v>0</v>
      </c>
      <c r="V147" s="11">
        <f t="shared" si="43"/>
        <v>0</v>
      </c>
      <c r="W147" s="11">
        <f t="shared" si="43"/>
        <v>0</v>
      </c>
      <c r="X147" s="11">
        <f t="shared" si="43"/>
        <v>0</v>
      </c>
      <c r="Y147" s="11">
        <f t="shared" si="43"/>
        <v>0</v>
      </c>
      <c r="Z147" s="11">
        <f t="shared" si="43"/>
        <v>0</v>
      </c>
      <c r="AA147" s="11">
        <f t="shared" si="43"/>
        <v>0</v>
      </c>
      <c r="AB147" s="11">
        <f t="shared" si="43"/>
        <v>0</v>
      </c>
      <c r="AC147" s="11">
        <f t="shared" si="43"/>
        <v>0</v>
      </c>
      <c r="AD147" s="11">
        <f t="shared" si="43"/>
        <v>0</v>
      </c>
      <c r="AE147" s="11">
        <f t="shared" si="43"/>
        <v>0</v>
      </c>
      <c r="AF147" s="11">
        <f t="shared" si="43"/>
        <v>0</v>
      </c>
      <c r="AG147" s="11">
        <f t="shared" si="43"/>
        <v>0</v>
      </c>
      <c r="AH147" s="11">
        <f t="shared" si="43"/>
        <v>0</v>
      </c>
      <c r="AI147" s="164"/>
      <c r="AJ147" s="165"/>
    </row>
    <row r="148" ht="15.75" customHeight="1">
      <c r="A148" s="11" t="s">
        <v>110</v>
      </c>
      <c r="B148" s="108">
        <f t="shared" si="44"/>
        <v>0</v>
      </c>
      <c r="C148" s="108">
        <f t="shared" si="39"/>
        <v>0</v>
      </c>
      <c r="D148" s="104">
        <v>0.0</v>
      </c>
      <c r="E148" s="104">
        <v>0.0</v>
      </c>
      <c r="F148" s="104">
        <v>0.0</v>
      </c>
      <c r="G148" s="104">
        <v>0.0</v>
      </c>
      <c r="H148" s="104">
        <v>0.0</v>
      </c>
      <c r="I148" s="104">
        <v>0.0</v>
      </c>
      <c r="J148" s="104">
        <v>0.0</v>
      </c>
      <c r="K148" s="104">
        <v>0.0</v>
      </c>
      <c r="L148" s="104">
        <v>0.0</v>
      </c>
      <c r="M148" s="104">
        <v>0.0</v>
      </c>
      <c r="N148" s="104">
        <v>0.0</v>
      </c>
      <c r="O148" s="104">
        <v>0.0</v>
      </c>
      <c r="P148" s="104">
        <v>0.0</v>
      </c>
      <c r="Q148" s="104">
        <v>0.0</v>
      </c>
      <c r="R148" s="104">
        <v>0.0</v>
      </c>
      <c r="S148" s="104">
        <v>0.0</v>
      </c>
      <c r="T148" s="104">
        <v>0.0</v>
      </c>
      <c r="U148" s="104">
        <v>0.0</v>
      </c>
      <c r="V148" s="104">
        <v>0.0</v>
      </c>
      <c r="W148" s="104">
        <v>0.0</v>
      </c>
      <c r="X148" s="104">
        <v>0.0</v>
      </c>
      <c r="Y148" s="104">
        <v>0.0</v>
      </c>
      <c r="Z148" s="104">
        <v>0.0</v>
      </c>
      <c r="AA148" s="104">
        <v>0.0</v>
      </c>
      <c r="AB148" s="104">
        <v>0.0</v>
      </c>
      <c r="AC148" s="104">
        <v>0.0</v>
      </c>
      <c r="AD148" s="104">
        <v>0.0</v>
      </c>
      <c r="AE148" s="104">
        <v>0.0</v>
      </c>
      <c r="AF148" s="104">
        <v>0.0</v>
      </c>
      <c r="AG148" s="104">
        <v>0.0</v>
      </c>
      <c r="AH148" s="104">
        <v>0.0</v>
      </c>
      <c r="AI148" s="164"/>
      <c r="AJ148" s="165"/>
    </row>
    <row r="149" ht="15.75" customHeight="1">
      <c r="A149" s="11" t="s">
        <v>62</v>
      </c>
      <c r="B149" s="108">
        <f t="shared" si="44"/>
        <v>0</v>
      </c>
      <c r="C149" s="108">
        <f t="shared" si="39"/>
        <v>0</v>
      </c>
      <c r="D149" s="11">
        <f t="shared" ref="D149:AH149" si="45">D147-D148</f>
        <v>0</v>
      </c>
      <c r="E149" s="11">
        <f t="shared" si="45"/>
        <v>0</v>
      </c>
      <c r="F149" s="11">
        <f t="shared" si="45"/>
        <v>0</v>
      </c>
      <c r="G149" s="11">
        <f t="shared" si="45"/>
        <v>0</v>
      </c>
      <c r="H149" s="11">
        <f t="shared" si="45"/>
        <v>0</v>
      </c>
      <c r="I149" s="11">
        <f t="shared" si="45"/>
        <v>0</v>
      </c>
      <c r="J149" s="11">
        <f t="shared" si="45"/>
        <v>0</v>
      </c>
      <c r="K149" s="11">
        <f t="shared" si="45"/>
        <v>0</v>
      </c>
      <c r="L149" s="11">
        <f t="shared" si="45"/>
        <v>0</v>
      </c>
      <c r="M149" s="11">
        <f t="shared" si="45"/>
        <v>0</v>
      </c>
      <c r="N149" s="11">
        <f t="shared" si="45"/>
        <v>0</v>
      </c>
      <c r="O149" s="11">
        <f t="shared" si="45"/>
        <v>0</v>
      </c>
      <c r="P149" s="11">
        <f t="shared" si="45"/>
        <v>0</v>
      </c>
      <c r="Q149" s="11">
        <f t="shared" si="45"/>
        <v>0</v>
      </c>
      <c r="R149" s="11">
        <f t="shared" si="45"/>
        <v>0</v>
      </c>
      <c r="S149" s="11">
        <f t="shared" si="45"/>
        <v>0</v>
      </c>
      <c r="T149" s="11">
        <f t="shared" si="45"/>
        <v>0</v>
      </c>
      <c r="U149" s="11">
        <f t="shared" si="45"/>
        <v>0</v>
      </c>
      <c r="V149" s="11">
        <f t="shared" si="45"/>
        <v>0</v>
      </c>
      <c r="W149" s="11">
        <f t="shared" si="45"/>
        <v>0</v>
      </c>
      <c r="X149" s="11">
        <f t="shared" si="45"/>
        <v>0</v>
      </c>
      <c r="Y149" s="11">
        <f t="shared" si="45"/>
        <v>0</v>
      </c>
      <c r="Z149" s="11">
        <f t="shared" si="45"/>
        <v>0</v>
      </c>
      <c r="AA149" s="11">
        <f t="shared" si="45"/>
        <v>0</v>
      </c>
      <c r="AB149" s="11">
        <f t="shared" si="45"/>
        <v>0</v>
      </c>
      <c r="AC149" s="11">
        <f t="shared" si="45"/>
        <v>0</v>
      </c>
      <c r="AD149" s="11">
        <f t="shared" si="45"/>
        <v>0</v>
      </c>
      <c r="AE149" s="11">
        <f t="shared" si="45"/>
        <v>0</v>
      </c>
      <c r="AF149" s="11">
        <f t="shared" si="45"/>
        <v>0</v>
      </c>
      <c r="AG149" s="11">
        <f t="shared" si="45"/>
        <v>0</v>
      </c>
      <c r="AH149" s="11">
        <f t="shared" si="45"/>
        <v>0</v>
      </c>
      <c r="AI149" s="164"/>
      <c r="AJ149" s="165"/>
    </row>
    <row r="150" ht="15.75" customHeight="1">
      <c r="A150" s="60" t="s">
        <v>64</v>
      </c>
      <c r="B150" s="92"/>
      <c r="C150" s="92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189"/>
      <c r="AI150" s="150"/>
      <c r="AJ150" s="151"/>
    </row>
    <row r="151" ht="15.75" customHeight="1">
      <c r="A151" s="60" t="s">
        <v>75</v>
      </c>
      <c r="B151" s="92"/>
      <c r="C151" s="92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189"/>
      <c r="AI151" s="150"/>
      <c r="AJ151" s="151"/>
    </row>
    <row r="152" ht="15.75" customHeight="1">
      <c r="A152" s="60"/>
      <c r="B152" s="92"/>
      <c r="C152" s="92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189"/>
      <c r="AI152" s="150"/>
      <c r="AJ152" s="151"/>
    </row>
    <row r="153" ht="15.75" customHeight="1">
      <c r="A153" s="56" t="s">
        <v>111</v>
      </c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144"/>
      <c r="AI153" s="145"/>
      <c r="AJ153" s="146"/>
    </row>
    <row r="154" ht="15.75" customHeight="1">
      <c r="A154" s="11" t="s">
        <v>97</v>
      </c>
      <c r="B154" s="108">
        <f t="shared" ref="B154:B164" si="46">SUM(D154:AH154)</f>
        <v>0</v>
      </c>
      <c r="C154" s="108" t="str">
        <f t="shared" ref="C154:C168" si="47">AVERAGE(D154:AH154)</f>
        <v>#DIV/0!</v>
      </c>
      <c r="D154" s="104"/>
      <c r="E154" s="104"/>
      <c r="F154" s="104"/>
      <c r="G154" s="104"/>
      <c r="H154" s="104"/>
      <c r="I154" s="104"/>
      <c r="J154" s="193"/>
      <c r="K154" s="193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67"/>
      <c r="AI154" s="164"/>
      <c r="AJ154" s="165"/>
    </row>
    <row r="155" ht="15.75" customHeight="1">
      <c r="A155" s="11" t="s">
        <v>98</v>
      </c>
      <c r="B155" s="108">
        <f t="shared" si="46"/>
        <v>0</v>
      </c>
      <c r="C155" s="108" t="str">
        <f t="shared" si="47"/>
        <v>#DIV/0!</v>
      </c>
      <c r="D155" s="104"/>
      <c r="E155" s="104"/>
      <c r="F155" s="104"/>
      <c r="G155" s="104"/>
      <c r="H155" s="104"/>
      <c r="I155" s="194"/>
      <c r="J155" s="104"/>
      <c r="K155" s="104"/>
      <c r="L155" s="104"/>
      <c r="M155" s="104"/>
      <c r="N155" s="193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94"/>
      <c r="AI155" s="164"/>
      <c r="AJ155" s="165"/>
    </row>
    <row r="156" ht="15.75" customHeight="1">
      <c r="A156" s="60" t="s">
        <v>99</v>
      </c>
      <c r="B156" s="92">
        <f t="shared" si="46"/>
        <v>0</v>
      </c>
      <c r="C156" s="92" t="str">
        <f t="shared" si="47"/>
        <v>#DIV/0!</v>
      </c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153"/>
      <c r="AI156" s="150"/>
      <c r="AJ156" s="151"/>
    </row>
    <row r="157" ht="15.75" customHeight="1">
      <c r="A157" s="60" t="s">
        <v>100</v>
      </c>
      <c r="B157" s="92">
        <f t="shared" si="46"/>
        <v>0</v>
      </c>
      <c r="C157" s="152" t="str">
        <f t="shared" si="47"/>
        <v>#DIV/0!</v>
      </c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153"/>
      <c r="AI157" s="150"/>
      <c r="AJ157" s="151"/>
    </row>
    <row r="158" ht="15.75" customHeight="1">
      <c r="A158" s="11" t="s">
        <v>101</v>
      </c>
      <c r="B158" s="108">
        <f t="shared" si="46"/>
        <v>0</v>
      </c>
      <c r="C158" s="108" t="str">
        <f t="shared" si="47"/>
        <v>#DIV/0!</v>
      </c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64"/>
      <c r="AJ158" s="165"/>
    </row>
    <row r="159" ht="15.75" customHeight="1">
      <c r="A159" s="11" t="s">
        <v>102</v>
      </c>
      <c r="B159" s="108">
        <f t="shared" si="46"/>
        <v>0</v>
      </c>
      <c r="C159" s="108" t="str">
        <f t="shared" si="47"/>
        <v>#DIV/0!</v>
      </c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64"/>
      <c r="AJ159" s="165"/>
    </row>
    <row r="160" ht="15.75" customHeight="1">
      <c r="A160" s="60" t="s">
        <v>103</v>
      </c>
      <c r="B160" s="92">
        <f t="shared" si="46"/>
        <v>0</v>
      </c>
      <c r="C160" s="92" t="str">
        <f t="shared" si="47"/>
        <v>#DIV/0!</v>
      </c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150"/>
      <c r="AJ160" s="151"/>
    </row>
    <row r="161" ht="15.75" customHeight="1">
      <c r="A161" s="60" t="s">
        <v>104</v>
      </c>
      <c r="B161" s="92">
        <f t="shared" si="46"/>
        <v>0</v>
      </c>
      <c r="C161" s="92" t="str">
        <f t="shared" si="47"/>
        <v>#DIV/0!</v>
      </c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150"/>
      <c r="AJ161" s="151"/>
    </row>
    <row r="162" ht="15.75" customHeight="1">
      <c r="A162" s="60" t="s">
        <v>105</v>
      </c>
      <c r="B162" s="92">
        <f t="shared" si="46"/>
        <v>0</v>
      </c>
      <c r="C162" s="92">
        <f t="shared" si="47"/>
        <v>0</v>
      </c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0"/>
      <c r="X162" s="60"/>
      <c r="Y162" s="60"/>
      <c r="Z162" s="60">
        <f t="shared" ref="Z162:AH162" si="48">Z156+Z160</f>
        <v>0</v>
      </c>
      <c r="AA162" s="60">
        <f t="shared" si="48"/>
        <v>0</v>
      </c>
      <c r="AB162" s="60">
        <f t="shared" si="48"/>
        <v>0</v>
      </c>
      <c r="AC162" s="60">
        <f t="shared" si="48"/>
        <v>0</v>
      </c>
      <c r="AD162" s="60">
        <f t="shared" si="48"/>
        <v>0</v>
      </c>
      <c r="AE162" s="60">
        <f t="shared" si="48"/>
        <v>0</v>
      </c>
      <c r="AF162" s="60">
        <f t="shared" si="48"/>
        <v>0</v>
      </c>
      <c r="AG162" s="60">
        <f t="shared" si="48"/>
        <v>0</v>
      </c>
      <c r="AH162" s="60">
        <f t="shared" si="48"/>
        <v>0</v>
      </c>
      <c r="AI162" s="150"/>
      <c r="AJ162" s="151"/>
    </row>
    <row r="163" ht="15.75" customHeight="1">
      <c r="A163" s="11" t="s">
        <v>106</v>
      </c>
      <c r="B163" s="108">
        <f t="shared" si="46"/>
        <v>0</v>
      </c>
      <c r="C163" s="108">
        <f t="shared" si="47"/>
        <v>0</v>
      </c>
      <c r="D163" s="11">
        <f t="shared" ref="D163:AH163" si="49">D154+D158</f>
        <v>0</v>
      </c>
      <c r="E163" s="11">
        <f t="shared" si="49"/>
        <v>0</v>
      </c>
      <c r="F163" s="11">
        <f t="shared" si="49"/>
        <v>0</v>
      </c>
      <c r="G163" s="11">
        <f t="shared" si="49"/>
        <v>0</v>
      </c>
      <c r="H163" s="11">
        <f t="shared" si="49"/>
        <v>0</v>
      </c>
      <c r="I163" s="11">
        <f t="shared" si="49"/>
        <v>0</v>
      </c>
      <c r="J163" s="11">
        <f t="shared" si="49"/>
        <v>0</v>
      </c>
      <c r="K163" s="11">
        <f t="shared" si="49"/>
        <v>0</v>
      </c>
      <c r="L163" s="11">
        <f t="shared" si="49"/>
        <v>0</v>
      </c>
      <c r="M163" s="11">
        <f t="shared" si="49"/>
        <v>0</v>
      </c>
      <c r="N163" s="11">
        <f t="shared" si="49"/>
        <v>0</v>
      </c>
      <c r="O163" s="11">
        <f t="shared" si="49"/>
        <v>0</v>
      </c>
      <c r="P163" s="11">
        <f t="shared" si="49"/>
        <v>0</v>
      </c>
      <c r="Q163" s="11">
        <f t="shared" si="49"/>
        <v>0</v>
      </c>
      <c r="R163" s="11">
        <f t="shared" si="49"/>
        <v>0</v>
      </c>
      <c r="S163" s="11">
        <f t="shared" si="49"/>
        <v>0</v>
      </c>
      <c r="T163" s="11">
        <f t="shared" si="49"/>
        <v>0</v>
      </c>
      <c r="U163" s="11">
        <f t="shared" si="49"/>
        <v>0</v>
      </c>
      <c r="V163" s="11">
        <f t="shared" si="49"/>
        <v>0</v>
      </c>
      <c r="W163" s="11">
        <f t="shared" si="49"/>
        <v>0</v>
      </c>
      <c r="X163" s="11">
        <f t="shared" si="49"/>
        <v>0</v>
      </c>
      <c r="Y163" s="11">
        <f t="shared" si="49"/>
        <v>0</v>
      </c>
      <c r="Z163" s="11">
        <f t="shared" si="49"/>
        <v>0</v>
      </c>
      <c r="AA163" s="11">
        <f t="shared" si="49"/>
        <v>0</v>
      </c>
      <c r="AB163" s="11">
        <f t="shared" si="49"/>
        <v>0</v>
      </c>
      <c r="AC163" s="11">
        <f t="shared" si="49"/>
        <v>0</v>
      </c>
      <c r="AD163" s="11">
        <f t="shared" si="49"/>
        <v>0</v>
      </c>
      <c r="AE163" s="11">
        <f t="shared" si="49"/>
        <v>0</v>
      </c>
      <c r="AF163" s="11">
        <f t="shared" si="49"/>
        <v>0</v>
      </c>
      <c r="AG163" s="11">
        <f t="shared" si="49"/>
        <v>0</v>
      </c>
      <c r="AH163" s="11">
        <f t="shared" si="49"/>
        <v>0</v>
      </c>
      <c r="AI163" s="164"/>
      <c r="AJ163" s="165"/>
    </row>
    <row r="164" ht="15.75" customHeight="1">
      <c r="A164" s="11" t="s">
        <v>107</v>
      </c>
      <c r="B164" s="108">
        <f t="shared" si="46"/>
        <v>0</v>
      </c>
      <c r="C164" s="108">
        <f t="shared" si="47"/>
        <v>0</v>
      </c>
      <c r="D164" s="11">
        <f t="shared" ref="D164:AH164" si="50">D155+D159</f>
        <v>0</v>
      </c>
      <c r="E164" s="11">
        <f t="shared" si="50"/>
        <v>0</v>
      </c>
      <c r="F164" s="11">
        <f t="shared" si="50"/>
        <v>0</v>
      </c>
      <c r="G164" s="11">
        <f t="shared" si="50"/>
        <v>0</v>
      </c>
      <c r="H164" s="11">
        <f t="shared" si="50"/>
        <v>0</v>
      </c>
      <c r="I164" s="11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1">
        <f t="shared" si="50"/>
        <v>0</v>
      </c>
      <c r="N164" s="11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1">
        <f t="shared" si="50"/>
        <v>0</v>
      </c>
      <c r="S164" s="11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1">
        <f t="shared" si="50"/>
        <v>0</v>
      </c>
      <c r="X164" s="11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1">
        <f t="shared" si="50"/>
        <v>0</v>
      </c>
      <c r="AC164" s="11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1">
        <f t="shared" si="50"/>
        <v>0</v>
      </c>
      <c r="AH164" s="11">
        <f t="shared" si="50"/>
        <v>0</v>
      </c>
      <c r="AI164" s="164"/>
      <c r="AJ164" s="165"/>
    </row>
    <row r="165" ht="15.75" customHeight="1">
      <c r="A165" s="12" t="s">
        <v>40</v>
      </c>
      <c r="B165" s="68" t="str">
        <f>C165</f>
        <v>#DIV/0!</v>
      </c>
      <c r="C165" s="68" t="str">
        <f t="shared" si="47"/>
        <v>#DIV/0!</v>
      </c>
      <c r="D165" s="12" t="str">
        <f t="shared" ref="D165:Y165" si="51">D164/D163</f>
        <v>#DIV/0!</v>
      </c>
      <c r="E165" s="12" t="str">
        <f t="shared" si="51"/>
        <v>#DIV/0!</v>
      </c>
      <c r="F165" s="12" t="str">
        <f t="shared" si="51"/>
        <v>#DIV/0!</v>
      </c>
      <c r="G165" s="12" t="str">
        <f t="shared" si="51"/>
        <v>#DIV/0!</v>
      </c>
      <c r="H165" s="12" t="str">
        <f t="shared" si="51"/>
        <v>#DIV/0!</v>
      </c>
      <c r="I165" s="12" t="str">
        <f t="shared" si="51"/>
        <v>#DIV/0!</v>
      </c>
      <c r="J165" s="12" t="str">
        <f t="shared" si="51"/>
        <v>#DIV/0!</v>
      </c>
      <c r="K165" s="12" t="str">
        <f t="shared" si="51"/>
        <v>#DIV/0!</v>
      </c>
      <c r="L165" s="12" t="str">
        <f t="shared" si="51"/>
        <v>#DIV/0!</v>
      </c>
      <c r="M165" s="12" t="str">
        <f t="shared" si="51"/>
        <v>#DIV/0!</v>
      </c>
      <c r="N165" s="12" t="str">
        <f t="shared" si="51"/>
        <v>#DIV/0!</v>
      </c>
      <c r="O165" s="12" t="str">
        <f t="shared" si="51"/>
        <v>#DIV/0!</v>
      </c>
      <c r="P165" s="12" t="str">
        <f t="shared" si="51"/>
        <v>#DIV/0!</v>
      </c>
      <c r="Q165" s="12" t="str">
        <f t="shared" si="51"/>
        <v>#DIV/0!</v>
      </c>
      <c r="R165" s="12" t="str">
        <f t="shared" si="51"/>
        <v>#DIV/0!</v>
      </c>
      <c r="S165" s="12" t="str">
        <f t="shared" si="51"/>
        <v>#DIV/0!</v>
      </c>
      <c r="T165" s="12" t="str">
        <f t="shared" si="51"/>
        <v>#DIV/0!</v>
      </c>
      <c r="U165" s="12" t="str">
        <f t="shared" si="51"/>
        <v>#DIV/0!</v>
      </c>
      <c r="V165" s="12" t="str">
        <f t="shared" si="51"/>
        <v>#DIV/0!</v>
      </c>
      <c r="W165" s="12" t="str">
        <f t="shared" si="51"/>
        <v>#DIV/0!</v>
      </c>
      <c r="X165" s="12" t="str">
        <f t="shared" si="51"/>
        <v>#DIV/0!</v>
      </c>
      <c r="Y165" s="12" t="str">
        <f t="shared" si="51"/>
        <v>#DIV/0!</v>
      </c>
      <c r="Z165" s="12"/>
      <c r="AA165" s="12"/>
      <c r="AB165" s="12"/>
      <c r="AC165" s="12"/>
      <c r="AD165" s="12"/>
      <c r="AE165" s="12"/>
      <c r="AF165" s="12"/>
      <c r="AG165" s="12"/>
      <c r="AH165" s="12"/>
      <c r="AI165" s="155"/>
      <c r="AJ165" s="156"/>
    </row>
    <row r="166" ht="15.75" customHeight="1">
      <c r="A166" s="60" t="s">
        <v>43</v>
      </c>
      <c r="B166" s="108">
        <f t="shared" ref="B166:B168" si="53">SUM(D166:AH166)</f>
        <v>0</v>
      </c>
      <c r="C166" s="108">
        <f t="shared" si="47"/>
        <v>0</v>
      </c>
      <c r="D166" s="11">
        <f t="shared" ref="D166:AH166" si="52">D163-D164</f>
        <v>0</v>
      </c>
      <c r="E166" s="11">
        <f t="shared" si="52"/>
        <v>0</v>
      </c>
      <c r="F166" s="11">
        <f t="shared" si="52"/>
        <v>0</v>
      </c>
      <c r="G166" s="11">
        <f t="shared" si="52"/>
        <v>0</v>
      </c>
      <c r="H166" s="11">
        <f t="shared" si="52"/>
        <v>0</v>
      </c>
      <c r="I166" s="11">
        <f t="shared" si="52"/>
        <v>0</v>
      </c>
      <c r="J166" s="11">
        <f t="shared" si="52"/>
        <v>0</v>
      </c>
      <c r="K166" s="11">
        <f t="shared" si="52"/>
        <v>0</v>
      </c>
      <c r="L166" s="11">
        <f t="shared" si="52"/>
        <v>0</v>
      </c>
      <c r="M166" s="11">
        <f t="shared" si="52"/>
        <v>0</v>
      </c>
      <c r="N166" s="11">
        <f t="shared" si="52"/>
        <v>0</v>
      </c>
      <c r="O166" s="11">
        <f t="shared" si="52"/>
        <v>0</v>
      </c>
      <c r="P166" s="11">
        <f t="shared" si="52"/>
        <v>0</v>
      </c>
      <c r="Q166" s="11">
        <f t="shared" si="52"/>
        <v>0</v>
      </c>
      <c r="R166" s="11">
        <f t="shared" si="52"/>
        <v>0</v>
      </c>
      <c r="S166" s="11">
        <f t="shared" si="52"/>
        <v>0</v>
      </c>
      <c r="T166" s="11">
        <f t="shared" si="52"/>
        <v>0</v>
      </c>
      <c r="U166" s="11">
        <f t="shared" si="52"/>
        <v>0</v>
      </c>
      <c r="V166" s="11">
        <f t="shared" si="52"/>
        <v>0</v>
      </c>
      <c r="W166" s="11">
        <f t="shared" si="52"/>
        <v>0</v>
      </c>
      <c r="X166" s="11">
        <f t="shared" si="52"/>
        <v>0</v>
      </c>
      <c r="Y166" s="11">
        <f t="shared" si="52"/>
        <v>0</v>
      </c>
      <c r="Z166" s="11">
        <f t="shared" si="52"/>
        <v>0</v>
      </c>
      <c r="AA166" s="11">
        <f t="shared" si="52"/>
        <v>0</v>
      </c>
      <c r="AB166" s="11">
        <f t="shared" si="52"/>
        <v>0</v>
      </c>
      <c r="AC166" s="11">
        <f t="shared" si="52"/>
        <v>0</v>
      </c>
      <c r="AD166" s="11">
        <f t="shared" si="52"/>
        <v>0</v>
      </c>
      <c r="AE166" s="11">
        <f t="shared" si="52"/>
        <v>0</v>
      </c>
      <c r="AF166" s="11">
        <f t="shared" si="52"/>
        <v>0</v>
      </c>
      <c r="AG166" s="11">
        <f t="shared" si="52"/>
        <v>0</v>
      </c>
      <c r="AH166" s="11">
        <f t="shared" si="52"/>
        <v>0</v>
      </c>
      <c r="AI166" s="150"/>
      <c r="AJ166" s="151"/>
    </row>
    <row r="167" ht="15.75" customHeight="1">
      <c r="A167" s="11" t="s">
        <v>112</v>
      </c>
      <c r="B167" s="108">
        <f t="shared" si="53"/>
        <v>0</v>
      </c>
      <c r="C167" s="108">
        <f t="shared" si="47"/>
        <v>0</v>
      </c>
      <c r="D167" s="104">
        <v>0.0</v>
      </c>
      <c r="E167" s="104">
        <v>0.0</v>
      </c>
      <c r="F167" s="104">
        <v>0.0</v>
      </c>
      <c r="G167" s="104">
        <v>0.0</v>
      </c>
      <c r="H167" s="104">
        <v>0.0</v>
      </c>
      <c r="I167" s="104">
        <v>0.0</v>
      </c>
      <c r="J167" s="104">
        <v>0.0</v>
      </c>
      <c r="K167" s="104">
        <v>0.0</v>
      </c>
      <c r="L167" s="104">
        <v>0.0</v>
      </c>
      <c r="M167" s="104">
        <v>0.0</v>
      </c>
      <c r="N167" s="104">
        <v>0.0</v>
      </c>
      <c r="O167" s="104">
        <v>0.0</v>
      </c>
      <c r="P167" s="104">
        <v>0.0</v>
      </c>
      <c r="Q167" s="104">
        <v>0.0</v>
      </c>
      <c r="R167" s="104">
        <v>0.0</v>
      </c>
      <c r="S167" s="104">
        <v>0.0</v>
      </c>
      <c r="T167" s="104">
        <v>0.0</v>
      </c>
      <c r="U167" s="104">
        <v>0.0</v>
      </c>
      <c r="V167" s="104">
        <v>0.0</v>
      </c>
      <c r="W167" s="104">
        <v>0.0</v>
      </c>
      <c r="X167" s="104">
        <v>0.0</v>
      </c>
      <c r="Y167" s="104">
        <v>0.0</v>
      </c>
      <c r="Z167" s="104">
        <v>0.0</v>
      </c>
      <c r="AA167" s="104">
        <v>0.0</v>
      </c>
      <c r="AB167" s="104">
        <v>0.0</v>
      </c>
      <c r="AC167" s="104">
        <v>0.0</v>
      </c>
      <c r="AD167" s="104">
        <v>0.0</v>
      </c>
      <c r="AE167" s="104">
        <v>0.0</v>
      </c>
      <c r="AF167" s="104">
        <v>0.0</v>
      </c>
      <c r="AG167" s="104">
        <v>0.0</v>
      </c>
      <c r="AH167" s="104">
        <v>0.0</v>
      </c>
      <c r="AI167" s="164"/>
      <c r="AJ167" s="165"/>
    </row>
    <row r="168" ht="15.75" customHeight="1">
      <c r="A168" s="60" t="s">
        <v>62</v>
      </c>
      <c r="B168" s="108">
        <f t="shared" si="53"/>
        <v>0</v>
      </c>
      <c r="C168" s="108">
        <f t="shared" si="47"/>
        <v>0</v>
      </c>
      <c r="D168" s="11">
        <f t="shared" ref="D168:AH168" si="54">D166-D167</f>
        <v>0</v>
      </c>
      <c r="E168" s="11">
        <f t="shared" si="54"/>
        <v>0</v>
      </c>
      <c r="F168" s="11">
        <f t="shared" si="54"/>
        <v>0</v>
      </c>
      <c r="G168" s="11">
        <f t="shared" si="54"/>
        <v>0</v>
      </c>
      <c r="H168" s="11">
        <f t="shared" si="54"/>
        <v>0</v>
      </c>
      <c r="I168" s="11">
        <f t="shared" si="54"/>
        <v>0</v>
      </c>
      <c r="J168" s="11">
        <f t="shared" si="54"/>
        <v>0</v>
      </c>
      <c r="K168" s="11">
        <f t="shared" si="54"/>
        <v>0</v>
      </c>
      <c r="L168" s="11">
        <f t="shared" si="54"/>
        <v>0</v>
      </c>
      <c r="M168" s="11">
        <f t="shared" si="54"/>
        <v>0</v>
      </c>
      <c r="N168" s="11">
        <f t="shared" si="54"/>
        <v>0</v>
      </c>
      <c r="O168" s="11">
        <f t="shared" si="54"/>
        <v>0</v>
      </c>
      <c r="P168" s="11">
        <f t="shared" si="54"/>
        <v>0</v>
      </c>
      <c r="Q168" s="11">
        <f t="shared" si="54"/>
        <v>0</v>
      </c>
      <c r="R168" s="11">
        <f t="shared" si="54"/>
        <v>0</v>
      </c>
      <c r="S168" s="11">
        <f t="shared" si="54"/>
        <v>0</v>
      </c>
      <c r="T168" s="11">
        <f t="shared" si="54"/>
        <v>0</v>
      </c>
      <c r="U168" s="11">
        <f t="shared" si="54"/>
        <v>0</v>
      </c>
      <c r="V168" s="11">
        <f t="shared" si="54"/>
        <v>0</v>
      </c>
      <c r="W168" s="11">
        <f t="shared" si="54"/>
        <v>0</v>
      </c>
      <c r="X168" s="11">
        <f t="shared" si="54"/>
        <v>0</v>
      </c>
      <c r="Y168" s="11">
        <f t="shared" si="54"/>
        <v>0</v>
      </c>
      <c r="Z168" s="11">
        <f t="shared" si="54"/>
        <v>0</v>
      </c>
      <c r="AA168" s="11">
        <f t="shared" si="54"/>
        <v>0</v>
      </c>
      <c r="AB168" s="11">
        <f t="shared" si="54"/>
        <v>0</v>
      </c>
      <c r="AC168" s="11">
        <f t="shared" si="54"/>
        <v>0</v>
      </c>
      <c r="AD168" s="11">
        <f t="shared" si="54"/>
        <v>0</v>
      </c>
      <c r="AE168" s="11">
        <f t="shared" si="54"/>
        <v>0</v>
      </c>
      <c r="AF168" s="11">
        <f t="shared" si="54"/>
        <v>0</v>
      </c>
      <c r="AG168" s="11">
        <f t="shared" si="54"/>
        <v>0</v>
      </c>
      <c r="AH168" s="11">
        <f t="shared" si="54"/>
        <v>0</v>
      </c>
      <c r="AI168" s="150"/>
      <c r="AJ168" s="151"/>
    </row>
    <row r="169" ht="15.75" customHeight="1">
      <c r="A169" s="60" t="s">
        <v>64</v>
      </c>
      <c r="B169" s="92"/>
      <c r="C169" s="92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189"/>
      <c r="AI169" s="150"/>
      <c r="AJ169" s="151"/>
    </row>
    <row r="170" ht="15.75" customHeight="1">
      <c r="A170" s="60" t="s">
        <v>75</v>
      </c>
      <c r="B170" s="92"/>
      <c r="C170" s="92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189"/>
      <c r="AI170" s="150"/>
      <c r="AJ170" s="151"/>
    </row>
    <row r="171" ht="15.75" customHeight="1">
      <c r="A171" s="60"/>
      <c r="B171" s="92"/>
      <c r="C171" s="92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189"/>
      <c r="AI171" s="150"/>
      <c r="AJ171" s="151"/>
    </row>
    <row r="172" ht="15.75" customHeight="1">
      <c r="A172" s="56" t="s">
        <v>113</v>
      </c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144"/>
      <c r="AI172" s="145"/>
      <c r="AJ172" s="146"/>
    </row>
    <row r="173" ht="15.75" customHeight="1">
      <c r="A173" s="11" t="s">
        <v>97</v>
      </c>
      <c r="B173" s="108">
        <f t="shared" ref="B173:B183" si="55">SUM(D173:AH173)</f>
        <v>0</v>
      </c>
      <c r="C173" s="108" t="str">
        <f t="shared" ref="C173:C189" si="56">AVERAGE(D173:AH173)</f>
        <v>#DIV/0!</v>
      </c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67"/>
      <c r="AI173" s="164"/>
      <c r="AJ173" s="165"/>
    </row>
    <row r="174" ht="15.75" customHeight="1">
      <c r="A174" s="11" t="s">
        <v>98</v>
      </c>
      <c r="B174" s="108">
        <f t="shared" si="55"/>
        <v>0</v>
      </c>
      <c r="C174" s="108" t="str">
        <f t="shared" si="56"/>
        <v>#DIV/0!</v>
      </c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93"/>
      <c r="Q174" s="193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67"/>
      <c r="AI174" s="164"/>
      <c r="AJ174" s="165"/>
    </row>
    <row r="175" ht="15.75" customHeight="1">
      <c r="A175" s="60" t="s">
        <v>99</v>
      </c>
      <c r="B175" s="92">
        <f t="shared" si="55"/>
        <v>0</v>
      </c>
      <c r="C175" s="152" t="str">
        <f t="shared" si="56"/>
        <v>#DIV/0!</v>
      </c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153"/>
      <c r="AI175" s="150"/>
      <c r="AJ175" s="151"/>
    </row>
    <row r="176" ht="15.75" customHeight="1">
      <c r="A176" s="60" t="s">
        <v>100</v>
      </c>
      <c r="B176" s="92">
        <f t="shared" si="55"/>
        <v>0</v>
      </c>
      <c r="C176" s="152" t="str">
        <f t="shared" si="56"/>
        <v>#DIV/0!</v>
      </c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153"/>
      <c r="AI176" s="150"/>
      <c r="AJ176" s="151"/>
    </row>
    <row r="177" ht="15.75" customHeight="1">
      <c r="A177" s="11" t="s">
        <v>101</v>
      </c>
      <c r="B177" s="108">
        <f t="shared" si="55"/>
        <v>0</v>
      </c>
      <c r="C177" s="108" t="str">
        <f t="shared" si="56"/>
        <v>#DIV/0!</v>
      </c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64"/>
      <c r="AJ177" s="165"/>
    </row>
    <row r="178" ht="15.75" customHeight="1">
      <c r="A178" s="11" t="s">
        <v>102</v>
      </c>
      <c r="B178" s="108">
        <f t="shared" si="55"/>
        <v>0</v>
      </c>
      <c r="C178" s="108" t="str">
        <f t="shared" si="56"/>
        <v>#DIV/0!</v>
      </c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64"/>
      <c r="AJ178" s="165"/>
    </row>
    <row r="179" ht="15.75" customHeight="1">
      <c r="A179" s="60" t="s">
        <v>103</v>
      </c>
      <c r="B179" s="92">
        <f t="shared" si="55"/>
        <v>0</v>
      </c>
      <c r="C179" s="92" t="str">
        <f t="shared" si="56"/>
        <v>#DIV/0!</v>
      </c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150"/>
      <c r="AJ179" s="151"/>
    </row>
    <row r="180" ht="15.75" customHeight="1">
      <c r="A180" s="60" t="s">
        <v>104</v>
      </c>
      <c r="B180" s="92">
        <f t="shared" si="55"/>
        <v>0</v>
      </c>
      <c r="C180" s="92" t="str">
        <f t="shared" si="56"/>
        <v>#DIV/0!</v>
      </c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150"/>
      <c r="AJ180" s="151"/>
    </row>
    <row r="181" ht="15.75" customHeight="1">
      <c r="A181" s="60" t="s">
        <v>105</v>
      </c>
      <c r="B181" s="92">
        <f t="shared" si="55"/>
        <v>0</v>
      </c>
      <c r="C181" s="152" t="str">
        <f t="shared" si="56"/>
        <v>#DIV/0!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150"/>
      <c r="AJ181" s="151"/>
    </row>
    <row r="182" ht="15.75" customHeight="1">
      <c r="A182" s="11" t="s">
        <v>106</v>
      </c>
      <c r="B182" s="108">
        <f t="shared" si="55"/>
        <v>0</v>
      </c>
      <c r="C182" s="108">
        <f t="shared" si="56"/>
        <v>0</v>
      </c>
      <c r="D182" s="11">
        <f t="shared" ref="D182:AH182" si="57">D173+D177</f>
        <v>0</v>
      </c>
      <c r="E182" s="11">
        <f t="shared" si="57"/>
        <v>0</v>
      </c>
      <c r="F182" s="11">
        <f t="shared" si="57"/>
        <v>0</v>
      </c>
      <c r="G182" s="11">
        <f t="shared" si="57"/>
        <v>0</v>
      </c>
      <c r="H182" s="11">
        <f t="shared" si="57"/>
        <v>0</v>
      </c>
      <c r="I182" s="11">
        <f t="shared" si="57"/>
        <v>0</v>
      </c>
      <c r="J182" s="11">
        <f t="shared" si="57"/>
        <v>0</v>
      </c>
      <c r="K182" s="11">
        <f t="shared" si="57"/>
        <v>0</v>
      </c>
      <c r="L182" s="11">
        <f t="shared" si="57"/>
        <v>0</v>
      </c>
      <c r="M182" s="11">
        <f t="shared" si="57"/>
        <v>0</v>
      </c>
      <c r="N182" s="11">
        <f t="shared" si="57"/>
        <v>0</v>
      </c>
      <c r="O182" s="11">
        <f t="shared" si="57"/>
        <v>0</v>
      </c>
      <c r="P182" s="11">
        <f t="shared" si="57"/>
        <v>0</v>
      </c>
      <c r="Q182" s="11">
        <f t="shared" si="57"/>
        <v>0</v>
      </c>
      <c r="R182" s="11">
        <f t="shared" si="57"/>
        <v>0</v>
      </c>
      <c r="S182" s="11">
        <f t="shared" si="57"/>
        <v>0</v>
      </c>
      <c r="T182" s="11">
        <f t="shared" si="57"/>
        <v>0</v>
      </c>
      <c r="U182" s="11">
        <f t="shared" si="57"/>
        <v>0</v>
      </c>
      <c r="V182" s="11">
        <f t="shared" si="57"/>
        <v>0</v>
      </c>
      <c r="W182" s="11">
        <f t="shared" si="57"/>
        <v>0</v>
      </c>
      <c r="X182" s="11">
        <f t="shared" si="57"/>
        <v>0</v>
      </c>
      <c r="Y182" s="11">
        <f t="shared" si="57"/>
        <v>0</v>
      </c>
      <c r="Z182" s="11">
        <f t="shared" si="57"/>
        <v>0</v>
      </c>
      <c r="AA182" s="11">
        <f t="shared" si="57"/>
        <v>0</v>
      </c>
      <c r="AB182" s="11">
        <f t="shared" si="57"/>
        <v>0</v>
      </c>
      <c r="AC182" s="11">
        <f t="shared" si="57"/>
        <v>0</v>
      </c>
      <c r="AD182" s="11">
        <f t="shared" si="57"/>
        <v>0</v>
      </c>
      <c r="AE182" s="11">
        <f t="shared" si="57"/>
        <v>0</v>
      </c>
      <c r="AF182" s="11">
        <f t="shared" si="57"/>
        <v>0</v>
      </c>
      <c r="AG182" s="11">
        <f t="shared" si="57"/>
        <v>0</v>
      </c>
      <c r="AH182" s="11">
        <f t="shared" si="57"/>
        <v>0</v>
      </c>
      <c r="AI182" s="164"/>
      <c r="AJ182" s="165"/>
    </row>
    <row r="183" ht="15.75" customHeight="1">
      <c r="A183" s="11" t="s">
        <v>107</v>
      </c>
      <c r="B183" s="108">
        <f t="shared" si="55"/>
        <v>0</v>
      </c>
      <c r="C183" s="108">
        <f t="shared" si="56"/>
        <v>0</v>
      </c>
      <c r="D183" s="11">
        <f t="shared" ref="D183:AH183" si="58">D174+D178</f>
        <v>0</v>
      </c>
      <c r="E183" s="11">
        <f t="shared" si="58"/>
        <v>0</v>
      </c>
      <c r="F183" s="11">
        <f t="shared" si="58"/>
        <v>0</v>
      </c>
      <c r="G183" s="11">
        <f t="shared" si="58"/>
        <v>0</v>
      </c>
      <c r="H183" s="11">
        <f t="shared" si="58"/>
        <v>0</v>
      </c>
      <c r="I183" s="11">
        <f t="shared" si="58"/>
        <v>0</v>
      </c>
      <c r="J183" s="11">
        <f t="shared" si="58"/>
        <v>0</v>
      </c>
      <c r="K183" s="11">
        <f t="shared" si="58"/>
        <v>0</v>
      </c>
      <c r="L183" s="11">
        <f t="shared" si="58"/>
        <v>0</v>
      </c>
      <c r="M183" s="11">
        <f t="shared" si="58"/>
        <v>0</v>
      </c>
      <c r="N183" s="11">
        <f t="shared" si="58"/>
        <v>0</v>
      </c>
      <c r="O183" s="11">
        <f t="shared" si="58"/>
        <v>0</v>
      </c>
      <c r="P183" s="11">
        <f t="shared" si="58"/>
        <v>0</v>
      </c>
      <c r="Q183" s="11">
        <f t="shared" si="58"/>
        <v>0</v>
      </c>
      <c r="R183" s="11">
        <f t="shared" si="58"/>
        <v>0</v>
      </c>
      <c r="S183" s="11">
        <f t="shared" si="58"/>
        <v>0</v>
      </c>
      <c r="T183" s="11">
        <f t="shared" si="58"/>
        <v>0</v>
      </c>
      <c r="U183" s="11">
        <f t="shared" si="58"/>
        <v>0</v>
      </c>
      <c r="V183" s="11">
        <f t="shared" si="58"/>
        <v>0</v>
      </c>
      <c r="W183" s="11">
        <f t="shared" si="58"/>
        <v>0</v>
      </c>
      <c r="X183" s="11">
        <f t="shared" si="58"/>
        <v>0</v>
      </c>
      <c r="Y183" s="11">
        <f t="shared" si="58"/>
        <v>0</v>
      </c>
      <c r="Z183" s="11">
        <f t="shared" si="58"/>
        <v>0</v>
      </c>
      <c r="AA183" s="11">
        <f t="shared" si="58"/>
        <v>0</v>
      </c>
      <c r="AB183" s="11">
        <f t="shared" si="58"/>
        <v>0</v>
      </c>
      <c r="AC183" s="11">
        <f t="shared" si="58"/>
        <v>0</v>
      </c>
      <c r="AD183" s="11">
        <f t="shared" si="58"/>
        <v>0</v>
      </c>
      <c r="AE183" s="11">
        <f t="shared" si="58"/>
        <v>0</v>
      </c>
      <c r="AF183" s="11">
        <f t="shared" si="58"/>
        <v>0</v>
      </c>
      <c r="AG183" s="11">
        <f t="shared" si="58"/>
        <v>0</v>
      </c>
      <c r="AH183" s="11">
        <f t="shared" si="58"/>
        <v>0</v>
      </c>
      <c r="AI183" s="164"/>
      <c r="AJ183" s="165"/>
    </row>
    <row r="184" ht="15.75" customHeight="1">
      <c r="A184" s="12" t="s">
        <v>40</v>
      </c>
      <c r="B184" s="68" t="str">
        <f>C184</f>
        <v>#DIV/0!</v>
      </c>
      <c r="C184" s="68" t="str">
        <f t="shared" si="56"/>
        <v>#DIV/0!</v>
      </c>
      <c r="D184" s="12" t="str">
        <f t="shared" ref="D184:Y184" si="59">D183/D182</f>
        <v>#DIV/0!</v>
      </c>
      <c r="E184" s="12" t="str">
        <f t="shared" si="59"/>
        <v>#DIV/0!</v>
      </c>
      <c r="F184" s="12" t="str">
        <f t="shared" si="59"/>
        <v>#DIV/0!</v>
      </c>
      <c r="G184" s="12" t="str">
        <f t="shared" si="59"/>
        <v>#DIV/0!</v>
      </c>
      <c r="H184" s="12" t="str">
        <f t="shared" si="59"/>
        <v>#DIV/0!</v>
      </c>
      <c r="I184" s="12" t="str">
        <f t="shared" si="59"/>
        <v>#DIV/0!</v>
      </c>
      <c r="J184" s="12" t="str">
        <f t="shared" si="59"/>
        <v>#DIV/0!</v>
      </c>
      <c r="K184" s="12" t="str">
        <f t="shared" si="59"/>
        <v>#DIV/0!</v>
      </c>
      <c r="L184" s="12" t="str">
        <f t="shared" si="59"/>
        <v>#DIV/0!</v>
      </c>
      <c r="M184" s="12" t="str">
        <f t="shared" si="59"/>
        <v>#DIV/0!</v>
      </c>
      <c r="N184" s="12" t="str">
        <f t="shared" si="59"/>
        <v>#DIV/0!</v>
      </c>
      <c r="O184" s="12" t="str">
        <f t="shared" si="59"/>
        <v>#DIV/0!</v>
      </c>
      <c r="P184" s="12" t="str">
        <f t="shared" si="59"/>
        <v>#DIV/0!</v>
      </c>
      <c r="Q184" s="12" t="str">
        <f t="shared" si="59"/>
        <v>#DIV/0!</v>
      </c>
      <c r="R184" s="12" t="str">
        <f t="shared" si="59"/>
        <v>#DIV/0!</v>
      </c>
      <c r="S184" s="12" t="str">
        <f t="shared" si="59"/>
        <v>#DIV/0!</v>
      </c>
      <c r="T184" s="12" t="str">
        <f t="shared" si="59"/>
        <v>#DIV/0!</v>
      </c>
      <c r="U184" s="12" t="str">
        <f t="shared" si="59"/>
        <v>#DIV/0!</v>
      </c>
      <c r="V184" s="12" t="str">
        <f t="shared" si="59"/>
        <v>#DIV/0!</v>
      </c>
      <c r="W184" s="12" t="str">
        <f t="shared" si="59"/>
        <v>#DIV/0!</v>
      </c>
      <c r="X184" s="12" t="str">
        <f t="shared" si="59"/>
        <v>#DIV/0!</v>
      </c>
      <c r="Y184" s="12" t="str">
        <f t="shared" si="59"/>
        <v>#DIV/0!</v>
      </c>
      <c r="Z184" s="12"/>
      <c r="AA184" s="12"/>
      <c r="AB184" s="12"/>
      <c r="AC184" s="12"/>
      <c r="AD184" s="12"/>
      <c r="AE184" s="12"/>
      <c r="AF184" s="12"/>
      <c r="AG184" s="12"/>
      <c r="AH184" s="12"/>
      <c r="AI184" s="155"/>
      <c r="AJ184" s="156"/>
    </row>
    <row r="185" ht="15.0" customHeight="1">
      <c r="A185" s="11" t="s">
        <v>43</v>
      </c>
      <c r="B185" s="108">
        <f t="shared" ref="B185:B189" si="61">SUM(D185:AH185)</f>
        <v>0</v>
      </c>
      <c r="C185" s="108">
        <f t="shared" si="56"/>
        <v>0</v>
      </c>
      <c r="D185" s="11">
        <f t="shared" ref="D185:AH185" si="60">D182-D183</f>
        <v>0</v>
      </c>
      <c r="E185" s="11">
        <f t="shared" si="60"/>
        <v>0</v>
      </c>
      <c r="F185" s="11">
        <f t="shared" si="60"/>
        <v>0</v>
      </c>
      <c r="G185" s="11">
        <f t="shared" si="60"/>
        <v>0</v>
      </c>
      <c r="H185" s="11">
        <f t="shared" si="60"/>
        <v>0</v>
      </c>
      <c r="I185" s="11">
        <f t="shared" si="60"/>
        <v>0</v>
      </c>
      <c r="J185" s="11">
        <f t="shared" si="60"/>
        <v>0</v>
      </c>
      <c r="K185" s="11">
        <f t="shared" si="60"/>
        <v>0</v>
      </c>
      <c r="L185" s="11">
        <f t="shared" si="60"/>
        <v>0</v>
      </c>
      <c r="M185" s="11">
        <f t="shared" si="60"/>
        <v>0</v>
      </c>
      <c r="N185" s="11">
        <f t="shared" si="60"/>
        <v>0</v>
      </c>
      <c r="O185" s="11">
        <f t="shared" si="60"/>
        <v>0</v>
      </c>
      <c r="P185" s="11">
        <f t="shared" si="60"/>
        <v>0</v>
      </c>
      <c r="Q185" s="11">
        <f t="shared" si="60"/>
        <v>0</v>
      </c>
      <c r="R185" s="11">
        <f t="shared" si="60"/>
        <v>0</v>
      </c>
      <c r="S185" s="11">
        <f t="shared" si="60"/>
        <v>0</v>
      </c>
      <c r="T185" s="11">
        <f t="shared" si="60"/>
        <v>0</v>
      </c>
      <c r="U185" s="11">
        <f t="shared" si="60"/>
        <v>0</v>
      </c>
      <c r="V185" s="11">
        <f t="shared" si="60"/>
        <v>0</v>
      </c>
      <c r="W185" s="11">
        <f t="shared" si="60"/>
        <v>0</v>
      </c>
      <c r="X185" s="11">
        <f t="shared" si="60"/>
        <v>0</v>
      </c>
      <c r="Y185" s="11">
        <f t="shared" si="60"/>
        <v>0</v>
      </c>
      <c r="Z185" s="11">
        <f t="shared" si="60"/>
        <v>0</v>
      </c>
      <c r="AA185" s="11">
        <f t="shared" si="60"/>
        <v>0</v>
      </c>
      <c r="AB185" s="11">
        <f t="shared" si="60"/>
        <v>0</v>
      </c>
      <c r="AC185" s="11">
        <f t="shared" si="60"/>
        <v>0</v>
      </c>
      <c r="AD185" s="11">
        <f t="shared" si="60"/>
        <v>0</v>
      </c>
      <c r="AE185" s="11">
        <f t="shared" si="60"/>
        <v>0</v>
      </c>
      <c r="AF185" s="11">
        <f t="shared" si="60"/>
        <v>0</v>
      </c>
      <c r="AG185" s="11">
        <f t="shared" si="60"/>
        <v>0</v>
      </c>
      <c r="AH185" s="11">
        <f t="shared" si="60"/>
        <v>0</v>
      </c>
      <c r="AI185" s="164"/>
      <c r="AJ185" s="165"/>
    </row>
    <row r="186" ht="15.75" customHeight="1">
      <c r="A186" s="11" t="s">
        <v>114</v>
      </c>
      <c r="B186" s="108">
        <f t="shared" si="61"/>
        <v>0</v>
      </c>
      <c r="C186" s="108">
        <f t="shared" si="56"/>
        <v>0</v>
      </c>
      <c r="D186" s="104">
        <v>0.0</v>
      </c>
      <c r="E186" s="104">
        <v>0.0</v>
      </c>
      <c r="F186" s="104">
        <v>0.0</v>
      </c>
      <c r="G186" s="104">
        <v>0.0</v>
      </c>
      <c r="H186" s="104">
        <v>0.0</v>
      </c>
      <c r="I186" s="104">
        <v>0.0</v>
      </c>
      <c r="J186" s="104">
        <v>0.0</v>
      </c>
      <c r="K186" s="104">
        <v>0.0</v>
      </c>
      <c r="L186" s="104">
        <v>0.0</v>
      </c>
      <c r="M186" s="104">
        <v>0.0</v>
      </c>
      <c r="N186" s="104">
        <v>0.0</v>
      </c>
      <c r="O186" s="104">
        <v>0.0</v>
      </c>
      <c r="P186" s="104">
        <v>0.0</v>
      </c>
      <c r="Q186" s="104">
        <v>0.0</v>
      </c>
      <c r="R186" s="104">
        <v>0.0</v>
      </c>
      <c r="S186" s="104">
        <v>0.0</v>
      </c>
      <c r="T186" s="104">
        <v>0.0</v>
      </c>
      <c r="U186" s="104">
        <v>0.0</v>
      </c>
      <c r="V186" s="104">
        <v>0.0</v>
      </c>
      <c r="W186" s="104">
        <v>0.0</v>
      </c>
      <c r="X186" s="104">
        <v>0.0</v>
      </c>
      <c r="Y186" s="104">
        <v>0.0</v>
      </c>
      <c r="Z186" s="104">
        <v>0.0</v>
      </c>
      <c r="AA186" s="104">
        <v>0.0</v>
      </c>
      <c r="AB186" s="104">
        <v>0.0</v>
      </c>
      <c r="AC186" s="104">
        <v>0.0</v>
      </c>
      <c r="AD186" s="104">
        <v>0.0</v>
      </c>
      <c r="AE186" s="104">
        <v>0.0</v>
      </c>
      <c r="AF186" s="104">
        <v>0.0</v>
      </c>
      <c r="AG186" s="104">
        <v>0.0</v>
      </c>
      <c r="AH186" s="104">
        <v>0.0</v>
      </c>
      <c r="AI186" s="164"/>
      <c r="AJ186" s="165"/>
    </row>
    <row r="187" ht="15.75" customHeight="1">
      <c r="A187" s="11" t="s">
        <v>62</v>
      </c>
      <c r="B187" s="108">
        <f t="shared" si="61"/>
        <v>0</v>
      </c>
      <c r="C187" s="108">
        <f t="shared" si="56"/>
        <v>0</v>
      </c>
      <c r="D187" s="11">
        <f t="shared" ref="D187:AH187" si="62">D185-D186</f>
        <v>0</v>
      </c>
      <c r="E187" s="11">
        <f t="shared" si="62"/>
        <v>0</v>
      </c>
      <c r="F187" s="11">
        <f t="shared" si="62"/>
        <v>0</v>
      </c>
      <c r="G187" s="11">
        <f t="shared" si="62"/>
        <v>0</v>
      </c>
      <c r="H187" s="11">
        <f t="shared" si="62"/>
        <v>0</v>
      </c>
      <c r="I187" s="11">
        <f t="shared" si="62"/>
        <v>0</v>
      </c>
      <c r="J187" s="11">
        <f t="shared" si="62"/>
        <v>0</v>
      </c>
      <c r="K187" s="11">
        <f t="shared" si="62"/>
        <v>0</v>
      </c>
      <c r="L187" s="11">
        <f t="shared" si="62"/>
        <v>0</v>
      </c>
      <c r="M187" s="11">
        <f t="shared" si="62"/>
        <v>0</v>
      </c>
      <c r="N187" s="11">
        <f t="shared" si="62"/>
        <v>0</v>
      </c>
      <c r="O187" s="11">
        <f t="shared" si="62"/>
        <v>0</v>
      </c>
      <c r="P187" s="11">
        <f t="shared" si="62"/>
        <v>0</v>
      </c>
      <c r="Q187" s="11">
        <f t="shared" si="62"/>
        <v>0</v>
      </c>
      <c r="R187" s="11">
        <f t="shared" si="62"/>
        <v>0</v>
      </c>
      <c r="S187" s="11">
        <f t="shared" si="62"/>
        <v>0</v>
      </c>
      <c r="T187" s="11">
        <f t="shared" si="62"/>
        <v>0</v>
      </c>
      <c r="U187" s="11">
        <f t="shared" si="62"/>
        <v>0</v>
      </c>
      <c r="V187" s="11">
        <f t="shared" si="62"/>
        <v>0</v>
      </c>
      <c r="W187" s="11">
        <f t="shared" si="62"/>
        <v>0</v>
      </c>
      <c r="X187" s="11">
        <f t="shared" si="62"/>
        <v>0</v>
      </c>
      <c r="Y187" s="11">
        <f t="shared" si="62"/>
        <v>0</v>
      </c>
      <c r="Z187" s="11">
        <f t="shared" si="62"/>
        <v>0</v>
      </c>
      <c r="AA187" s="11">
        <f t="shared" si="62"/>
        <v>0</v>
      </c>
      <c r="AB187" s="11">
        <f t="shared" si="62"/>
        <v>0</v>
      </c>
      <c r="AC187" s="11">
        <f t="shared" si="62"/>
        <v>0</v>
      </c>
      <c r="AD187" s="11">
        <f t="shared" si="62"/>
        <v>0</v>
      </c>
      <c r="AE187" s="11">
        <f t="shared" si="62"/>
        <v>0</v>
      </c>
      <c r="AF187" s="11">
        <f t="shared" si="62"/>
        <v>0</v>
      </c>
      <c r="AG187" s="11">
        <f t="shared" si="62"/>
        <v>0</v>
      </c>
      <c r="AH187" s="11">
        <f t="shared" si="62"/>
        <v>0</v>
      </c>
      <c r="AI187" s="164"/>
      <c r="AJ187" s="165"/>
    </row>
    <row r="188" ht="15.75" customHeight="1">
      <c r="A188" s="60" t="s">
        <v>64</v>
      </c>
      <c r="B188" s="92">
        <f t="shared" si="61"/>
        <v>0</v>
      </c>
      <c r="C188" s="92" t="str">
        <f t="shared" si="56"/>
        <v>#DIV/0!</v>
      </c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189"/>
      <c r="AI188" s="150"/>
      <c r="AJ188" s="151"/>
    </row>
    <row r="189" ht="15.75" customHeight="1">
      <c r="A189" s="60" t="s">
        <v>75</v>
      </c>
      <c r="B189" s="92">
        <f t="shared" si="61"/>
        <v>0</v>
      </c>
      <c r="C189" s="92" t="str">
        <f t="shared" si="56"/>
        <v>#DIV/0!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189"/>
      <c r="AI189" s="150"/>
      <c r="AJ189" s="151"/>
    </row>
    <row r="190" ht="15.75" customHeight="1"/>
    <row r="191" ht="15.75" customHeight="1"/>
    <row r="192" ht="15.75" customHeight="1">
      <c r="A192" s="18" t="s">
        <v>115</v>
      </c>
      <c r="B192" s="18" t="s">
        <v>233</v>
      </c>
      <c r="C192" s="18" t="s">
        <v>234</v>
      </c>
      <c r="D192" s="196" t="s">
        <v>288</v>
      </c>
      <c r="E192" s="18" t="s">
        <v>236</v>
      </c>
      <c r="F192" s="18" t="s">
        <v>237</v>
      </c>
      <c r="G192" s="18" t="s">
        <v>238</v>
      </c>
      <c r="H192" s="196" t="s">
        <v>289</v>
      </c>
      <c r="I192" s="196" t="s">
        <v>290</v>
      </c>
    </row>
    <row r="193" ht="15.75" customHeight="1">
      <c r="A193" s="18" t="s">
        <v>116</v>
      </c>
      <c r="B193" s="138">
        <f t="shared" ref="B193:C193" si="63">SUM(B194:B198)</f>
        <v>0</v>
      </c>
      <c r="C193" s="18">
        <f t="shared" si="63"/>
        <v>0</v>
      </c>
      <c r="D193" s="138" t="str">
        <f t="shared" ref="D193:D197" si="65">B193/C193</f>
        <v>#DIV/0!</v>
      </c>
      <c r="E193" s="18" t="str">
        <f>AVERAGE(E194:E198)</f>
        <v>#DIV/0!</v>
      </c>
      <c r="F193" s="47" t="str">
        <f t="shared" ref="F193:G193" si="64">SUM(F194:F198)</f>
        <v>#DIV/0!</v>
      </c>
      <c r="G193" s="18">
        <f t="shared" si="64"/>
        <v>0</v>
      </c>
      <c r="H193" s="138" t="str">
        <f t="shared" ref="H193:H198" si="66">B193/G193</f>
        <v>#DIV/0!</v>
      </c>
      <c r="I193" s="184" t="str">
        <f>SUM(I194:I198)</f>
        <v>#DIV/0!</v>
      </c>
    </row>
    <row r="194" ht="15.75" customHeight="1">
      <c r="A194" s="18" t="s">
        <v>117</v>
      </c>
      <c r="B194" s="52"/>
      <c r="C194" s="139"/>
      <c r="D194" s="138" t="str">
        <f t="shared" si="65"/>
        <v>#DIV/0!</v>
      </c>
      <c r="E194" s="229"/>
      <c r="F194" s="47" t="str">
        <f t="shared" ref="F194:F198" si="67">B194/$B$193</f>
        <v>#DIV/0!</v>
      </c>
      <c r="G194" s="139"/>
      <c r="H194" s="138" t="str">
        <f t="shared" si="66"/>
        <v>#DIV/0!</v>
      </c>
      <c r="I194" s="199" t="str">
        <f t="shared" ref="I194:I198" si="68">G194/$G$193</f>
        <v>#DIV/0!</v>
      </c>
    </row>
    <row r="195" ht="15.75" customHeight="1">
      <c r="A195" s="18" t="s">
        <v>118</v>
      </c>
      <c r="B195" s="52"/>
      <c r="C195" s="139"/>
      <c r="D195" s="138" t="str">
        <f t="shared" si="65"/>
        <v>#DIV/0!</v>
      </c>
      <c r="E195" s="229"/>
      <c r="F195" s="47" t="str">
        <f t="shared" si="67"/>
        <v>#DIV/0!</v>
      </c>
      <c r="G195" s="139"/>
      <c r="H195" s="138" t="str">
        <f t="shared" si="66"/>
        <v>#DIV/0!</v>
      </c>
      <c r="I195" s="199" t="str">
        <f t="shared" si="68"/>
        <v>#DIV/0!</v>
      </c>
    </row>
    <row r="196" ht="15.75" customHeight="1">
      <c r="A196" s="18" t="s">
        <v>119</v>
      </c>
      <c r="B196" s="52"/>
      <c r="C196" s="139"/>
      <c r="D196" s="138" t="str">
        <f t="shared" si="65"/>
        <v>#DIV/0!</v>
      </c>
      <c r="E196" s="52"/>
      <c r="F196" s="47" t="str">
        <f t="shared" si="67"/>
        <v>#DIV/0!</v>
      </c>
      <c r="G196" s="139"/>
      <c r="H196" s="138" t="str">
        <f t="shared" si="66"/>
        <v>#DIV/0!</v>
      </c>
      <c r="I196" s="199" t="str">
        <f t="shared" si="68"/>
        <v>#DIV/0!</v>
      </c>
    </row>
    <row r="197" ht="15.75" customHeight="1">
      <c r="A197" s="18" t="s">
        <v>120</v>
      </c>
      <c r="B197" s="52"/>
      <c r="C197" s="139"/>
      <c r="D197" s="138" t="str">
        <f t="shared" si="65"/>
        <v>#DIV/0!</v>
      </c>
      <c r="E197" s="52"/>
      <c r="F197" s="47" t="str">
        <f t="shared" si="67"/>
        <v>#DIV/0!</v>
      </c>
      <c r="G197" s="139"/>
      <c r="H197" s="138" t="str">
        <f t="shared" si="66"/>
        <v>#DIV/0!</v>
      </c>
      <c r="I197" s="199" t="str">
        <f t="shared" si="68"/>
        <v>#DIV/0!</v>
      </c>
    </row>
    <row r="198" ht="15.75" customHeight="1">
      <c r="A198" s="18" t="s">
        <v>121</v>
      </c>
      <c r="B198" s="52"/>
      <c r="C198" s="139"/>
      <c r="D198" s="52">
        <v>10000.0</v>
      </c>
      <c r="E198" s="52"/>
      <c r="F198" s="47" t="str">
        <f t="shared" si="67"/>
        <v>#DIV/0!</v>
      </c>
      <c r="G198" s="139"/>
      <c r="H198" s="138" t="str">
        <f t="shared" si="66"/>
        <v>#DIV/0!</v>
      </c>
      <c r="I198" s="199" t="str">
        <f t="shared" si="68"/>
        <v>#DIV/0!</v>
      </c>
    </row>
    <row r="199" ht="15.75" customHeight="1">
      <c r="A199" s="18"/>
      <c r="B199" s="18"/>
      <c r="C199" s="18"/>
      <c r="D199" s="18"/>
      <c r="E199" s="138"/>
      <c r="F199" s="18"/>
      <c r="G199" s="18"/>
      <c r="H199" s="18"/>
      <c r="I199" s="184"/>
    </row>
    <row r="200" ht="15.75" customHeight="1">
      <c r="A200" s="18" t="s">
        <v>122</v>
      </c>
      <c r="B200" s="18" t="s">
        <v>233</v>
      </c>
      <c r="C200" s="18" t="s">
        <v>234</v>
      </c>
      <c r="D200" s="196" t="s">
        <v>288</v>
      </c>
      <c r="E200" s="18" t="s">
        <v>236</v>
      </c>
      <c r="F200" s="18" t="s">
        <v>237</v>
      </c>
      <c r="G200" s="18" t="s">
        <v>238</v>
      </c>
      <c r="H200" s="196" t="s">
        <v>289</v>
      </c>
      <c r="I200" s="196" t="s">
        <v>290</v>
      </c>
    </row>
    <row r="201" ht="15.75" customHeight="1">
      <c r="A201" s="18" t="s">
        <v>116</v>
      </c>
      <c r="B201" s="138">
        <f t="shared" ref="B201:C201" si="69">SUM(B202:B205)</f>
        <v>0</v>
      </c>
      <c r="C201" s="18">
        <f t="shared" si="69"/>
        <v>0</v>
      </c>
      <c r="D201" s="138" t="str">
        <f t="shared" ref="D201:D205" si="71">B201/C201</f>
        <v>#DIV/0!</v>
      </c>
      <c r="E201" s="138" t="str">
        <f>AVERAGE(E202:E214)</f>
        <v>#DIV/0!</v>
      </c>
      <c r="F201" s="47" t="str">
        <f t="shared" ref="F201:G201" si="70">SUM(F202:F205)</f>
        <v>#DIV/0!</v>
      </c>
      <c r="G201" s="18">
        <f t="shared" si="70"/>
        <v>0</v>
      </c>
      <c r="H201" s="138" t="str">
        <f t="shared" ref="H201:H205" si="72">B201/G201</f>
        <v>#DIV/0!</v>
      </c>
      <c r="I201" s="199" t="str">
        <f t="shared" ref="I201:I205" si="73">G201/$G$201</f>
        <v>#DIV/0!</v>
      </c>
    </row>
    <row r="202" ht="15.75" customHeight="1">
      <c r="A202" s="18" t="s">
        <v>117</v>
      </c>
      <c r="B202" s="52"/>
      <c r="C202" s="139"/>
      <c r="D202" s="138" t="str">
        <f t="shared" si="71"/>
        <v>#DIV/0!</v>
      </c>
      <c r="E202" s="52"/>
      <c r="F202" s="47" t="str">
        <f t="shared" ref="F202:F205" si="74">B202/$B$201</f>
        <v>#DIV/0!</v>
      </c>
      <c r="G202" s="139"/>
      <c r="H202" s="138" t="str">
        <f t="shared" si="72"/>
        <v>#DIV/0!</v>
      </c>
      <c r="I202" s="199" t="str">
        <f t="shared" si="73"/>
        <v>#DIV/0!</v>
      </c>
    </row>
    <row r="203" ht="15.75" customHeight="1">
      <c r="A203" s="18" t="s">
        <v>118</v>
      </c>
      <c r="B203" s="52"/>
      <c r="C203" s="139"/>
      <c r="D203" s="138" t="str">
        <f t="shared" si="71"/>
        <v>#DIV/0!</v>
      </c>
      <c r="E203" s="52"/>
      <c r="F203" s="47" t="str">
        <f t="shared" si="74"/>
        <v>#DIV/0!</v>
      </c>
      <c r="G203" s="139"/>
      <c r="H203" s="138" t="str">
        <f t="shared" si="72"/>
        <v>#DIV/0!</v>
      </c>
      <c r="I203" s="199" t="str">
        <f t="shared" si="73"/>
        <v>#DIV/0!</v>
      </c>
    </row>
    <row r="204" ht="15.75" customHeight="1">
      <c r="A204" s="18" t="s">
        <v>119</v>
      </c>
      <c r="B204" s="52"/>
      <c r="C204" s="139"/>
      <c r="D204" s="138" t="str">
        <f t="shared" si="71"/>
        <v>#DIV/0!</v>
      </c>
      <c r="E204" s="52"/>
      <c r="F204" s="47" t="str">
        <f t="shared" si="74"/>
        <v>#DIV/0!</v>
      </c>
      <c r="G204" s="139"/>
      <c r="H204" s="138" t="str">
        <f t="shared" si="72"/>
        <v>#DIV/0!</v>
      </c>
      <c r="I204" s="199" t="str">
        <f t="shared" si="73"/>
        <v>#DIV/0!</v>
      </c>
    </row>
    <row r="205" ht="15.75" customHeight="1">
      <c r="A205" s="18" t="s">
        <v>121</v>
      </c>
      <c r="B205" s="52"/>
      <c r="C205" s="139"/>
      <c r="D205" s="138" t="str">
        <f t="shared" si="71"/>
        <v>#DIV/0!</v>
      </c>
      <c r="E205" s="52"/>
      <c r="F205" s="47" t="str">
        <f t="shared" si="74"/>
        <v>#DIV/0!</v>
      </c>
      <c r="G205" s="139"/>
      <c r="H205" s="138" t="str">
        <f t="shared" si="72"/>
        <v>#DIV/0!</v>
      </c>
      <c r="I205" s="199" t="str">
        <f t="shared" si="73"/>
        <v>#DIV/0!</v>
      </c>
    </row>
    <row r="206" ht="15.75" customHeight="1">
      <c r="A206" s="19"/>
      <c r="B206" s="19"/>
      <c r="C206" s="19"/>
      <c r="D206" s="19"/>
      <c r="E206" s="19"/>
      <c r="F206" s="19"/>
      <c r="G206" s="19"/>
      <c r="H206" s="19"/>
    </row>
    <row r="207" ht="15.75" customHeight="1">
      <c r="A207" s="230" t="s">
        <v>123</v>
      </c>
      <c r="B207" s="10"/>
      <c r="C207" s="19"/>
      <c r="D207" s="19"/>
      <c r="E207" s="19"/>
      <c r="F207" s="19"/>
      <c r="G207" s="19"/>
      <c r="H207" s="19"/>
    </row>
    <row r="208" ht="15.75" customHeight="1">
      <c r="A208" s="196" t="s">
        <v>2</v>
      </c>
      <c r="B208" s="206"/>
      <c r="C208" s="19"/>
      <c r="D208" s="19"/>
      <c r="E208" s="19"/>
      <c r="F208" s="19"/>
      <c r="G208" s="19"/>
      <c r="H208" s="19"/>
    </row>
    <row r="209" ht="15.75" customHeight="1">
      <c r="A209" s="196" t="s">
        <v>124</v>
      </c>
      <c r="B209" s="206"/>
    </row>
    <row r="210" ht="15.75" customHeight="1">
      <c r="A210" s="196" t="s">
        <v>125</v>
      </c>
      <c r="B210" s="200"/>
    </row>
    <row r="211" ht="15.75" customHeight="1">
      <c r="A211" s="196" t="s">
        <v>126</v>
      </c>
      <c r="B211" s="200"/>
    </row>
    <row r="212" ht="15.75" customHeight="1">
      <c r="A212" s="196" t="s">
        <v>127</v>
      </c>
      <c r="B212" s="200"/>
    </row>
    <row r="213" ht="15.75" customHeight="1">
      <c r="A213" s="196" t="s">
        <v>43</v>
      </c>
      <c r="B213" s="200"/>
    </row>
    <row r="214" ht="15.75" customHeight="1">
      <c r="A214" s="196" t="s">
        <v>46</v>
      </c>
      <c r="B214" s="200"/>
    </row>
    <row r="215" ht="15.75" customHeight="1"/>
    <row r="216" ht="15.75" customHeight="1">
      <c r="A216" s="207" t="s">
        <v>128</v>
      </c>
    </row>
    <row r="217" ht="15.75" customHeight="1">
      <c r="A217" s="184"/>
      <c r="B217" s="196" t="s">
        <v>129</v>
      </c>
      <c r="C217" s="196" t="s">
        <v>125</v>
      </c>
      <c r="D217" s="196" t="s">
        <v>130</v>
      </c>
      <c r="E217" s="196" t="s">
        <v>131</v>
      </c>
      <c r="F217" s="196" t="s">
        <v>132</v>
      </c>
      <c r="G217" s="196" t="s">
        <v>126</v>
      </c>
      <c r="H217" s="196" t="s">
        <v>133</v>
      </c>
      <c r="I217" s="196" t="s">
        <v>131</v>
      </c>
    </row>
    <row r="218" ht="15.75" customHeight="1">
      <c r="A218" s="196" t="s">
        <v>134</v>
      </c>
      <c r="B218" s="196"/>
      <c r="C218" s="197"/>
      <c r="D218" s="184" t="str">
        <f t="shared" ref="D218:D225" si="75">C218/B218</f>
        <v>#DIV/0!</v>
      </c>
      <c r="E218" s="231">
        <v>0.188</v>
      </c>
      <c r="F218" s="196"/>
      <c r="G218" s="196"/>
      <c r="H218" s="197" t="str">
        <f>AVERAGE(H219:H225)</f>
        <v>#DIV/0!</v>
      </c>
      <c r="I218" s="208">
        <f>SUM(I219:I225)</f>
        <v>0</v>
      </c>
    </row>
    <row r="219" ht="15.75" customHeight="1">
      <c r="A219" s="196" t="s">
        <v>135</v>
      </c>
      <c r="B219" s="196"/>
      <c r="C219" s="197"/>
      <c r="D219" s="184" t="str">
        <f t="shared" si="75"/>
        <v>#DIV/0!</v>
      </c>
      <c r="E219" s="231">
        <v>0.315</v>
      </c>
      <c r="F219" s="196"/>
      <c r="G219" s="197"/>
      <c r="H219" s="184" t="str">
        <f>G219/F219</f>
        <v>#DIV/0!</v>
      </c>
      <c r="I219" s="208"/>
    </row>
    <row r="220" ht="15.75" customHeight="1">
      <c r="A220" s="196" t="s">
        <v>136</v>
      </c>
      <c r="B220" s="196"/>
      <c r="C220" s="197"/>
      <c r="D220" s="184" t="str">
        <f t="shared" si="75"/>
        <v>#DIV/0!</v>
      </c>
      <c r="E220" s="231">
        <v>0.305</v>
      </c>
      <c r="F220" s="196"/>
      <c r="G220" s="197"/>
      <c r="H220" s="197">
        <v>0.0</v>
      </c>
      <c r="I220" s="208"/>
    </row>
    <row r="221" ht="15.75" customHeight="1">
      <c r="A221" s="196" t="s">
        <v>137</v>
      </c>
      <c r="B221" s="196"/>
      <c r="C221" s="197"/>
      <c r="D221" s="184" t="str">
        <f t="shared" si="75"/>
        <v>#DIV/0!</v>
      </c>
      <c r="E221" s="231">
        <v>0.06</v>
      </c>
      <c r="F221" s="196"/>
      <c r="G221" s="197"/>
      <c r="H221" s="184" t="str">
        <f>G221/F221</f>
        <v>#DIV/0!</v>
      </c>
      <c r="I221" s="208"/>
    </row>
    <row r="222" ht="15.75" customHeight="1">
      <c r="A222" s="196" t="s">
        <v>138</v>
      </c>
      <c r="B222" s="196"/>
      <c r="C222" s="197"/>
      <c r="D222" s="184" t="str">
        <f t="shared" si="75"/>
        <v>#DIV/0!</v>
      </c>
      <c r="E222" s="231">
        <v>0.022</v>
      </c>
      <c r="F222" s="196"/>
      <c r="G222" s="197"/>
      <c r="H222" s="197">
        <v>0.0</v>
      </c>
      <c r="I222" s="208"/>
    </row>
    <row r="223" ht="15.75" customHeight="1">
      <c r="A223" s="196" t="s">
        <v>139</v>
      </c>
      <c r="B223" s="196"/>
      <c r="C223" s="197"/>
      <c r="D223" s="184" t="str">
        <f t="shared" si="75"/>
        <v>#DIV/0!</v>
      </c>
      <c r="E223" s="231">
        <v>0.074</v>
      </c>
      <c r="F223" s="196"/>
      <c r="G223" s="197"/>
      <c r="H223" s="184" t="str">
        <f>G223/F223</f>
        <v>#DIV/0!</v>
      </c>
      <c r="I223" s="208"/>
    </row>
    <row r="224" ht="15.75" customHeight="1">
      <c r="A224" s="196" t="s">
        <v>140</v>
      </c>
      <c r="B224" s="196"/>
      <c r="C224" s="197"/>
      <c r="D224" s="184" t="str">
        <f t="shared" si="75"/>
        <v>#DIV/0!</v>
      </c>
      <c r="E224" s="231">
        <v>0.011</v>
      </c>
      <c r="F224" s="196"/>
      <c r="G224" s="197"/>
      <c r="H224" s="197">
        <v>0.0</v>
      </c>
      <c r="I224" s="208"/>
    </row>
    <row r="225" ht="15.75" customHeight="1">
      <c r="A225" s="201" t="s">
        <v>300</v>
      </c>
      <c r="B225" s="201"/>
      <c r="C225" s="232"/>
      <c r="D225" s="233" t="str">
        <f t="shared" si="75"/>
        <v>#DIV/0!</v>
      </c>
      <c r="E225" s="234">
        <v>0.025</v>
      </c>
      <c r="F225" s="201"/>
      <c r="G225" s="196"/>
      <c r="H225" s="197">
        <v>0.0</v>
      </c>
      <c r="I225" s="208"/>
    </row>
    <row r="226" ht="15.75" customHeight="1">
      <c r="A226" s="235"/>
      <c r="B226" s="235"/>
      <c r="C226" s="236"/>
      <c r="D226" s="237"/>
      <c r="E226" s="238"/>
      <c r="F226" s="239"/>
      <c r="G226" s="23"/>
      <c r="H226" s="240"/>
      <c r="I226" s="241"/>
    </row>
    <row r="227" ht="15.75" customHeight="1">
      <c r="A227" s="24" t="s">
        <v>141</v>
      </c>
      <c r="B227" s="24" t="s">
        <v>142</v>
      </c>
      <c r="C227" s="24" t="s">
        <v>143</v>
      </c>
      <c r="D227" s="24" t="s">
        <v>144</v>
      </c>
      <c r="E227" s="24" t="s">
        <v>145</v>
      </c>
      <c r="F227" s="256"/>
    </row>
    <row r="228" ht="15.75" customHeight="1">
      <c r="A228" s="27" t="s">
        <v>146</v>
      </c>
      <c r="B228" s="24"/>
      <c r="C228" s="29"/>
      <c r="D228" s="209"/>
      <c r="E228" s="28"/>
      <c r="F228" s="257"/>
    </row>
    <row r="229" ht="15.75" customHeight="1">
      <c r="A229" s="27" t="s">
        <v>147</v>
      </c>
      <c r="B229" s="28"/>
      <c r="C229" s="29"/>
      <c r="D229" s="209"/>
      <c r="E229" s="28"/>
      <c r="F229" s="257"/>
    </row>
    <row r="230" ht="15.75" customHeight="1">
      <c r="A230" s="27" t="s">
        <v>148</v>
      </c>
      <c r="B230" s="24"/>
      <c r="C230" s="29"/>
      <c r="D230" s="209"/>
      <c r="E230" s="28"/>
      <c r="F230" s="257"/>
    </row>
    <row r="231" ht="15.75" customHeight="1">
      <c r="A231" s="27" t="s">
        <v>149</v>
      </c>
      <c r="B231" s="24"/>
      <c r="C231" s="29"/>
      <c r="D231" s="209"/>
      <c r="E231" s="28"/>
      <c r="F231" s="257"/>
    </row>
    <row r="232" ht="15.75" customHeight="1">
      <c r="A232" s="27" t="s">
        <v>150</v>
      </c>
      <c r="B232" s="24"/>
      <c r="C232" s="29"/>
      <c r="D232" s="209"/>
      <c r="E232" s="28"/>
      <c r="F232" s="257"/>
    </row>
    <row r="233" ht="15.75" customHeight="1">
      <c r="A233" s="27" t="s">
        <v>151</v>
      </c>
      <c r="B233" s="24"/>
      <c r="C233" s="29"/>
      <c r="D233" s="209"/>
      <c r="E233" s="28"/>
      <c r="F233" s="257"/>
    </row>
    <row r="234" ht="15.75" customHeight="1">
      <c r="A234" s="27" t="s">
        <v>152</v>
      </c>
      <c r="B234" s="24"/>
      <c r="C234" s="29"/>
      <c r="D234" s="209"/>
      <c r="E234" s="28"/>
      <c r="F234" s="257"/>
    </row>
    <row r="235" ht="15.75" customHeight="1">
      <c r="A235" s="27" t="s">
        <v>153</v>
      </c>
      <c r="B235" s="24"/>
      <c r="C235" s="29"/>
      <c r="D235" s="209"/>
      <c r="E235" s="28"/>
      <c r="F235" s="257"/>
    </row>
    <row r="236" ht="15.75" customHeight="1">
      <c r="A236" s="27" t="s">
        <v>154</v>
      </c>
      <c r="B236" s="24"/>
      <c r="C236" s="29"/>
      <c r="D236" s="209"/>
      <c r="E236" s="28"/>
      <c r="F236" s="257"/>
    </row>
    <row r="237" ht="15.75" customHeight="1">
      <c r="A237" s="27" t="s">
        <v>155</v>
      </c>
      <c r="B237" s="24"/>
      <c r="C237" s="29"/>
      <c r="D237" s="209"/>
      <c r="E237" s="28"/>
      <c r="F237" s="257"/>
    </row>
    <row r="238" ht="15.75" customHeight="1">
      <c r="A238" s="27" t="s">
        <v>156</v>
      </c>
      <c r="B238" s="24"/>
      <c r="C238" s="29"/>
      <c r="D238" s="209"/>
      <c r="E238" s="28"/>
      <c r="F238" s="257"/>
    </row>
    <row r="239" ht="15.75" customHeight="1">
      <c r="A239" s="27" t="s">
        <v>157</v>
      </c>
      <c r="B239" s="24"/>
      <c r="C239" s="29"/>
      <c r="D239" s="209"/>
      <c r="E239" s="28"/>
      <c r="F239" s="257"/>
    </row>
    <row r="240" ht="15.75" customHeight="1">
      <c r="A240" s="27" t="s">
        <v>158</v>
      </c>
      <c r="B240" s="24"/>
      <c r="C240" s="29"/>
      <c r="D240" s="209"/>
      <c r="E240" s="28"/>
      <c r="F240" s="258"/>
    </row>
    <row r="241" ht="15.75" customHeight="1">
      <c r="A241" s="27" t="s">
        <v>159</v>
      </c>
      <c r="B241" s="24"/>
      <c r="C241" s="28"/>
      <c r="D241" s="210"/>
      <c r="E241" s="28"/>
      <c r="F241" s="258"/>
    </row>
    <row r="242" ht="15.75" customHeight="1">
      <c r="A242" s="27" t="s">
        <v>160</v>
      </c>
      <c r="B242" s="24"/>
      <c r="C242" s="211"/>
      <c r="D242" s="212"/>
      <c r="E242" s="28"/>
      <c r="F242" s="259"/>
    </row>
    <row r="243" ht="15.75" customHeight="1">
      <c r="A243" s="27" t="s">
        <v>161</v>
      </c>
      <c r="B243" s="24"/>
      <c r="C243" s="28"/>
      <c r="D243" s="210"/>
      <c r="E243" s="28"/>
      <c r="F243" s="258"/>
    </row>
    <row r="244" ht="15.75" customHeight="1">
      <c r="A244" s="27" t="s">
        <v>162</v>
      </c>
      <c r="B244" s="24"/>
      <c r="C244" s="28"/>
      <c r="D244" s="210"/>
      <c r="E244" s="28"/>
      <c r="F244" s="259"/>
    </row>
    <row r="245" ht="15.75" customHeight="1">
      <c r="A245" s="27" t="s">
        <v>163</v>
      </c>
      <c r="B245" s="24"/>
      <c r="C245" s="28"/>
      <c r="D245" s="210"/>
      <c r="E245" s="28"/>
      <c r="F245" s="258"/>
    </row>
    <row r="246" ht="15.75" customHeight="1">
      <c r="A246" s="27" t="s">
        <v>164</v>
      </c>
      <c r="B246" s="24"/>
      <c r="C246" s="28"/>
      <c r="D246" s="210"/>
      <c r="E246" s="28"/>
      <c r="F246" s="258"/>
    </row>
    <row r="247" ht="15.75" customHeight="1">
      <c r="A247" s="27" t="s">
        <v>165</v>
      </c>
      <c r="B247" s="24"/>
      <c r="C247" s="28"/>
      <c r="D247" s="210"/>
      <c r="E247" s="28"/>
    </row>
    <row r="248" ht="15.75" customHeight="1">
      <c r="A248" s="27" t="s">
        <v>166</v>
      </c>
      <c r="B248" s="24"/>
      <c r="C248" s="28"/>
      <c r="D248" s="210"/>
      <c r="E248" s="28"/>
    </row>
    <row r="249" ht="15.75" customHeight="1">
      <c r="A249" s="27" t="s">
        <v>167</v>
      </c>
      <c r="B249" s="24"/>
      <c r="C249" s="28"/>
      <c r="D249" s="210"/>
      <c r="E249" s="28"/>
    </row>
    <row r="250" ht="15.75" customHeight="1">
      <c r="A250" s="27" t="s">
        <v>168</v>
      </c>
      <c r="B250" s="24"/>
      <c r="C250" s="28"/>
      <c r="D250" s="210"/>
      <c r="E250" s="28"/>
    </row>
    <row r="251" ht="15.75" customHeight="1">
      <c r="A251" s="27" t="s">
        <v>169</v>
      </c>
      <c r="B251" s="24"/>
      <c r="C251" s="28"/>
      <c r="D251" s="210"/>
      <c r="E251" s="28"/>
    </row>
    <row r="252" ht="15.75" customHeight="1">
      <c r="A252" s="27" t="s">
        <v>170</v>
      </c>
      <c r="B252" s="24"/>
      <c r="C252" s="28"/>
      <c r="D252" s="210"/>
      <c r="E252" s="28"/>
    </row>
    <row r="253" ht="15.75" customHeight="1">
      <c r="A253" s="27" t="s">
        <v>171</v>
      </c>
      <c r="B253" s="24"/>
      <c r="C253" s="28"/>
      <c r="D253" s="210"/>
      <c r="E253" s="28"/>
    </row>
    <row r="254" ht="15.75" customHeight="1">
      <c r="A254" s="27" t="s">
        <v>172</v>
      </c>
      <c r="B254" s="24"/>
      <c r="C254" s="28"/>
      <c r="D254" s="210"/>
      <c r="E254" s="28"/>
    </row>
    <row r="255" ht="15.75" customHeight="1">
      <c r="A255" s="27" t="s">
        <v>173</v>
      </c>
      <c r="B255" s="24"/>
      <c r="C255" s="28"/>
      <c r="D255" s="210"/>
      <c r="E255" s="28"/>
    </row>
    <row r="256" ht="15.75" customHeight="1">
      <c r="A256" s="27" t="s">
        <v>174</v>
      </c>
      <c r="B256" s="24"/>
      <c r="C256" s="28"/>
      <c r="D256" s="210"/>
      <c r="E256" s="28"/>
    </row>
    <row r="257" ht="15.75" customHeight="1">
      <c r="A257" s="27" t="s">
        <v>175</v>
      </c>
      <c r="B257" s="24"/>
      <c r="C257" s="28"/>
      <c r="D257" s="210"/>
      <c r="E257" s="28"/>
    </row>
    <row r="258" ht="15.75" customHeight="1">
      <c r="A258" s="27" t="s">
        <v>176</v>
      </c>
      <c r="B258" s="24"/>
      <c r="C258" s="28"/>
      <c r="D258" s="210"/>
      <c r="E258" s="28"/>
    </row>
    <row r="259" ht="15.75" customHeight="1">
      <c r="A259" s="27" t="s">
        <v>177</v>
      </c>
      <c r="B259" s="24"/>
      <c r="C259" s="28"/>
      <c r="D259" s="210"/>
      <c r="E259" s="28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9">
    <mergeCell ref="O73:Q73"/>
    <mergeCell ref="A207:B207"/>
    <mergeCell ref="D66:AH66"/>
    <mergeCell ref="D67:AH67"/>
    <mergeCell ref="D68:AH68"/>
    <mergeCell ref="D69:AH69"/>
    <mergeCell ref="D70:AH70"/>
    <mergeCell ref="D71:AH71"/>
    <mergeCell ref="O72:Q72"/>
  </mergeCells>
  <hyperlinks>
    <hyperlink r:id="rId1" ref="D66"/>
    <hyperlink r:id="rId2" ref="D68"/>
    <hyperlink r:id="rId3" ref="D70"/>
    <hyperlink r:id="rId4" ref="F72"/>
    <hyperlink r:id="rId5" ref="O72"/>
    <hyperlink r:id="rId6" ref="A216"/>
  </hyperlinks>
  <printOptions/>
  <pageMargins bottom="1.0" footer="0.0" header="0.0" left="0.75" right="0.75" top="1.0"/>
  <pageSetup orientation="landscape"/>
  <drawing r:id="rId7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6.14"/>
  </cols>
  <sheetData>
    <row r="1">
      <c r="A1" s="23" t="s">
        <v>309</v>
      </c>
    </row>
    <row r="2">
      <c r="A2" s="260">
        <v>7.996872876E9</v>
      </c>
      <c r="B2" s="23" t="s">
        <v>310</v>
      </c>
    </row>
    <row r="3">
      <c r="A3" s="23">
        <v>-1.003439327565E12</v>
      </c>
      <c r="B3" s="23" t="s">
        <v>311</v>
      </c>
      <c r="D3" s="23">
        <v>-1.003439327565E12</v>
      </c>
      <c r="E3" s="23" t="s">
        <v>311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312</v>
      </c>
      <c r="B1" s="23" t="s">
        <v>313</v>
      </c>
      <c r="C1" s="23" t="s">
        <v>314</v>
      </c>
      <c r="D1" s="23" t="s">
        <v>315</v>
      </c>
      <c r="E1" s="23" t="s">
        <v>316</v>
      </c>
      <c r="F1" s="23" t="s">
        <v>317</v>
      </c>
      <c r="G1" s="23" t="s">
        <v>318</v>
      </c>
      <c r="H1" s="23" t="s">
        <v>319</v>
      </c>
      <c r="I1" s="23" t="s">
        <v>320</v>
      </c>
      <c r="J1" s="23" t="s">
        <v>321</v>
      </c>
      <c r="K1" s="23" t="s">
        <v>322</v>
      </c>
    </row>
    <row r="2">
      <c r="A2" s="261">
        <v>46041.15833333333</v>
      </c>
      <c r="B2" s="23">
        <v>202601.0</v>
      </c>
      <c r="C2" s="262">
        <v>46053.0</v>
      </c>
      <c r="D2" s="23" t="s">
        <v>323</v>
      </c>
      <c r="E2" s="23" t="s">
        <v>324</v>
      </c>
      <c r="F2" s="263">
        <v>1.0</v>
      </c>
      <c r="G2" s="23" t="s">
        <v>325</v>
      </c>
    </row>
    <row r="3">
      <c r="A3" s="261">
        <v>46041.17222222222</v>
      </c>
      <c r="B3" s="23">
        <v>202601.0</v>
      </c>
      <c r="C3" s="262">
        <v>46040.0</v>
      </c>
      <c r="D3" s="262">
        <v>46041.0</v>
      </c>
      <c r="E3" s="23" t="s">
        <v>326</v>
      </c>
      <c r="F3" s="23" t="s">
        <v>327</v>
      </c>
      <c r="G3" s="263">
        <v>1.0</v>
      </c>
      <c r="H3" s="23" t="s">
        <v>325</v>
      </c>
    </row>
    <row r="4">
      <c r="A4" s="261">
        <v>46041.22083333333</v>
      </c>
      <c r="B4" s="264">
        <v>46040.0</v>
      </c>
      <c r="C4" s="23" t="s">
        <v>328</v>
      </c>
      <c r="D4" s="23" t="s">
        <v>329</v>
      </c>
      <c r="E4" s="263">
        <v>1.0</v>
      </c>
      <c r="F4" s="23" t="s">
        <v>325</v>
      </c>
    </row>
    <row r="5">
      <c r="A5" s="261">
        <v>46041.22152777778</v>
      </c>
      <c r="B5" s="264">
        <v>46040.0</v>
      </c>
      <c r="C5" s="23" t="s">
        <v>330</v>
      </c>
      <c r="D5" s="23" t="s">
        <v>329</v>
      </c>
      <c r="E5" s="263">
        <v>1.0</v>
      </c>
      <c r="F5" s="23" t="s">
        <v>325</v>
      </c>
    </row>
    <row r="6">
      <c r="A6" s="261">
        <v>46041.525</v>
      </c>
      <c r="B6" s="23">
        <v>202601.0</v>
      </c>
      <c r="C6" s="264">
        <v>46040.0</v>
      </c>
      <c r="D6" s="264">
        <v>46039.0</v>
      </c>
      <c r="E6" s="23" t="s">
        <v>331</v>
      </c>
      <c r="F6" s="23" t="s">
        <v>329</v>
      </c>
      <c r="G6" s="263">
        <v>1.0</v>
      </c>
      <c r="H6" s="23" t="s">
        <v>325</v>
      </c>
    </row>
    <row r="7">
      <c r="A7" s="261">
        <v>46041.19861111111</v>
      </c>
      <c r="B7" s="23">
        <v>202601.0</v>
      </c>
      <c r="C7" s="262">
        <v>46039.0</v>
      </c>
      <c r="D7" s="262">
        <v>46040.0</v>
      </c>
      <c r="E7" s="23" t="s">
        <v>332</v>
      </c>
      <c r="F7" s="23" t="s">
        <v>329</v>
      </c>
      <c r="G7" s="263">
        <v>1.0</v>
      </c>
      <c r="H7" s="23" t="s">
        <v>325</v>
      </c>
    </row>
    <row r="8">
      <c r="A8" s="261">
        <v>46041.220138888886</v>
      </c>
      <c r="B8" s="23">
        <v>202601.0</v>
      </c>
      <c r="C8" s="262">
        <v>46052.0</v>
      </c>
      <c r="D8" s="262">
        <v>46053.0</v>
      </c>
      <c r="E8" s="23" t="s">
        <v>333</v>
      </c>
      <c r="F8" s="23" t="s">
        <v>324</v>
      </c>
      <c r="G8" s="263">
        <v>1.0</v>
      </c>
      <c r="H8" s="23" t="s">
        <v>325</v>
      </c>
    </row>
    <row r="9">
      <c r="A9" s="261">
        <v>46041.22777777778</v>
      </c>
      <c r="B9" s="23">
        <v>202601.0</v>
      </c>
      <c r="C9" s="262">
        <v>46039.0</v>
      </c>
      <c r="D9" s="262">
        <v>46040.0</v>
      </c>
      <c r="E9" s="23" t="s">
        <v>334</v>
      </c>
      <c r="F9" s="23" t="s">
        <v>329</v>
      </c>
      <c r="G9" s="263">
        <v>1.0</v>
      </c>
      <c r="H9" s="23" t="s">
        <v>325</v>
      </c>
      <c r="K9" s="23" t="s">
        <v>335</v>
      </c>
    </row>
    <row r="10">
      <c r="A10" s="261">
        <v>46041.240277777775</v>
      </c>
      <c r="B10" s="23">
        <v>202601.0</v>
      </c>
      <c r="C10" s="262">
        <v>46039.0</v>
      </c>
      <c r="D10" s="262">
        <v>46040.0</v>
      </c>
      <c r="E10" s="23" t="s">
        <v>336</v>
      </c>
      <c r="F10" s="23" t="s">
        <v>329</v>
      </c>
      <c r="G10" s="263">
        <v>1.0</v>
      </c>
      <c r="H10" s="23" t="s">
        <v>325</v>
      </c>
      <c r="K10" s="23" t="s">
        <v>335</v>
      </c>
    </row>
    <row r="11">
      <c r="A11" s="261">
        <v>46041.24097222222</v>
      </c>
      <c r="B11" s="23">
        <v>202601.0</v>
      </c>
      <c r="C11" s="262">
        <v>46039.0</v>
      </c>
      <c r="D11" s="262">
        <v>46040.0</v>
      </c>
      <c r="E11" s="23" t="s">
        <v>337</v>
      </c>
      <c r="F11" s="23" t="s">
        <v>329</v>
      </c>
      <c r="G11" s="263">
        <v>2.0</v>
      </c>
      <c r="H11" s="23" t="s">
        <v>325</v>
      </c>
      <c r="K11" s="23" t="s">
        <v>335</v>
      </c>
    </row>
    <row r="12">
      <c r="A12" s="261">
        <v>46041.356944444444</v>
      </c>
      <c r="B12" s="23">
        <v>202601.0</v>
      </c>
      <c r="C12" s="262">
        <v>46039.0</v>
      </c>
      <c r="D12" s="262">
        <v>46040.0</v>
      </c>
      <c r="E12" s="23" t="s">
        <v>338</v>
      </c>
      <c r="F12" s="23" t="s">
        <v>329</v>
      </c>
      <c r="G12" s="263">
        <v>2.0</v>
      </c>
      <c r="H12" s="23" t="s">
        <v>325</v>
      </c>
      <c r="K12" s="23" t="s">
        <v>335</v>
      </c>
    </row>
    <row r="13">
      <c r="A13" s="261">
        <v>46042.356944444444</v>
      </c>
      <c r="B13" s="23">
        <v>202601.0</v>
      </c>
      <c r="C13" s="262">
        <v>46040.0</v>
      </c>
      <c r="D13" s="262">
        <v>46041.0</v>
      </c>
      <c r="E13" s="23" t="s">
        <v>339</v>
      </c>
      <c r="F13" s="23" t="s">
        <v>327</v>
      </c>
      <c r="G13" s="263">
        <v>2.0</v>
      </c>
      <c r="H13" s="23" t="s">
        <v>325</v>
      </c>
      <c r="K13" s="23" t="s">
        <v>335</v>
      </c>
    </row>
    <row r="14">
      <c r="A14" s="261">
        <v>46043.356944444444</v>
      </c>
      <c r="B14" s="23">
        <v>202601.0</v>
      </c>
      <c r="C14" s="262">
        <v>46041.0</v>
      </c>
      <c r="D14" s="262">
        <v>46042.0</v>
      </c>
      <c r="E14" s="23" t="s">
        <v>340</v>
      </c>
      <c r="F14" s="23" t="s">
        <v>341</v>
      </c>
      <c r="G14" s="263">
        <v>2.0</v>
      </c>
      <c r="H14" s="23" t="s">
        <v>325</v>
      </c>
      <c r="K14" s="23" t="s">
        <v>335</v>
      </c>
    </row>
    <row r="15">
      <c r="A15" s="261">
        <v>46044.356944444444</v>
      </c>
      <c r="B15" s="23">
        <v>202601.0</v>
      </c>
      <c r="C15" s="262">
        <v>46042.0</v>
      </c>
      <c r="D15" s="262">
        <v>46043.0</v>
      </c>
      <c r="E15" s="23" t="s">
        <v>342</v>
      </c>
      <c r="F15" s="23" t="s">
        <v>343</v>
      </c>
      <c r="G15" s="263">
        <v>2.0</v>
      </c>
      <c r="H15" s="23" t="s">
        <v>325</v>
      </c>
      <c r="K15" s="23" t="s">
        <v>335</v>
      </c>
    </row>
    <row r="16">
      <c r="A16" s="261">
        <v>46045.356944444444</v>
      </c>
      <c r="B16" s="23">
        <v>202601.0</v>
      </c>
      <c r="C16" s="262">
        <v>46043.0</v>
      </c>
      <c r="D16" s="262">
        <v>46044.0</v>
      </c>
      <c r="E16" s="23" t="s">
        <v>344</v>
      </c>
      <c r="F16" s="23" t="s">
        <v>345</v>
      </c>
      <c r="G16" s="263">
        <v>2.0</v>
      </c>
      <c r="H16" s="23" t="s">
        <v>325</v>
      </c>
      <c r="K16" s="23" t="s">
        <v>335</v>
      </c>
    </row>
    <row r="17">
      <c r="A17" s="261">
        <v>46046.356944444444</v>
      </c>
      <c r="B17" s="23">
        <v>202601.0</v>
      </c>
      <c r="C17" s="262">
        <v>46044.0</v>
      </c>
      <c r="D17" s="262">
        <v>46045.0</v>
      </c>
      <c r="E17" s="23" t="s">
        <v>346</v>
      </c>
      <c r="F17" s="23" t="s">
        <v>347</v>
      </c>
      <c r="G17" s="263">
        <v>2.0</v>
      </c>
      <c r="H17" s="23" t="s">
        <v>325</v>
      </c>
      <c r="K17" s="23" t="s">
        <v>335</v>
      </c>
    </row>
    <row r="18">
      <c r="A18" s="261">
        <v>46047.356944444444</v>
      </c>
      <c r="B18" s="23">
        <v>202601.0</v>
      </c>
      <c r="C18" s="262">
        <v>46045.0</v>
      </c>
      <c r="D18" s="262">
        <v>46046.0</v>
      </c>
      <c r="E18" s="23" t="s">
        <v>348</v>
      </c>
      <c r="F18" s="23" t="s">
        <v>349</v>
      </c>
      <c r="G18" s="263">
        <v>2.0</v>
      </c>
      <c r="H18" s="23" t="s">
        <v>325</v>
      </c>
      <c r="K18" s="23" t="s">
        <v>335</v>
      </c>
    </row>
    <row r="19">
      <c r="A19" s="261">
        <v>46048.356944444444</v>
      </c>
      <c r="B19" s="23">
        <v>202601.0</v>
      </c>
      <c r="C19" s="262">
        <v>46046.0</v>
      </c>
      <c r="D19" s="262">
        <v>46047.0</v>
      </c>
      <c r="E19" s="23" t="s">
        <v>350</v>
      </c>
      <c r="F19" s="23" t="s">
        <v>351</v>
      </c>
      <c r="G19" s="263">
        <v>2.0</v>
      </c>
      <c r="H19" s="23" t="s">
        <v>325</v>
      </c>
      <c r="K19" s="23" t="s">
        <v>335</v>
      </c>
    </row>
    <row r="20">
      <c r="A20" s="261">
        <v>46049.356944444444</v>
      </c>
      <c r="B20" s="23">
        <v>202601.0</v>
      </c>
      <c r="C20" s="262">
        <v>46047.0</v>
      </c>
      <c r="D20" s="262">
        <v>46048.0</v>
      </c>
      <c r="E20" s="23" t="s">
        <v>352</v>
      </c>
      <c r="F20" s="23" t="s">
        <v>353</v>
      </c>
      <c r="G20" s="263">
        <v>2.0</v>
      </c>
      <c r="H20" s="23" t="s">
        <v>325</v>
      </c>
      <c r="K20" s="23" t="s">
        <v>335</v>
      </c>
    </row>
    <row r="21">
      <c r="A21" s="261">
        <v>46050.356944444444</v>
      </c>
      <c r="B21" s="23">
        <v>202601.0</v>
      </c>
      <c r="C21" s="262">
        <v>46048.0</v>
      </c>
      <c r="D21" s="262">
        <v>46049.0</v>
      </c>
      <c r="E21" s="23" t="s">
        <v>354</v>
      </c>
      <c r="F21" s="23" t="s">
        <v>355</v>
      </c>
      <c r="G21" s="263">
        <v>2.0</v>
      </c>
      <c r="H21" s="23" t="s">
        <v>325</v>
      </c>
      <c r="K21" s="23" t="s">
        <v>335</v>
      </c>
    </row>
    <row r="22">
      <c r="A22" s="261">
        <v>46051.356944444444</v>
      </c>
      <c r="B22" s="23">
        <v>202601.0</v>
      </c>
      <c r="C22" s="262">
        <v>46049.0</v>
      </c>
      <c r="D22" s="262">
        <v>46050.0</v>
      </c>
      <c r="E22" s="23" t="s">
        <v>356</v>
      </c>
      <c r="F22" s="23" t="s">
        <v>357</v>
      </c>
      <c r="G22" s="263">
        <v>2.0</v>
      </c>
      <c r="H22" s="23" t="s">
        <v>325</v>
      </c>
      <c r="K22" s="23" t="s">
        <v>335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312</v>
      </c>
      <c r="B1" s="23" t="s">
        <v>313</v>
      </c>
      <c r="C1" s="23" t="s">
        <v>358</v>
      </c>
      <c r="D1" s="23" t="s">
        <v>359</v>
      </c>
      <c r="E1" s="23" t="s">
        <v>360</v>
      </c>
      <c r="F1" s="23" t="s">
        <v>316</v>
      </c>
      <c r="G1" s="23" t="s">
        <v>317</v>
      </c>
      <c r="H1" s="23" t="s">
        <v>318</v>
      </c>
      <c r="I1" s="23" t="s">
        <v>319</v>
      </c>
      <c r="J1" s="23" t="s">
        <v>320</v>
      </c>
      <c r="K1" s="23" t="s">
        <v>321</v>
      </c>
      <c r="L1" s="23" t="s">
        <v>322</v>
      </c>
    </row>
    <row r="2">
      <c r="A2" s="261">
        <v>46041.20416666667</v>
      </c>
      <c r="B2" s="23" t="s">
        <v>361</v>
      </c>
      <c r="C2" s="23" t="s">
        <v>116</v>
      </c>
      <c r="D2" s="23">
        <v>202512.0</v>
      </c>
      <c r="E2" s="23">
        <v>202601.0</v>
      </c>
      <c r="F2" s="23" t="s">
        <v>362</v>
      </c>
      <c r="G2" s="23" t="s">
        <v>363</v>
      </c>
      <c r="H2" s="263">
        <v>1.0</v>
      </c>
      <c r="I2" s="23" t="s">
        <v>325</v>
      </c>
    </row>
    <row r="3">
      <c r="A3" s="261">
        <v>46041.20972222222</v>
      </c>
      <c r="B3" s="23" t="s">
        <v>361</v>
      </c>
      <c r="C3" s="23" t="s">
        <v>116</v>
      </c>
      <c r="D3" s="23">
        <v>202512.0</v>
      </c>
      <c r="E3" s="23">
        <v>202601.0</v>
      </c>
      <c r="F3" s="23" t="s">
        <v>364</v>
      </c>
      <c r="G3" s="23" t="s">
        <v>363</v>
      </c>
      <c r="H3" s="263">
        <v>1.0</v>
      </c>
      <c r="I3" s="23" t="s">
        <v>325</v>
      </c>
    </row>
    <row r="4">
      <c r="A4" s="261">
        <v>46041.2125</v>
      </c>
      <c r="B4" s="23" t="s">
        <v>361</v>
      </c>
      <c r="C4" s="23" t="s">
        <v>116</v>
      </c>
      <c r="D4" s="23">
        <v>202512.0</v>
      </c>
      <c r="E4" s="23">
        <v>202601.0</v>
      </c>
      <c r="F4" s="23" t="s">
        <v>365</v>
      </c>
      <c r="G4" s="23" t="s">
        <v>363</v>
      </c>
      <c r="H4" s="263">
        <v>1.0</v>
      </c>
      <c r="I4" s="23" t="s">
        <v>325</v>
      </c>
    </row>
    <row r="5">
      <c r="A5" s="261">
        <v>46041.214583333334</v>
      </c>
      <c r="B5" s="23" t="s">
        <v>361</v>
      </c>
      <c r="C5" s="23" t="s">
        <v>116</v>
      </c>
      <c r="D5" s="23">
        <v>202512.0</v>
      </c>
      <c r="E5" s="23">
        <v>202601.0</v>
      </c>
      <c r="F5" s="23" t="s">
        <v>366</v>
      </c>
      <c r="G5" s="23" t="s">
        <v>363</v>
      </c>
      <c r="H5" s="263">
        <v>2.0</v>
      </c>
      <c r="I5" s="23" t="s">
        <v>325</v>
      </c>
    </row>
    <row r="6">
      <c r="A6" s="261">
        <v>46041.225694444445</v>
      </c>
      <c r="B6" s="23" t="s">
        <v>361</v>
      </c>
      <c r="C6" s="23" t="s">
        <v>116</v>
      </c>
      <c r="D6" s="23">
        <v>202512.0</v>
      </c>
      <c r="E6" s="23">
        <v>202601.0</v>
      </c>
      <c r="F6" s="23" t="s">
        <v>367</v>
      </c>
      <c r="G6" s="23" t="s">
        <v>363</v>
      </c>
      <c r="H6" s="263">
        <v>1.0</v>
      </c>
      <c r="I6" s="23" t="s">
        <v>325</v>
      </c>
    </row>
    <row r="7">
      <c r="A7" s="261">
        <v>46041.22986111111</v>
      </c>
      <c r="B7" s="23" t="s">
        <v>361</v>
      </c>
      <c r="C7" s="23" t="s">
        <v>116</v>
      </c>
      <c r="D7" s="23">
        <v>202512.0</v>
      </c>
      <c r="E7" s="23">
        <v>202601.0</v>
      </c>
      <c r="F7" s="23" t="s">
        <v>368</v>
      </c>
      <c r="G7" s="23" t="s">
        <v>363</v>
      </c>
      <c r="H7" s="263">
        <v>1.0</v>
      </c>
      <c r="I7" s="23" t="s">
        <v>325</v>
      </c>
      <c r="L7" s="23" t="s">
        <v>369</v>
      </c>
    </row>
    <row r="8">
      <c r="A8" s="261">
        <v>46041.23541666667</v>
      </c>
      <c r="B8" s="23" t="s">
        <v>361</v>
      </c>
      <c r="C8" s="23" t="s">
        <v>116</v>
      </c>
      <c r="D8" s="23">
        <v>202512.0</v>
      </c>
      <c r="E8" s="23">
        <v>202601.0</v>
      </c>
      <c r="F8" s="23" t="s">
        <v>370</v>
      </c>
      <c r="G8" s="23" t="s">
        <v>363</v>
      </c>
      <c r="H8" s="263">
        <v>1.0</v>
      </c>
      <c r="I8" s="23" t="s">
        <v>325</v>
      </c>
      <c r="L8" s="23" t="s">
        <v>371</v>
      </c>
    </row>
    <row r="9">
      <c r="A9" s="261">
        <v>46041.240277777775</v>
      </c>
      <c r="B9" s="23" t="s">
        <v>361</v>
      </c>
      <c r="C9" s="23" t="s">
        <v>116</v>
      </c>
      <c r="D9" s="23">
        <v>202512.0</v>
      </c>
      <c r="E9" s="23">
        <v>202601.0</v>
      </c>
      <c r="F9" s="23" t="s">
        <v>372</v>
      </c>
      <c r="G9" s="23" t="s">
        <v>363</v>
      </c>
      <c r="H9" s="263">
        <v>1.0</v>
      </c>
      <c r="I9" s="23" t="s">
        <v>325</v>
      </c>
      <c r="L9" s="23" t="s">
        <v>371</v>
      </c>
    </row>
    <row r="10">
      <c r="A10" s="261">
        <v>46041.24097222222</v>
      </c>
      <c r="B10" s="23" t="s">
        <v>361</v>
      </c>
      <c r="C10" s="23" t="s">
        <v>116</v>
      </c>
      <c r="D10" s="23">
        <v>202512.0</v>
      </c>
      <c r="E10" s="23">
        <v>202601.0</v>
      </c>
      <c r="F10" s="23" t="s">
        <v>373</v>
      </c>
      <c r="G10" s="23" t="s">
        <v>363</v>
      </c>
      <c r="H10" s="263">
        <v>2.0</v>
      </c>
      <c r="I10" s="23" t="s">
        <v>325</v>
      </c>
      <c r="L10" s="23" t="s">
        <v>371</v>
      </c>
    </row>
    <row r="11">
      <c r="A11" s="261">
        <v>46041.36736111111</v>
      </c>
      <c r="B11" s="23" t="s">
        <v>361</v>
      </c>
      <c r="C11" s="23" t="s">
        <v>116</v>
      </c>
      <c r="D11" s="23">
        <v>202512.0</v>
      </c>
      <c r="E11" s="23">
        <v>202601.0</v>
      </c>
      <c r="F11" s="23" t="s">
        <v>374</v>
      </c>
      <c r="G11" s="23" t="s">
        <v>363</v>
      </c>
      <c r="H11" s="263">
        <v>2.0</v>
      </c>
      <c r="I11" s="23" t="s">
        <v>325</v>
      </c>
      <c r="L11" s="23" t="s">
        <v>371</v>
      </c>
    </row>
  </sheetData>
  <drawing r:id="rId1"/>
</worksheet>
</file>